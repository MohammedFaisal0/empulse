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082d7bbe1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540b34a2f974c6f"/>
    <x:sheet xmlns:r="http://schemas.openxmlformats.org/officeDocument/2006/relationships" name="EMPULSE_Data" sheetId="2" r:id="R88254ecceca34505"/>
    <x:sheet xmlns:r="http://schemas.openxmlformats.org/officeDocument/2006/relationships" name="Data_Dictionary" sheetId="3" r:id="R56a2b06b62e34521"/>
    <x:sheet xmlns:r="http://schemas.openxmlformats.org/officeDocument/2006/relationships" name="Dashboard" sheetId="4" r:id="R659d5fd67291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#,##0"/>
    <x:numFmt numFmtId="203" formatCode="#,##0 &quot;SAR&quot;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34E4A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F4F1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2278e1f084794" /><Relationship Type="http://schemas.openxmlformats.org/officeDocument/2006/relationships/theme" Target="/xl/theme/theme1.xml" Id="Rd47648cfb0834010" /><Relationship Type="http://schemas.openxmlformats.org/officeDocument/2006/relationships/sharedStrings" Target="/xl/sharedStrings.xml" Id="Rf26e3f5f5e1a4d3d" /><Relationship Type="http://schemas.openxmlformats.org/officeDocument/2006/relationships/worksheet" Target="/xl/worksheets/sheet1.xml" Id="Rc540b34a2f974c6f" /><Relationship Type="http://schemas.openxmlformats.org/officeDocument/2006/relationships/worksheet" Target="/xl/worksheets/sheet2.xml" Id="R88254ecceca34505" /><Relationship Type="http://schemas.openxmlformats.org/officeDocument/2006/relationships/worksheet" Target="/xl/worksheets/sheet3.xml" Id="R56a2b06b62e34521" /><Relationship Type="http://schemas.openxmlformats.org/officeDocument/2006/relationships/worksheet" Target="/xl/worksheets/sheet4.xml" Id="R659d5fd672914a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44c3cfb1c241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Burnout Risk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Employees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44c3cfb1c241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ULSEDataTable" displayName="EMPULSEDataTable" ref="A1:AS1001" headerRowCount="1" totalsRowCount="0" totalsRowShown="0">
  <x:tableColumns count="45">
    <x:tableColumn id="1" name="EmployeeNumber"/>
    <x:tableColumn id="2" name="Age"/>
    <x:tableColumn id="3" name="Gender"/>
    <x:tableColumn id="4" name="Department"/>
    <x:tableColumn id="5" name="JobRole"/>
    <x:tableColumn id="6" name="EducationField"/>
    <x:tableColumn id="7" name="MaritalStatus"/>
    <x:tableColumn id="8" name="JobLevel"/>
    <x:tableColumn id="9" name="MonthlyIncomeSAR"/>
    <x:tableColumn id="10" name="TotalWorkingYears"/>
    <x:tableColumn id="11" name="YearsAtCompany"/>
    <x:tableColumn id="12" name="YearsInCurrentRole"/>
    <x:tableColumn id="13" name="DistanceFromHomeKM"/>
    <x:tableColumn id="14" name="OverTime"/>
    <x:tableColumn id="15" name="WorkLifeBalance"/>
    <x:tableColumn id="16" name="JobSatisfaction"/>
    <x:tableColumn id="17" name="EnvironmentSatisfaction"/>
    <x:tableColumn id="18" name="JobInvolvement"/>
    <x:tableColumn id="19" name="PerformanceRating"/>
    <x:tableColumn id="20" name="TrainingTimesLastYear"/>
    <x:tableColumn id="21" name="StockOptionLevel"/>
    <x:tableColumn id="22" name="AbsenceDaysAnnual"/>
    <x:tableColumn id="23" name="OvertimeHoursMonthly"/>
    <x:tableColumn id="24" name="WorkloadIndex"/>
    <x:tableColumn id="25" name="MoodScore"/>
    <x:tableColumn id="26" name="EngagementScore"/>
    <x:tableColumn id="27" name="IdeasSubmitted"/>
    <x:tableColumn id="28" name="IdeasApproved"/>
    <x:tableColumn id="29" name="IdeasImplemented"/>
    <x:tableColumn id="30" name="InnovationNoveltyScore"/>
    <x:tableColumn id="31" name="InnovationFeasibilityScore"/>
    <x:tableColumn id="32" name="InnovationBusinessValueScore"/>
    <x:tableColumn id="33" name="CollaborationScore"/>
    <x:tableColumn id="34" name="RecognitionCount"/>
    <x:tableColumn id="35" name="TaskCompletionRate"/>
    <x:tableColumn id="36" name="TaskQualityScore"/>
    <x:tableColumn id="37" name="Attrition"/>
    <x:tableColumn id="38" name="IdeaApprovalRate"/>
    <x:tableColumn id="39" name="IdeaImplementationRate"/>
    <x:tableColumn id="40" name="InnovationScore"/>
    <x:tableColumn id="41" name="BurnoutRisk"/>
    <x:tableColumn id="42" name="BurnoutLevel"/>
    <x:tableColumn id="43" name="WellbeingScore"/>
    <x:tableColumn id="44" name="EmployeePulseIndex"/>
    <x:tableColumn id="45" name="EstimatedEconomicImpactS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f5f11eb07542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570a6d40f43477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 ht="32" customHeight="1">
      <x:c r="A1" s="5" t="str">
        <x:v>EMPULSE Synthetic HR Analytics Dataset — 1,000 Employees</x:v>
      </x:c>
    </x:row>
    <x:row r="3">
      <x:c r="A3" s="14" t="str">
        <x:v>Purpose</x:v>
      </x:c>
      <x:c r="B3" s="15" t="str">
        <x:v>Educational dataset for building the EMPULSE employee performance, wellbeing, innovation, recognition, burnout-risk, and economic-impact system.</x:v>
      </x:c>
    </x:row>
    <x:row r="4">
      <x:c r="A4" s="14" t="str">
        <x:v>Dataset Type</x:v>
      </x:c>
      <x:c r="B4" s="15" t="str">
        <x:v>Synthetic educational data. It is NOT real employee data and must not be presented as collected from IBM employees.</x:v>
      </x:c>
    </x:row>
    <x:row r="5">
      <x:c r="A5" s="14" t="str">
        <x:v>IBM-inspired fields</x:v>
      </x:c>
      <x:c r="B5" s="15" t="str">
        <x:v>The base schema is inspired by the IBM HR Analytics Employee Attrition &amp; Performance teaching dataset (e.g., age, department, job role, overtime, satisfaction, work-life balance, performance, training, attrition).</x:v>
      </x:c>
    </x:row>
    <x:row r="6">
      <x:c r="A6" s="14" t="str">
        <x:v>EMPULSE-added fields</x:v>
      </x:c>
      <x:c r="B6" s="15" t="str">
        <x:v>Innovation DNA, Idea Lab, task completion, collaboration, recognition, workload, mood, burnout risk, employee pulse and economic impact.</x:v>
      </x:c>
    </x:row>
    <x:row r="7">
      <x:c r="A7" s="14" t="str">
        <x:v>Employees</x:v>
      </x:c>
      <x:c r="B7" s="15" t="str">
        <x:v>1,000</x:v>
      </x:c>
    </x:row>
    <x:row r="8">
      <x:c r="A8" s="14" t="str">
        <x:v>Primary Key</x:v>
      </x:c>
      <x:c r="B8" s="15" t="str">
        <x:v>EmployeeNumber</x:v>
      </x:c>
    </x:row>
    <x:row r="9">
      <x:c r="A9" s="14" t="str">
        <x:v>Use Cases</x:v>
      </x:c>
      <x:c r="B9" s="15" t="str">
        <x:v>Figma prototype, database design, dashboards, AI/ML prototypes, burnout-risk analysis, innovation analytics, recommendation demonstrations.</x:v>
      </x:c>
    </x:row>
    <x:row r="10">
      <x:c r="A10" s="14" t="str">
        <x:v>Important Ethics Note</x:v>
      </x:c>
      <x:c r="B10" s="15" t="str">
        <x:v>BurnoutRisk is a synthetic decision-support indicator, not a medical or psychological diagnosis.</x:v>
      </x:c>
    </x:row>
    <x:row r="11">
      <x:c r="A11" s="14" t="str">
        <x:v>Source reference</x:v>
      </x:c>
      <x:c r="B11" s="15" t="str">
        <x:v>https://www.kaggle.com/datasets/pavansubhasht/ibm-hr-analytics-attrition-dataset</x:v>
      </x:c>
    </x:row>
    <x:row r="12">
      <x:c r="A12" s="14" t="str">
        <x:v>Recommended Join Key</x:v>
      </x:c>
      <x:c r="B12" s="15" t="str">
        <x:v>EmployeeNumber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</x:cols>
  <x:sheetData>
    <x:row r="1">
      <x:c r="A1" s="34" t="str">
        <x:v>EmployeeNumber</x:v>
      </x:c>
      <x:c r="B1" s="34" t="str">
        <x:v>Age</x:v>
      </x:c>
      <x:c r="C1" s="34" t="str">
        <x:v>Gender</x:v>
      </x:c>
      <x:c r="D1" s="34" t="str">
        <x:v>Department</x:v>
      </x:c>
      <x:c r="E1" s="34" t="str">
        <x:v>JobRole</x:v>
      </x:c>
      <x:c r="F1" s="34" t="str">
        <x:v>EducationField</x:v>
      </x:c>
      <x:c r="G1" s="34" t="str">
        <x:v>MaritalStatus</x:v>
      </x:c>
      <x:c r="H1" s="34" t="str">
        <x:v>JobLevel</x:v>
      </x:c>
      <x:c r="I1" s="34" t="str">
        <x:v>MonthlyIncomeSAR</x:v>
      </x:c>
      <x:c r="J1" s="34" t="str">
        <x:v>TotalWorkingYears</x:v>
      </x:c>
      <x:c r="K1" s="34" t="str">
        <x:v>YearsAtCompany</x:v>
      </x:c>
      <x:c r="L1" s="34" t="str">
        <x:v>YearsInCurrentRole</x:v>
      </x:c>
      <x:c r="M1" s="34" t="str">
        <x:v>DistanceFromHomeKM</x:v>
      </x:c>
      <x:c r="N1" s="34" t="str">
        <x:v>OverTime</x:v>
      </x:c>
      <x:c r="O1" s="34" t="str">
        <x:v>WorkLifeBalance</x:v>
      </x:c>
      <x:c r="P1" s="34" t="str">
        <x:v>JobSatisfaction</x:v>
      </x:c>
      <x:c r="Q1" s="34" t="str">
        <x:v>EnvironmentSatisfaction</x:v>
      </x:c>
      <x:c r="R1" s="34" t="str">
        <x:v>JobInvolvement</x:v>
      </x:c>
      <x:c r="S1" s="34" t="str">
        <x:v>PerformanceRating</x:v>
      </x:c>
      <x:c r="T1" s="34" t="str">
        <x:v>TrainingTimesLastYear</x:v>
      </x:c>
      <x:c r="U1" s="34" t="str">
        <x:v>StockOptionLevel</x:v>
      </x:c>
      <x:c r="V1" s="34" t="str">
        <x:v>AbsenceDaysAnnual</x:v>
      </x:c>
      <x:c r="W1" s="34" t="str">
        <x:v>OvertimeHoursMonthly</x:v>
      </x:c>
      <x:c r="X1" s="34" t="str">
        <x:v>WorkloadIndex</x:v>
      </x:c>
      <x:c r="Y1" s="34" t="str">
        <x:v>MoodScore</x:v>
      </x:c>
      <x:c r="Z1" s="34" t="str">
        <x:v>EngagementScore</x:v>
      </x:c>
      <x:c r="AA1" s="34" t="str">
        <x:v>IdeasSubmitted</x:v>
      </x:c>
      <x:c r="AB1" s="34" t="str">
        <x:v>IdeasApproved</x:v>
      </x:c>
      <x:c r="AC1" s="34" t="str">
        <x:v>IdeasImplemented</x:v>
      </x:c>
      <x:c r="AD1" s="34" t="str">
        <x:v>InnovationNoveltyScore</x:v>
      </x:c>
      <x:c r="AE1" s="34" t="str">
        <x:v>InnovationFeasibilityScore</x:v>
      </x:c>
      <x:c r="AF1" s="34" t="str">
        <x:v>InnovationBusinessValueScore</x:v>
      </x:c>
      <x:c r="AG1" s="34" t="str">
        <x:v>CollaborationScore</x:v>
      </x:c>
      <x:c r="AH1" s="34" t="str">
        <x:v>RecognitionCount</x:v>
      </x:c>
      <x:c r="AI1" s="34" t="str">
        <x:v>TaskCompletionRate</x:v>
      </x:c>
      <x:c r="AJ1" s="34" t="str">
        <x:v>TaskQualityScore</x:v>
      </x:c>
      <x:c r="AK1" s="34" t="str">
        <x:v>Attrition</x:v>
      </x:c>
      <x:c r="AL1" s="34" t="str">
        <x:v>IdeaApprovalRate</x:v>
      </x:c>
      <x:c r="AM1" s="34" t="str">
        <x:v>IdeaImplementationRate</x:v>
      </x:c>
      <x:c r="AN1" s="34" t="str">
        <x:v>InnovationScore</x:v>
      </x:c>
      <x:c r="AO1" s="34" t="str">
        <x:v>BurnoutRisk</x:v>
      </x:c>
      <x:c r="AP1" s="34" t="str">
        <x:v>BurnoutLevel</x:v>
      </x:c>
      <x:c r="AQ1" s="34" t="str">
        <x:v>WellbeingScore</x:v>
      </x:c>
      <x:c r="AR1" s="34" t="str">
        <x:v>EmployeePulseIndex</x:v>
      </x:c>
      <x:c r="AS1" s="34" t="str">
        <x:v>EstimatedEconomicImpactSAR</x:v>
      </x:c>
    </x:row>
    <x:row r="2">
      <x:c r="A2" s="35" t="n">
        <x:v>1</x:v>
      </x:c>
      <x:c r="B2" s="35" t="n">
        <x:v>31</x:v>
      </x:c>
      <x:c r="C2" s="35" t="str">
        <x:v>Male</x:v>
      </x:c>
      <x:c r="D2" s="35" t="str">
        <x:v>Sales</x:v>
      </x:c>
      <x:c r="E2" s="35" t="str">
        <x:v>Sales Executive</x:v>
      </x:c>
      <x:c r="F2" s="35" t="str">
        <x:v>Technical Degree</x:v>
      </x:c>
      <x:c r="G2" s="35" t="str">
        <x:v>Divorced</x:v>
      </x:c>
      <x:c r="H2" s="35" t="n">
        <x:v>2</x:v>
      </x:c>
      <x:c r="I2" s="36" t="n">
        <x:v>11870</x:v>
      </x:c>
      <x:c r="J2" s="35" t="n">
        <x:v>5</x:v>
      </x:c>
      <x:c r="K2" s="35" t="n">
        <x:v>4</x:v>
      </x:c>
      <x:c r="L2" s="35" t="n">
        <x:v>3</x:v>
      </x:c>
      <x:c r="M2" s="35" t="n">
        <x:v>8</x:v>
      </x:c>
      <x:c r="N2" s="35" t="str">
        <x:v>Yes</x:v>
      </x:c>
      <x:c r="O2" s="35" t="n">
        <x:v>1</x:v>
      </x:c>
      <x:c r="P2" s="35" t="n">
        <x:v>3</x:v>
      </x:c>
      <x:c r="Q2" s="35" t="n">
        <x:v>4</x:v>
      </x:c>
      <x:c r="R2" s="35" t="n">
        <x:v>4</x:v>
      </x:c>
      <x:c r="S2" s="35" t="n">
        <x:v>3</x:v>
      </x:c>
      <x:c r="T2" s="35" t="n">
        <x:v>2</x:v>
      </x:c>
      <x:c r="U2" s="35" t="n">
        <x:v>2</x:v>
      </x:c>
      <x:c r="V2" s="35" t="n">
        <x:v>10</x:v>
      </x:c>
      <x:c r="W2" s="35" t="n">
        <x:v>22</x:v>
      </x:c>
      <x:c r="X2" s="35" t="n">
        <x:v>84</x:v>
      </x:c>
      <x:c r="Y2" s="35" t="n">
        <x:v>4</x:v>
      </x:c>
      <x:c r="Z2" s="35" t="n">
        <x:v>100</x:v>
      </x:c>
      <x:c r="AA2" s="35" t="n">
        <x:v>4</x:v>
      </x:c>
      <x:c r="AB2" s="35" t="n">
        <x:v>2</x:v>
      </x:c>
      <x:c r="AC2" s="35" t="n">
        <x:v>2</x:v>
      </x:c>
      <x:c r="AD2" s="35" t="n">
        <x:v>75</x:v>
      </x:c>
      <x:c r="AE2" s="35" t="n">
        <x:v>82</x:v>
      </x:c>
      <x:c r="AF2" s="35" t="n">
        <x:v>68</x:v>
      </x:c>
      <x:c r="AG2" s="35" t="n">
        <x:v>99</x:v>
      </x:c>
      <x:c r="AH2" s="35" t="n">
        <x:v>5</x:v>
      </x:c>
      <x:c r="AI2" s="37" t="n">
        <x:v>100</x:v>
      </x:c>
      <x:c r="AJ2" s="37" t="n">
        <x:v>95.2</x:v>
      </x:c>
      <x:c r="AK2" s="35" t="str">
        <x:v>Yes</x:v>
      </x:c>
      <x:c r="AL2" s="38" t="n">
        <x:f>IF(AA2=0,0,AB2/AA2)</x:f>
        <x:v>0.5</x:v>
      </x:c>
      <x:c r="AM2" s="38" t="n">
        <x:f>IF(AB2=0,0,AC2/AB2)</x:f>
        <x:v>1</x:v>
      </x:c>
      <x:c r="AN2" s="37" t="n">
        <x:f>ROUND((AD2*0.20+AE2*0.20+AF2*0.25+AG2*0.15+MIN(100,AC2*12)*0.20),1)</x:f>
        <x:v>68.1</x:v>
      </x:c>
      <x:c r="AO2" s="37" t="n">
        <x:f>ROUND(MAX(0,MIN(100,(X2*0.35)+(W2/45*100*0.20)+((5-O2)/4*100*0.15)+((5-P2)/4*100*0.10)+((6-Y2)/5*100*0.10)+((100-Z2)*0.10))),1)</x:f>
        <x:v>63.2</x:v>
      </x:c>
      <x:c r="AP2" s="37" t="str">
        <x:f>IF(AO2&gt;=70,"High",IF(AO2&gt;=40,"Moderate","Low"))</x:f>
        <x:v>Moderate</x:v>
      </x:c>
      <x:c r="AQ2" s="37" t="n">
        <x:f>ROUND(MAX(0,MIN(100,(O2/4*100*0.25)+(P2/4*100*0.20)+(Q2/4*100*0.15)+(Y2/5*100*0.20)+(100-AO2)*0.20)),1)</x:f>
        <x:v>59.6</x:v>
      </x:c>
      <x:c r="AR2" s="37" t="n">
        <x:f>ROUND((AI2*0.20+AJ2*0.15+AN2*0.18+AG2*0.12+Z2*0.15+AQ2*0.20),1)</x:f>
        <x:v>85.3</x:v>
      </x:c>
      <x:c r="AS2" s="39" t="n">
        <x:f>ROUND((AC2*AF2*120)+(AH2*350)+(MAX(0,AI2-75)*220)+(MAX(0,AQ2-60)*100),0)</x:f>
        <x:v>23570</x:v>
      </x:c>
    </x:row>
    <x:row r="3">
      <x:c r="A3" s="35" t="n">
        <x:v>2</x:v>
      </x:c>
      <x:c r="B3" s="35" t="n">
        <x:v>43</x:v>
      </x:c>
      <x:c r="C3" s="35" t="str">
        <x:v>Female</x:v>
      </x:c>
      <x:c r="D3" s="35" t="str">
        <x:v>Information Technology</x:v>
      </x:c>
      <x:c r="E3" s="35" t="str">
        <x:v>IT Support</x:v>
      </x:c>
      <x:c r="F3" s="35" t="str">
        <x:v>Human Resources</x:v>
      </x:c>
      <x:c r="G3" s="35" t="str">
        <x:v>Married</x:v>
      </x:c>
      <x:c r="H3" s="35" t="n">
        <x:v>3</x:v>
      </x:c>
      <x:c r="I3" s="36" t="n">
        <x:v>14190</x:v>
      </x:c>
      <x:c r="J3" s="35" t="n">
        <x:v>17</x:v>
      </x:c>
      <x:c r="K3" s="35" t="n">
        <x:v>14</x:v>
      </x:c>
      <x:c r="L3" s="35" t="n">
        <x:v>8</x:v>
      </x:c>
      <x:c r="M3" s="35" t="n">
        <x:v>14</x:v>
      </x:c>
      <x:c r="N3" s="35" t="str">
        <x:v>Yes</x:v>
      </x:c>
      <x:c r="O3" s="35" t="n">
        <x:v>2</x:v>
      </x:c>
      <x:c r="P3" s="35" t="n">
        <x:v>1</x:v>
      </x:c>
      <x:c r="Q3" s="35" t="n">
        <x:v>3</x:v>
      </x:c>
      <x:c r="R3" s="35" t="n">
        <x:v>3</x:v>
      </x:c>
      <x:c r="S3" s="35" t="n">
        <x:v>3</x:v>
      </x:c>
      <x:c r="T3" s="35" t="n">
        <x:v>3</x:v>
      </x:c>
      <x:c r="U3" s="35" t="n">
        <x:v>1</x:v>
      </x:c>
      <x:c r="V3" s="35" t="n">
        <x:v>4</x:v>
      </x:c>
      <x:c r="W3" s="35" t="n">
        <x:v>8</x:v>
      </x:c>
      <x:c r="X3" s="35" t="n">
        <x:v>78</x:v>
      </x:c>
      <x:c r="Y3" s="35" t="n">
        <x:v>4</x:v>
      </x:c>
      <x:c r="Z3" s="35" t="n">
        <x:v>89</x:v>
      </x:c>
      <x:c r="AA3" s="35" t="n">
        <x:v>4</x:v>
      </x:c>
      <x:c r="AB3" s="35" t="n">
        <x:v>2</x:v>
      </x:c>
      <x:c r="AC3" s="35" t="n">
        <x:v>2</x:v>
      </x:c>
      <x:c r="AD3" s="35" t="n">
        <x:v>67</x:v>
      </x:c>
      <x:c r="AE3" s="35" t="n">
        <x:v>69</x:v>
      </x:c>
      <x:c r="AF3" s="35" t="n">
        <x:v>86</x:v>
      </x:c>
      <x:c r="AG3" s="35" t="n">
        <x:v>92</x:v>
      </x:c>
      <x:c r="AH3" s="35" t="n">
        <x:v>6</x:v>
      </x:c>
      <x:c r="AI3" s="37" t="n">
        <x:v>94.3</x:v>
      </x:c>
      <x:c r="AJ3" s="37" t="n">
        <x:v>96</x:v>
      </x:c>
      <x:c r="AK3" s="35" t="str">
        <x:v>No</x:v>
      </x:c>
      <x:c r="AL3" s="38" t="n">
        <x:f>IF(AA3=0,0,AB3/AA3)</x:f>
        <x:v>0.5</x:v>
      </x:c>
      <x:c r="AM3" s="38" t="n">
        <x:f>IF(AB3=0,0,AC3/AB3)</x:f>
        <x:v>1</x:v>
      </x:c>
      <x:c r="AN3" s="37" t="n">
        <x:f>ROUND((AD3*0.20+AE3*0.20+AF3*0.25+AG3*0.15+MIN(100,AC3*12)*0.20),1)</x:f>
        <x:v>67.3</x:v>
      </x:c>
      <x:c r="AO3" s="37" t="n">
        <x:f>ROUND(MAX(0,MIN(100,(X3*0.35)+(W3/45*100*0.20)+((5-O3)/4*100*0.15)+((5-P3)/4*100*0.10)+((6-Y3)/5*100*0.10)+((100-Z3)*0.10))),1)</x:f>
        <x:v>57.2</x:v>
      </x:c>
      <x:c r="AP3" s="37" t="str">
        <x:f>IF(AO3&gt;=70,"High",IF(AO3&gt;=40,"Moderate","Low"))</x:f>
        <x:v>Moderate</x:v>
      </x:c>
      <x:c r="AQ3" s="37" t="n">
        <x:f>ROUND(MAX(0,MIN(100,(O3/4*100*0.25)+(P3/4*100*0.20)+(Q3/4*100*0.15)+(Y3/5*100*0.20)+(100-AO3)*0.20)),1)</x:f>
        <x:v>53.3</x:v>
      </x:c>
      <x:c r="AR3" s="37" t="n">
        <x:f>ROUND((AI3*0.20+AJ3*0.15+AN3*0.18+AG3*0.12+Z3*0.15+AQ3*0.20),1)</x:f>
        <x:v>80.4</x:v>
      </x:c>
      <x:c r="AS3" s="39" t="n">
        <x:f>ROUND((AC3*AF3*120)+(AH3*350)+(MAX(0,AI3-75)*220)+(MAX(0,AQ3-60)*100),0)</x:f>
        <x:v>26986</x:v>
      </x:c>
    </x:row>
    <x:row r="4">
      <x:c r="A4" s="35" t="n">
        <x:v>3</x:v>
      </x:c>
      <x:c r="B4" s="35" t="n">
        <x:v>39</x:v>
      </x:c>
      <x:c r="C4" s="35" t="str">
        <x:v>Female</x:v>
      </x:c>
      <x:c r="D4" s="35" t="str">
        <x:v>Finance</x:v>
      </x:c>
      <x:c r="E4" s="35" t="str">
        <x:v>Finance Manager</x:v>
      </x:c>
      <x:c r="F4" s="35" t="str">
        <x:v>Marketing</x:v>
      </x:c>
      <x:c r="G4" s="35" t="str">
        <x:v>Married</x:v>
      </x:c>
      <x:c r="H4" s="35" t="n">
        <x:v>1</x:v>
      </x:c>
      <x:c r="I4" s="36" t="n">
        <x:v>5910</x:v>
      </x:c>
      <x:c r="J4" s="35" t="n">
        <x:v>11</x:v>
      </x:c>
      <x:c r="K4" s="35" t="n">
        <x:v>9</x:v>
      </x:c>
      <x:c r="L4" s="35" t="n">
        <x:v>7</x:v>
      </x:c>
      <x:c r="M4" s="35" t="n">
        <x:v>6</x:v>
      </x:c>
      <x:c r="N4" s="35" t="str">
        <x:v>No</x:v>
      </x:c>
      <x:c r="O4" s="35" t="n">
        <x:v>4</x:v>
      </x:c>
      <x:c r="P4" s="35" t="n">
        <x:v>3</x:v>
      </x:c>
      <x:c r="Q4" s="35" t="n">
        <x:v>4</x:v>
      </x:c>
      <x:c r="R4" s="35" t="n">
        <x:v>2</x:v>
      </x:c>
      <x:c r="S4" s="35" t="n">
        <x:v>4</x:v>
      </x:c>
      <x:c r="T4" s="35" t="n">
        <x:v>4</x:v>
      </x:c>
      <x:c r="U4" s="35" t="n">
        <x:v>0</x:v>
      </x:c>
      <x:c r="V4" s="35" t="n">
        <x:v>13</x:v>
      </x:c>
      <x:c r="W4" s="35" t="n">
        <x:v>5</x:v>
      </x:c>
      <x:c r="X4" s="35" t="n">
        <x:v>68</x:v>
      </x:c>
      <x:c r="Y4" s="35" t="n">
        <x:v>5</x:v>
      </x:c>
      <x:c r="Z4" s="35" t="n">
        <x:v>89</x:v>
      </x:c>
      <x:c r="AA4" s="35" t="n">
        <x:v>5</x:v>
      </x:c>
      <x:c r="AB4" s="35" t="n">
        <x:v>4</x:v>
      </x:c>
      <x:c r="AC4" s="35" t="n">
        <x:v>4</x:v>
      </x:c>
      <x:c r="AD4" s="35" t="n">
        <x:v>65</x:v>
      </x:c>
      <x:c r="AE4" s="35" t="n">
        <x:v>79</x:v>
      </x:c>
      <x:c r="AF4" s="35" t="n">
        <x:v>75</x:v>
      </x:c>
      <x:c r="AG4" s="35" t="n">
        <x:v>80</x:v>
      </x:c>
      <x:c r="AH4" s="35" t="n">
        <x:v>11</x:v>
      </x:c>
      <x:c r="AI4" s="37" t="n">
        <x:v>100</x:v>
      </x:c>
      <x:c r="AJ4" s="37" t="n">
        <x:v>97.4</x:v>
      </x:c>
      <x:c r="AK4" s="35" t="str">
        <x:v>Yes</x:v>
      </x:c>
      <x:c r="AL4" s="38" t="n">
        <x:f>IF(AA4=0,0,AB4/AA4)</x:f>
        <x:v>0.8</x:v>
      </x:c>
      <x:c r="AM4" s="38" t="n">
        <x:f>IF(AB4=0,0,AC4/AB4)</x:f>
        <x:v>1</x:v>
      </x:c>
      <x:c r="AN4" s="37" t="n">
        <x:f>ROUND((AD4*0.20+AE4*0.20+AF4*0.25+AG4*0.15+MIN(100,AC4*12)*0.20),1)</x:f>
        <x:v>69.2</x:v>
      </x:c>
      <x:c r="AO4" s="37" t="n">
        <x:f>ROUND(MAX(0,MIN(100,(X4*0.35)+(W4/45*100*0.20)+((5-O4)/4*100*0.15)+((5-P4)/4*100*0.10)+((6-Y4)/5*100*0.10)+((100-Z4)*0.10))),1)</x:f>
        <x:v>37.9</x:v>
      </x:c>
      <x:c r="AP4" s="37" t="str">
        <x:f>IF(AO4&gt;=70,"High",IF(AO4&gt;=40,"Moderate","Low"))</x:f>
        <x:v>Low</x:v>
      </x:c>
      <x:c r="AQ4" s="37" t="n">
        <x:f>ROUND(MAX(0,MIN(100,(O4/4*100*0.25)+(P4/4*100*0.20)+(Q4/4*100*0.15)+(Y4/5*100*0.20)+(100-AO4)*0.20)),1)</x:f>
        <x:v>87.4</x:v>
      </x:c>
      <x:c r="AR4" s="37" t="n">
        <x:f>ROUND((AI4*0.20+AJ4*0.15+AN4*0.18+AG4*0.12+Z4*0.15+AQ4*0.20),1)</x:f>
        <x:v>87.5</x:v>
      </x:c>
      <x:c r="AS4" s="39" t="n">
        <x:f>ROUND((AC4*AF4*120)+(AH4*350)+(MAX(0,AI4-75)*220)+(MAX(0,AQ4-60)*100),0)</x:f>
        <x:v>48090</x:v>
      </x:c>
    </x:row>
    <x:row r="5">
      <x:c r="A5" s="35" t="n">
        <x:v>4</x:v>
      </x:c>
      <x:c r="B5" s="35" t="n">
        <x:v>38</x:v>
      </x:c>
      <x:c r="C5" s="35" t="str">
        <x:v>Female</x:v>
      </x:c>
      <x:c r="D5" s="35" t="str">
        <x:v>Finance</x:v>
      </x:c>
      <x:c r="E5" s="35" t="str">
        <x:v>Financial Analyst</x:v>
      </x:c>
      <x:c r="F5" s="35" t="str">
        <x:v>Technical Degree</x:v>
      </x:c>
      <x:c r="G5" s="35" t="str">
        <x:v>Single</x:v>
      </x:c>
      <x:c r="H5" s="35" t="n">
        <x:v>2</x:v>
      </x:c>
      <x:c r="I5" s="36" t="n">
        <x:v>7220</x:v>
      </x:c>
      <x:c r="J5" s="35" t="n">
        <x:v>13</x:v>
      </x:c>
      <x:c r="K5" s="35" t="n">
        <x:v>10</x:v>
      </x:c>
      <x:c r="L5" s="35" t="n">
        <x:v>6</x:v>
      </x:c>
      <x:c r="M5" s="35" t="n">
        <x:v>17</x:v>
      </x:c>
      <x:c r="N5" s="35" t="str">
        <x:v>No</x:v>
      </x:c>
      <x:c r="O5" s="35" t="n">
        <x:v>3</x:v>
      </x:c>
      <x:c r="P5" s="35" t="n">
        <x:v>2</x:v>
      </x:c>
      <x:c r="Q5" s="35" t="n">
        <x:v>4</x:v>
      </x:c>
      <x:c r="R5" s="35" t="n">
        <x:v>4</x:v>
      </x:c>
      <x:c r="S5" s="35" t="n">
        <x:v>3</x:v>
      </x:c>
      <x:c r="T5" s="35" t="n">
        <x:v>3</x:v>
      </x:c>
      <x:c r="U5" s="35" t="n">
        <x:v>0</x:v>
      </x:c>
      <x:c r="V5" s="35" t="n">
        <x:v>5</x:v>
      </x:c>
      <x:c r="W5" s="35" t="n">
        <x:v>10</x:v>
      </x:c>
      <x:c r="X5" s="35" t="n">
        <x:v>51</x:v>
      </x:c>
      <x:c r="Y5" s="35" t="n">
        <x:v>5</x:v>
      </x:c>
      <x:c r="Z5" s="35" t="n">
        <x:v>100</x:v>
      </x:c>
      <x:c r="AA5" s="35" t="n">
        <x:v>10</x:v>
      </x:c>
      <x:c r="AB5" s="35" t="n">
        <x:v>9</x:v>
      </x:c>
      <x:c r="AC5" s="35" t="n">
        <x:v>9</x:v>
      </x:c>
      <x:c r="AD5" s="35" t="n">
        <x:v>84</x:v>
      </x:c>
      <x:c r="AE5" s="35" t="n">
        <x:v>76</x:v>
      </x:c>
      <x:c r="AF5" s="35" t="n">
        <x:v>77</x:v>
      </x:c>
      <x:c r="AG5" s="35" t="n">
        <x:v>100</x:v>
      </x:c>
      <x:c r="AH5" s="35" t="n">
        <x:v>12</x:v>
      </x:c>
      <x:c r="AI5" s="37" t="n">
        <x:v>99</x:v>
      </x:c>
      <x:c r="AJ5" s="37" t="n">
        <x:v>100</x:v>
      </x:c>
      <x:c r="AK5" s="35" t="str">
        <x:v>No</x:v>
      </x:c>
      <x:c r="AL5" s="38" t="n">
        <x:f>IF(AA5=0,0,AB5/AA5)</x:f>
        <x:v>0.9</x:v>
      </x:c>
      <x:c r="AM5" s="38" t="n">
        <x:f>IF(AB5=0,0,AC5/AB5)</x:f>
        <x:v>1</x:v>
      </x:c>
      <x:c r="AN5" s="37" t="n">
        <x:f>ROUND((AD5*0.20+AE5*0.20+AF5*0.25+AG5*0.15+MIN(100,AC5*12)*0.20),1)</x:f>
        <x:v>86.3</x:v>
      </x:c>
      <x:c r="AO5" s="37" t="n">
        <x:f>ROUND(MAX(0,MIN(100,(X5*0.35)+(W5/45*100*0.20)+((5-O5)/4*100*0.15)+((5-P5)/4*100*0.10)+((6-Y5)/5*100*0.10)+((100-Z5)*0.10))),1)</x:f>
        <x:v>39.3</x:v>
      </x:c>
      <x:c r="AP5" s="37" t="str">
        <x:f>IF(AO5&gt;=70,"High",IF(AO5&gt;=40,"Moderate","Low"))</x:f>
        <x:v>Low</x:v>
      </x:c>
      <x:c r="AQ5" s="37" t="n">
        <x:f>ROUND(MAX(0,MIN(100,(O5/4*100*0.25)+(P5/4*100*0.20)+(Q5/4*100*0.15)+(Y5/5*100*0.20)+(100-AO5)*0.20)),1)</x:f>
        <x:v>75.9</x:v>
      </x:c>
      <x:c r="AR5" s="37" t="n">
        <x:f>ROUND((AI5*0.20+AJ5*0.15+AN5*0.18+AG5*0.12+Z5*0.15+AQ5*0.20),1)</x:f>
        <x:v>92.5</x:v>
      </x:c>
      <x:c r="AS5" s="39" t="n">
        <x:f>ROUND((AC5*AF5*120)+(AH5*350)+(MAX(0,AI5-75)*220)+(MAX(0,AQ5-60)*100),0)</x:f>
        <x:v>94230</x:v>
      </x:c>
    </x:row>
    <x:row r="6">
      <x:c r="A6" s="35" t="n">
        <x:v>5</x:v>
      </x:c>
      <x:c r="B6" s="35" t="n">
        <x:v>29</x:v>
      </x:c>
      <x:c r="C6" s="35" t="str">
        <x:v>Male</x:v>
      </x:c>
      <x:c r="D6" s="35" t="str">
        <x:v>Research &amp; Development</x:v>
      </x:c>
      <x:c r="E6" s="35" t="str">
        <x:v>Data Scientist</x:v>
      </x:c>
      <x:c r="F6" s="35" t="str">
        <x:v>Marketing</x:v>
      </x:c>
      <x:c r="G6" s="35" t="str">
        <x:v>Married</x:v>
      </x:c>
      <x:c r="H6" s="35" t="n">
        <x:v>2</x:v>
      </x:c>
      <x:c r="I6" s="36" t="n">
        <x:v>4000</x:v>
      </x:c>
      <x:c r="J6" s="35" t="n">
        <x:v>5</x:v>
      </x:c>
      <x:c r="K6" s="35" t="n">
        <x:v>4</x:v>
      </x:c>
      <x:c r="L6" s="35" t="n">
        <x:v>2</x:v>
      </x:c>
      <x:c r="M6" s="35" t="n">
        <x:v>23</x:v>
      </x:c>
      <x:c r="N6" s="35" t="str">
        <x:v>Yes</x:v>
      </x:c>
      <x:c r="O6" s="35" t="n">
        <x:v>2</x:v>
      </x:c>
      <x:c r="P6" s="35" t="n">
        <x:v>3</x:v>
      </x:c>
      <x:c r="Q6" s="35" t="n">
        <x:v>4</x:v>
      </x:c>
      <x:c r="R6" s="35" t="n">
        <x:v>2</x:v>
      </x:c>
      <x:c r="S6" s="35" t="n">
        <x:v>4</x:v>
      </x:c>
      <x:c r="T6" s="35" t="n">
        <x:v>6</x:v>
      </x:c>
      <x:c r="U6" s="35" t="n">
        <x:v>2</x:v>
      </x:c>
      <x:c r="V6" s="35" t="n">
        <x:v>9</x:v>
      </x:c>
      <x:c r="W6" s="35" t="n">
        <x:v>15</x:v>
      </x:c>
      <x:c r="X6" s="35" t="n">
        <x:v>100</x:v>
      </x:c>
      <x:c r="Y6" s="35" t="n">
        <x:v>3</x:v>
      </x:c>
      <x:c r="Z6" s="35" t="n">
        <x:v>82</x:v>
      </x:c>
      <x:c r="AA6" s="35" t="n">
        <x:v>2</x:v>
      </x:c>
      <x:c r="AB6" s="35" t="n">
        <x:v>2</x:v>
      </x:c>
      <x:c r="AC6" s="35" t="n">
        <x:v>1</x:v>
      </x:c>
      <x:c r="AD6" s="35" t="n">
        <x:v>66</x:v>
      </x:c>
      <x:c r="AE6" s="35" t="n">
        <x:v>71</x:v>
      </x:c>
      <x:c r="AF6" s="35" t="n">
        <x:v>71</x:v>
      </x:c>
      <x:c r="AG6" s="35" t="n">
        <x:v>78</x:v>
      </x:c>
      <x:c r="AH6" s="35" t="n">
        <x:v>3</x:v>
      </x:c>
      <x:c r="AI6" s="37" t="n">
        <x:v>94.4</x:v>
      </x:c>
      <x:c r="AJ6" s="37" t="n">
        <x:v>89.7</x:v>
      </x:c>
      <x:c r="AK6" s="35" t="str">
        <x:v>No</x:v>
      </x:c>
      <x:c r="AL6" s="38" t="n">
        <x:f>IF(AA6=0,0,AB6/AA6)</x:f>
        <x:v>1</x:v>
      </x:c>
      <x:c r="AM6" s="38" t="n">
        <x:f>IF(AB6=0,0,AC6/AB6)</x:f>
        <x:v>0.5</x:v>
      </x:c>
      <x:c r="AN6" s="37" t="n">
        <x:f>ROUND((AD6*0.20+AE6*0.20+AF6*0.25+AG6*0.15+MIN(100,AC6*12)*0.20),1)</x:f>
        <x:v>59.3</x:v>
      </x:c>
      <x:c r="AO6" s="37" t="n">
        <x:f>ROUND(MAX(0,MIN(100,(X6*0.35)+(W6/45*100*0.20)+((5-O6)/4*100*0.15)+((5-P6)/4*100*0.10)+((6-Y6)/5*100*0.10)+((100-Z6)*0.10))),1)</x:f>
        <x:v>65.7</x:v>
      </x:c>
      <x:c r="AP6" s="37" t="str">
        <x:f>IF(AO6&gt;=70,"High",IF(AO6&gt;=40,"Moderate","Low"))</x:f>
        <x:v>Moderate</x:v>
      </x:c>
      <x:c r="AQ6" s="37" t="n">
        <x:f>ROUND(MAX(0,MIN(100,(O6/4*100*0.25)+(P6/4*100*0.20)+(Q6/4*100*0.15)+(Y6/5*100*0.20)+(100-AO6)*0.20)),1)</x:f>
        <x:v>61.4</x:v>
      </x:c>
      <x:c r="AR6" s="37" t="n">
        <x:f>ROUND((AI6*0.20+AJ6*0.15+AN6*0.18+AG6*0.12+Z6*0.15+AQ6*0.20),1)</x:f>
        <x:v>76.9</x:v>
      </x:c>
      <x:c r="AS6" s="39" t="n">
        <x:f>ROUND((AC6*AF6*120)+(AH6*350)+(MAX(0,AI6-75)*220)+(MAX(0,AQ6-60)*100),0)</x:f>
        <x:v>13978</x:v>
      </x:c>
    </x:row>
    <x:row r="7">
      <x:c r="A7" s="35" t="n">
        <x:v>6</x:v>
      </x:c>
      <x:c r="B7" s="35" t="n">
        <x:v>45</x:v>
      </x:c>
      <x:c r="C7" s="35" t="str">
        <x:v>Male</x:v>
      </x:c>
      <x:c r="D7" s="35" t="str">
        <x:v>Operations</x:v>
      </x:c>
      <x:c r="E7" s="35" t="str">
        <x:v>Operations Manager</x:v>
      </x:c>
      <x:c r="F7" s="35" t="str">
        <x:v>Business</x:v>
      </x:c>
      <x:c r="G7" s="35" t="str">
        <x:v>Married</x:v>
      </x:c>
      <x:c r="H7" s="35" t="n">
        <x:v>3</x:v>
      </x:c>
      <x:c r="I7" s="36" t="n">
        <x:v>11410</x:v>
      </x:c>
      <x:c r="J7" s="35" t="n">
        <x:v>21</x:v>
      </x:c>
      <x:c r="K7" s="35" t="n">
        <x:v>15</x:v>
      </x:c>
      <x:c r="L7" s="35" t="n">
        <x:v>7</x:v>
      </x:c>
      <x:c r="M7" s="35" t="n">
        <x:v>12</x:v>
      </x:c>
      <x:c r="N7" s="35" t="str">
        <x:v>Yes</x:v>
      </x:c>
      <x:c r="O7" s="35" t="n">
        <x:v>3</x:v>
      </x:c>
      <x:c r="P7" s="35" t="n">
        <x:v>3</x:v>
      </x:c>
      <x:c r="Q7" s="35" t="n">
        <x:v>3</x:v>
      </x:c>
      <x:c r="R7" s="35" t="n">
        <x:v>4</x:v>
      </x:c>
      <x:c r="S7" s="35" t="n">
        <x:v>3</x:v>
      </x:c>
      <x:c r="T7" s="35" t="n">
        <x:v>3</x:v>
      </x:c>
      <x:c r="U7" s="35" t="n">
        <x:v>0</x:v>
      </x:c>
      <x:c r="V7" s="35" t="n">
        <x:v>17</x:v>
      </x:c>
      <x:c r="W7" s="35" t="n">
        <x:v>28</x:v>
      </x:c>
      <x:c r="X7" s="35" t="n">
        <x:v>92</x:v>
      </x:c>
      <x:c r="Y7" s="35" t="n">
        <x:v>4</x:v>
      </x:c>
      <x:c r="Z7" s="35" t="n">
        <x:v>100</x:v>
      </x:c>
      <x:c r="AA7" s="35" t="n">
        <x:v>15</x:v>
      </x:c>
      <x:c r="AB7" s="35" t="n">
        <x:v>12</x:v>
      </x:c>
      <x:c r="AC7" s="35" t="n">
        <x:v>10</x:v>
      </x:c>
      <x:c r="AD7" s="35" t="n">
        <x:v>84</x:v>
      </x:c>
      <x:c r="AE7" s="35" t="n">
        <x:v>100</x:v>
      </x:c>
      <x:c r="AF7" s="35" t="n">
        <x:v>100</x:v>
      </x:c>
      <x:c r="AG7" s="35" t="n">
        <x:v>100</x:v>
      </x:c>
      <x:c r="AH7" s="35" t="n">
        <x:v>12</x:v>
      </x:c>
      <x:c r="AI7" s="37" t="n">
        <x:v>100</x:v>
      </x:c>
      <x:c r="AJ7" s="37" t="n">
        <x:v>94.4</x:v>
      </x:c>
      <x:c r="AK7" s="35" t="str">
        <x:v>Yes</x:v>
      </x:c>
      <x:c r="AL7" s="38" t="n">
        <x:f>IF(AA7=0,0,AB7/AA7)</x:f>
        <x:v>0.8</x:v>
      </x:c>
      <x:c r="AM7" s="38" t="n">
        <x:f>IF(AB7=0,0,AC7/AB7)</x:f>
        <x:v>0.8333333333333334</x:v>
      </x:c>
      <x:c r="AN7" s="37" t="n">
        <x:f>ROUND((AD7*0.20+AE7*0.20+AF7*0.25+AG7*0.15+MIN(100,AC7*12)*0.20),1)</x:f>
        <x:v>96.8</x:v>
      </x:c>
      <x:c r="AO7" s="37" t="n">
        <x:f>ROUND(MAX(0,MIN(100,(X7*0.35)+(W7/45*100*0.20)+((5-O7)/4*100*0.15)+((5-P7)/4*100*0.10)+((6-Y7)/5*100*0.10)+((100-Z7)*0.10))),1)</x:f>
        <x:v>61.1</x:v>
      </x:c>
      <x:c r="AP7" s="37" t="str">
        <x:f>IF(AO7&gt;=70,"High",IF(AO7&gt;=40,"Moderate","Low"))</x:f>
        <x:v>Moderate</x:v>
      </x:c>
      <x:c r="AQ7" s="37" t="n">
        <x:f>ROUND(MAX(0,MIN(100,(O7/4*100*0.25)+(P7/4*100*0.20)+(Q7/4*100*0.15)+(Y7/5*100*0.20)+(100-AO7)*0.20)),1)</x:f>
        <x:v>68.8</x:v>
      </x:c>
      <x:c r="AR7" s="37" t="n">
        <x:f>ROUND((AI7*0.20+AJ7*0.15+AN7*0.18+AG7*0.12+Z7*0.15+AQ7*0.20),1)</x:f>
        <x:v>92.3</x:v>
      </x:c>
      <x:c r="AS7" s="39" t="n">
        <x:f>ROUND((AC7*AF7*120)+(AH7*350)+(MAX(0,AI7-75)*220)+(MAX(0,AQ7-60)*100),0)</x:f>
        <x:v>130580</x:v>
      </x:c>
    </x:row>
    <x:row r="8">
      <x:c r="A8" s="35" t="n">
        <x:v>7</x:v>
      </x:c>
      <x:c r="B8" s="35" t="n">
        <x:v>32</x:v>
      </x:c>
      <x:c r="C8" s="35" t="str">
        <x:v>Female</x:v>
      </x:c>
      <x:c r="D8" s="35" t="str">
        <x:v>Research &amp; Development</x:v>
      </x:c>
      <x:c r="E8" s="35" t="str">
        <x:v>Laboratory Technician</x:v>
      </x:c>
      <x:c r="F8" s="35" t="str">
        <x:v>Medical</x:v>
      </x:c>
      <x:c r="G8" s="35" t="str">
        <x:v>Married</x:v>
      </x:c>
      <x:c r="H8" s="35" t="n">
        <x:v>2</x:v>
      </x:c>
      <x:c r="I8" s="36" t="n">
        <x:v>8110</x:v>
      </x:c>
      <x:c r="J8" s="35" t="n">
        <x:v>5</x:v>
      </x:c>
      <x:c r="K8" s="35" t="n">
        <x:v>2</x:v>
      </x:c>
      <x:c r="L8" s="35" t="n">
        <x:v>1</x:v>
      </x:c>
      <x:c r="M8" s="35" t="n">
        <x:v>8</x:v>
      </x:c>
      <x:c r="N8" s="35" t="str">
        <x:v>No</x:v>
      </x:c>
      <x:c r="O8" s="35" t="n">
        <x:v>2</x:v>
      </x:c>
      <x:c r="P8" s="35" t="n">
        <x:v>3</x:v>
      </x:c>
      <x:c r="Q8" s="35" t="n">
        <x:v>1</x:v>
      </x:c>
      <x:c r="R8" s="35" t="n">
        <x:v>3</x:v>
      </x:c>
      <x:c r="S8" s="35" t="n">
        <x:v>3</x:v>
      </x:c>
      <x:c r="T8" s="35" t="n">
        <x:v>0</x:v>
      </x:c>
      <x:c r="U8" s="35" t="n">
        <x:v>2</x:v>
      </x:c>
      <x:c r="V8" s="35" t="n">
        <x:v>6</x:v>
      </x:c>
      <x:c r="W8" s="35" t="n">
        <x:v>6</x:v>
      </x:c>
      <x:c r="X8" s="35" t="n">
        <x:v>77</x:v>
      </x:c>
      <x:c r="Y8" s="35" t="n">
        <x:v>3</x:v>
      </x:c>
      <x:c r="Z8" s="35" t="n">
        <x:v>100</x:v>
      </x:c>
      <x:c r="AA8" s="35" t="n">
        <x:v>1</x:v>
      </x:c>
      <x:c r="AB8" s="35" t="n">
        <x:v>0</x:v>
      </x:c>
      <x:c r="AC8" s="35" t="n">
        <x:v>0</x:v>
      </x:c>
      <x:c r="AD8" s="35" t="n">
        <x:v>68</x:v>
      </x:c>
      <x:c r="AE8" s="35" t="n">
        <x:v>60</x:v>
      </x:c>
      <x:c r="AF8" s="35" t="n">
        <x:v>71</x:v>
      </x:c>
      <x:c r="AG8" s="35" t="n">
        <x:v>84</x:v>
      </x:c>
      <x:c r="AH8" s="35" t="n">
        <x:v>4</x:v>
      </x:c>
      <x:c r="AI8" s="37" t="n">
        <x:v>100</x:v>
      </x:c>
      <x:c r="AJ8" s="37" t="n">
        <x:v>99.9</x:v>
      </x:c>
      <x:c r="AK8" s="35" t="str">
        <x:v>No</x:v>
      </x:c>
      <x:c r="AL8" s="38" t="n">
        <x:f>IF(AA8=0,0,AB8/AA8)</x:f>
        <x:v>0</x:v>
      </x:c>
      <x:c r="AM8" s="38" t="n">
        <x:f>IF(AB8=0,0,AC8/AB8)</x:f>
        <x:v>0</x:v>
      </x:c>
      <x:c r="AN8" s="37" t="n">
        <x:f>ROUND((AD8*0.20+AE8*0.20+AF8*0.25+AG8*0.15+MIN(100,AC8*12)*0.20),1)</x:f>
        <x:v>56</x:v>
      </x:c>
      <x:c r="AO8" s="37" t="n">
        <x:f>ROUND(MAX(0,MIN(100,(X8*0.35)+(W8/45*100*0.20)+((5-O8)/4*100*0.15)+((5-P8)/4*100*0.10)+((6-Y8)/5*100*0.10)+((100-Z8)*0.10))),1)</x:f>
        <x:v>51.9</x:v>
      </x:c>
      <x:c r="AP8" s="37" t="str">
        <x:f>IF(AO8&gt;=70,"High",IF(AO8&gt;=40,"Moderate","Low"))</x:f>
        <x:v>Moderate</x:v>
      </x:c>
      <x:c r="AQ8" s="37" t="n">
        <x:f>ROUND(MAX(0,MIN(100,(O8/4*100*0.25)+(P8/4*100*0.20)+(Q8/4*100*0.15)+(Y8/5*100*0.20)+(100-AO8)*0.20)),1)</x:f>
        <x:v>52.9</x:v>
      </x:c>
      <x:c r="AR8" s="37" t="n">
        <x:f>ROUND((AI8*0.20+AJ8*0.15+AN8*0.18+AG8*0.12+Z8*0.15+AQ8*0.20),1)</x:f>
        <x:v>80.7</x:v>
      </x:c>
      <x:c r="AS8" s="39" t="n">
        <x:f>ROUND((AC8*AF8*120)+(AH8*350)+(MAX(0,AI8-75)*220)+(MAX(0,AQ8-60)*100),0)</x:f>
        <x:v>6900</x:v>
      </x:c>
    </x:row>
    <x:row r="9">
      <x:c r="A9" s="35" t="n">
        <x:v>8</x:v>
      </x:c>
      <x:c r="B9" s="35" t="n">
        <x:v>40</x:v>
      </x:c>
      <x:c r="C9" s="35" t="str">
        <x:v>Female</x:v>
      </x:c>
      <x:c r="D9" s="35" t="str">
        <x:v>Information Technology</x:v>
      </x:c>
      <x:c r="E9" s="35" t="str">
        <x:v>IT Manager</x:v>
      </x:c>
      <x:c r="F9" s="35" t="str">
        <x:v>Medical</x:v>
      </x:c>
      <x:c r="G9" s="35" t="str">
        <x:v>Married</x:v>
      </x:c>
      <x:c r="H9" s="35" t="n">
        <x:v>4</x:v>
      </x:c>
      <x:c r="I9" s="36" t="n">
        <x:v>18830</x:v>
      </x:c>
      <x:c r="J9" s="35" t="n">
        <x:v>13</x:v>
      </x:c>
      <x:c r="K9" s="35" t="n">
        <x:v>5</x:v>
      </x:c>
      <x:c r="L9" s="35" t="n">
        <x:v>2</x:v>
      </x:c>
      <x:c r="M9" s="35" t="n">
        <x:v>2</x:v>
      </x:c>
      <x:c r="N9" s="35" t="str">
        <x:v>No</x:v>
      </x:c>
      <x:c r="O9" s="35" t="n">
        <x:v>3</x:v>
      </x:c>
      <x:c r="P9" s="35" t="n">
        <x:v>3</x:v>
      </x:c>
      <x:c r="Q9" s="35" t="n">
        <x:v>3</x:v>
      </x:c>
      <x:c r="R9" s="35" t="n">
        <x:v>2</x:v>
      </x:c>
      <x:c r="S9" s="35" t="n">
        <x:v>4</x:v>
      </x:c>
      <x:c r="T9" s="35" t="n">
        <x:v>4</x:v>
      </x:c>
      <x:c r="U9" s="35" t="n">
        <x:v>0</x:v>
      </x:c>
      <x:c r="V9" s="35" t="n">
        <x:v>13</x:v>
      </x:c>
      <x:c r="W9" s="35" t="n">
        <x:v>17</x:v>
      </x:c>
      <x:c r="X9" s="35" t="n">
        <x:v>71</x:v>
      </x:c>
      <x:c r="Y9" s="35" t="n">
        <x:v>4</x:v>
      </x:c>
      <x:c r="Z9" s="35" t="n">
        <x:v>92</x:v>
      </x:c>
      <x:c r="AA9" s="35" t="n">
        <x:v>7</x:v>
      </x:c>
      <x:c r="AB9" s="35" t="n">
        <x:v>6</x:v>
      </x:c>
      <x:c r="AC9" s="35" t="n">
        <x:v>4</x:v>
      </x:c>
      <x:c r="AD9" s="35" t="n">
        <x:v>83</x:v>
      </x:c>
      <x:c r="AE9" s="35" t="n">
        <x:v>76</x:v>
      </x:c>
      <x:c r="AF9" s="35" t="n">
        <x:v>99</x:v>
      </x:c>
      <x:c r="AG9" s="35" t="n">
        <x:v>89</x:v>
      </x:c>
      <x:c r="AH9" s="35" t="n">
        <x:v>9</x:v>
      </x:c>
      <x:c r="AI9" s="37" t="n">
        <x:v>91.7</x:v>
      </x:c>
      <x:c r="AJ9" s="37" t="n">
        <x:v>100</x:v>
      </x:c>
      <x:c r="AK9" s="35" t="str">
        <x:v>No</x:v>
      </x:c>
      <x:c r="AL9" s="38" t="n">
        <x:f>IF(AA9=0,0,AB9/AA9)</x:f>
        <x:v>0.8571428571428571</x:v>
      </x:c>
      <x:c r="AM9" s="38" t="n">
        <x:f>IF(AB9=0,0,AC9/AB9)</x:f>
        <x:v>0.6666666666666666</x:v>
      </x:c>
      <x:c r="AN9" s="37" t="n">
        <x:f>ROUND((AD9*0.20+AE9*0.20+AF9*0.25+AG9*0.15+MIN(100,AC9*12)*0.20),1)</x:f>
        <x:v>79.5</x:v>
      </x:c>
      <x:c r="AO9" s="37" t="n">
        <x:f>ROUND(MAX(0,MIN(100,(X9*0.35)+(W9/45*100*0.20)+((5-O9)/4*100*0.15)+((5-P9)/4*100*0.10)+((6-Y9)/5*100*0.10)+((100-Z9)*0.10))),1)</x:f>
        <x:v>49.7</x:v>
      </x:c>
      <x:c r="AP9" s="37" t="str">
        <x:f>IF(AO9&gt;=70,"High",IF(AO9&gt;=40,"Moderate","Low"))</x:f>
        <x:v>Moderate</x:v>
      </x:c>
      <x:c r="AQ9" s="37" t="n">
        <x:f>ROUND(MAX(0,MIN(100,(O9/4*100*0.25)+(P9/4*100*0.20)+(Q9/4*100*0.15)+(Y9/5*100*0.20)+(100-AO9)*0.20)),1)</x:f>
        <x:v>71.1</x:v>
      </x:c>
      <x:c r="AR9" s="37" t="n">
        <x:f>ROUND((AI9*0.20+AJ9*0.15+AN9*0.18+AG9*0.12+Z9*0.15+AQ9*0.20),1)</x:f>
        <x:v>86.4</x:v>
      </x:c>
      <x:c r="AS9" s="39" t="n">
        <x:f>ROUND((AC9*AF9*120)+(AH9*350)+(MAX(0,AI9-75)*220)+(MAX(0,AQ9-60)*100),0)</x:f>
        <x:v>55454</x:v>
      </x:c>
    </x:row>
    <x:row r="10">
      <x:c r="A10" s="35" t="n">
        <x:v>9</x:v>
      </x:c>
      <x:c r="B10" s="35" t="n">
        <x:v>36</x:v>
      </x:c>
      <x:c r="C10" s="35" t="str">
        <x:v>Male</x:v>
      </x:c>
      <x:c r="D10" s="35" t="str">
        <x:v>Operations</x:v>
      </x:c>
      <x:c r="E10" s="35" t="str">
        <x:v>Quality Specialist</x:v>
      </x:c>
      <x:c r="F10" s="35" t="str">
        <x:v>Life Sciences</x:v>
      </x:c>
      <x:c r="G10" s="35" t="str">
        <x:v>Married</x:v>
      </x:c>
      <x:c r="H10" s="35" t="n">
        <x:v>1</x:v>
      </x:c>
      <x:c r="I10" s="36" t="n">
        <x:v>5210</x:v>
      </x:c>
      <x:c r="J10" s="35" t="n">
        <x:v>10</x:v>
      </x:c>
      <x:c r="K10" s="35" t="n">
        <x:v>8</x:v>
      </x:c>
      <x:c r="L10" s="35" t="n">
        <x:v>2</x:v>
      </x:c>
      <x:c r="M10" s="35" t="n">
        <x:v>10</x:v>
      </x:c>
      <x:c r="N10" s="35" t="str">
        <x:v>Yes</x:v>
      </x:c>
      <x:c r="O10" s="35" t="n">
        <x:v>2</x:v>
      </x:c>
      <x:c r="P10" s="35" t="n">
        <x:v>2</x:v>
      </x:c>
      <x:c r="Q10" s="35" t="n">
        <x:v>2</x:v>
      </x:c>
      <x:c r="R10" s="35" t="n">
        <x:v>4</x:v>
      </x:c>
      <x:c r="S10" s="35" t="n">
        <x:v>4</x:v>
      </x:c>
      <x:c r="T10" s="35" t="n">
        <x:v>1</x:v>
      </x:c>
      <x:c r="U10" s="35" t="n">
        <x:v>0</x:v>
      </x:c>
      <x:c r="V10" s="35" t="n">
        <x:v>10</x:v>
      </x:c>
      <x:c r="W10" s="35" t="n">
        <x:v>19</x:v>
      </x:c>
      <x:c r="X10" s="35" t="n">
        <x:v>83</x:v>
      </x:c>
      <x:c r="Y10" s="35" t="n">
        <x:v>5</x:v>
      </x:c>
      <x:c r="Z10" s="35" t="n">
        <x:v>100</x:v>
      </x:c>
      <x:c r="AA10" s="35" t="n">
        <x:v>10</x:v>
      </x:c>
      <x:c r="AB10" s="35" t="n">
        <x:v>7</x:v>
      </x:c>
      <x:c r="AC10" s="35" t="n">
        <x:v>5</x:v>
      </x:c>
      <x:c r="AD10" s="35" t="n">
        <x:v>69</x:v>
      </x:c>
      <x:c r="AE10" s="35" t="n">
        <x:v>96</x:v>
      </x:c>
      <x:c r="AF10" s="35" t="n">
        <x:v>73</x:v>
      </x:c>
      <x:c r="AG10" s="35" t="n">
        <x:v>100</x:v>
      </x:c>
      <x:c r="AH10" s="35" t="n">
        <x:v>11</x:v>
      </x:c>
      <x:c r="AI10" s="37" t="n">
        <x:v>100</x:v>
      </x:c>
      <x:c r="AJ10" s="37" t="n">
        <x:v>100</x:v>
      </x:c>
      <x:c r="AK10" s="35" t="str">
        <x:v>Yes</x:v>
      </x:c>
      <x:c r="AL10" s="38" t="n">
        <x:f>IF(AA10=0,0,AB10/AA10)</x:f>
        <x:v>0.7</x:v>
      </x:c>
      <x:c r="AM10" s="38" t="n">
        <x:f>IF(AB10=0,0,AC10/AB10)</x:f>
        <x:v>0.7142857142857143</x:v>
      </x:c>
      <x:c r="AN10" s="37" t="n">
        <x:f>ROUND((AD10*0.20+AE10*0.20+AF10*0.25+AG10*0.15+MIN(100,AC10*12)*0.20),1)</x:f>
        <x:v>78.3</x:v>
      </x:c>
      <x:c r="AO10" s="37" t="n">
        <x:f>ROUND(MAX(0,MIN(100,(X10*0.35)+(W10/45*100*0.20)+((5-O10)/4*100*0.15)+((5-P10)/4*100*0.10)+((6-Y10)/5*100*0.10)+((100-Z10)*0.10))),1)</x:f>
        <x:v>58.2</x:v>
      </x:c>
      <x:c r="AP10" s="37" t="str">
        <x:f>IF(AO10&gt;=70,"High",IF(AO10&gt;=40,"Moderate","Low"))</x:f>
        <x:v>Moderate</x:v>
      </x:c>
      <x:c r="AQ10" s="37" t="n">
        <x:f>ROUND(MAX(0,MIN(100,(O10/4*100*0.25)+(P10/4*100*0.20)+(Q10/4*100*0.15)+(Y10/5*100*0.20)+(100-AO10)*0.20)),1)</x:f>
        <x:v>58.4</x:v>
      </x:c>
      <x:c r="AR10" s="37" t="n">
        <x:f>ROUND((AI10*0.20+AJ10*0.15+AN10*0.18+AG10*0.12+Z10*0.15+AQ10*0.20),1)</x:f>
        <x:v>87.8</x:v>
      </x:c>
      <x:c r="AS10" s="39" t="n">
        <x:f>ROUND((AC10*AF10*120)+(AH10*350)+(MAX(0,AI10-75)*220)+(MAX(0,AQ10-60)*100),0)</x:f>
        <x:v>53150</x:v>
      </x:c>
    </x:row>
    <x:row r="11">
      <x:c r="A11" s="35" t="n">
        <x:v>10</x:v>
      </x:c>
      <x:c r="B11" s="35" t="n">
        <x:v>40</x:v>
      </x:c>
      <x:c r="C11" s="35" t="str">
        <x:v>Female</x:v>
      </x:c>
      <x:c r="D11" s="35" t="str">
        <x:v>Information Technology</x:v>
      </x:c>
      <x:c r="E11" s="35" t="str">
        <x:v>IT Support</x:v>
      </x:c>
      <x:c r="F11" s="35" t="str">
        <x:v>Marketing</x:v>
      </x:c>
      <x:c r="G11" s="35" t="str">
        <x:v>Married</x:v>
      </x:c>
      <x:c r="H11" s="35" t="n">
        <x:v>2</x:v>
      </x:c>
      <x:c r="I11" s="36" t="n">
        <x:v>10240</x:v>
      </x:c>
      <x:c r="J11" s="35" t="n">
        <x:v>17</x:v>
      </x:c>
      <x:c r="K11" s="35" t="n">
        <x:v>6</x:v>
      </x:c>
      <x:c r="L11" s="35" t="n">
        <x:v>3</x:v>
      </x:c>
      <x:c r="M11" s="35" t="n">
        <x:v>10</x:v>
      </x:c>
      <x:c r="N11" s="35" t="str">
        <x:v>Yes</x:v>
      </x:c>
      <x:c r="O11" s="35" t="n">
        <x:v>2</x:v>
      </x:c>
      <x:c r="P11" s="35" t="n">
        <x:v>3</x:v>
      </x:c>
      <x:c r="Q11" s="35" t="n">
        <x:v>4</x:v>
      </x:c>
      <x:c r="R11" s="35" t="n">
        <x:v>4</x:v>
      </x:c>
      <x:c r="S11" s="35" t="n">
        <x:v>3</x:v>
      </x:c>
      <x:c r="T11" s="35" t="n">
        <x:v>2</x:v>
      </x:c>
      <x:c r="U11" s="35" t="n">
        <x:v>2</x:v>
      </x:c>
      <x:c r="V11" s="35" t="n">
        <x:v>4</x:v>
      </x:c>
      <x:c r="W11" s="35" t="n">
        <x:v>31</x:v>
      </x:c>
      <x:c r="X11" s="35" t="n">
        <x:v>44</x:v>
      </x:c>
      <x:c r="Y11" s="35" t="n">
        <x:v>5</x:v>
      </x:c>
      <x:c r="Z11" s="35" t="n">
        <x:v>100</x:v>
      </x:c>
      <x:c r="AA11" s="35" t="n">
        <x:v>8</x:v>
      </x:c>
      <x:c r="AB11" s="35" t="n">
        <x:v>7</x:v>
      </x:c>
      <x:c r="AC11" s="35" t="n">
        <x:v>6</x:v>
      </x:c>
      <x:c r="AD11" s="35" t="n">
        <x:v>96</x:v>
      </x:c>
      <x:c r="AE11" s="35" t="n">
        <x:v>79</x:v>
      </x:c>
      <x:c r="AF11" s="35" t="n">
        <x:v>85</x:v>
      </x:c>
      <x:c r="AG11" s="35" t="n">
        <x:v>91</x:v>
      </x:c>
      <x:c r="AH11" s="35" t="n">
        <x:v>12</x:v>
      </x:c>
      <x:c r="AI11" s="37" t="n">
        <x:v>96.5</x:v>
      </x:c>
      <x:c r="AJ11" s="37" t="n">
        <x:v>100</x:v>
      </x:c>
      <x:c r="AK11" s="35" t="str">
        <x:v>No</x:v>
      </x:c>
      <x:c r="AL11" s="38" t="n">
        <x:f>IF(AA11=0,0,AB11/AA11)</x:f>
        <x:v>0.875</x:v>
      </x:c>
      <x:c r="AM11" s="38" t="n">
        <x:f>IF(AB11=0,0,AC11/AB11)</x:f>
        <x:v>0.8571428571428571</x:v>
      </x:c>
      <x:c r="AN11" s="37" t="n">
        <x:f>ROUND((AD11*0.20+AE11*0.20+AF11*0.25+AG11*0.15+MIN(100,AC11*12)*0.20),1)</x:f>
        <x:v>84.3</x:v>
      </x:c>
      <x:c r="AO11" s="37" t="n">
        <x:f>ROUND(MAX(0,MIN(100,(X11*0.35)+(W11/45*100*0.20)+((5-O11)/4*100*0.15)+((5-P11)/4*100*0.10)+((6-Y11)/5*100*0.10)+((100-Z11)*0.10))),1)</x:f>
        <x:v>47.4</x:v>
      </x:c>
      <x:c r="AP11" s="37" t="str">
        <x:f>IF(AO11&gt;=70,"High",IF(AO11&gt;=40,"Moderate","Low"))</x:f>
        <x:v>Moderate</x:v>
      </x:c>
      <x:c r="AQ11" s="37" t="n">
        <x:f>ROUND(MAX(0,MIN(100,(O11/4*100*0.25)+(P11/4*100*0.20)+(Q11/4*100*0.15)+(Y11/5*100*0.20)+(100-AO11)*0.20)),1)</x:f>
        <x:v>73</x:v>
      </x:c>
      <x:c r="AR11" s="37" t="n">
        <x:f>ROUND((AI11*0.20+AJ11*0.15+AN11*0.18+AG11*0.12+Z11*0.15+AQ11*0.20),1)</x:f>
        <x:v>90</x:v>
      </x:c>
      <x:c r="AS11" s="39" t="n">
        <x:f>ROUND((AC11*AF11*120)+(AH11*350)+(MAX(0,AI11-75)*220)+(MAX(0,AQ11-60)*100),0)</x:f>
        <x:v>71430</x:v>
      </x:c>
    </x:row>
    <x:row r="12">
      <x:c r="A12" s="35" t="n">
        <x:v>11</x:v>
      </x:c>
      <x:c r="B12" s="35" t="n">
        <x:v>32</x:v>
      </x:c>
      <x:c r="C12" s="35" t="str">
        <x:v>Female</x:v>
      </x:c>
      <x:c r="D12" s="35" t="str">
        <x:v>Sales</x:v>
      </x:c>
      <x:c r="E12" s="35" t="str">
        <x:v>Account Manager</x:v>
      </x:c>
      <x:c r="F12" s="35" t="str">
        <x:v>Computer Science</x:v>
      </x:c>
      <x:c r="G12" s="35" t="str">
        <x:v>Married</x:v>
      </x:c>
      <x:c r="H12" s="35" t="n">
        <x:v>1</x:v>
      </x:c>
      <x:c r="I12" s="36" t="n">
        <x:v>5810</x:v>
      </x:c>
      <x:c r="J12" s="35" t="n">
        <x:v>9</x:v>
      </x:c>
      <x:c r="K12" s="35" t="n">
        <x:v>7</x:v>
      </x:c>
      <x:c r="L12" s="35" t="n">
        <x:v>2</x:v>
      </x:c>
      <x:c r="M12" s="35" t="n">
        <x:v>20</x:v>
      </x:c>
      <x:c r="N12" s="35" t="str">
        <x:v>Yes</x:v>
      </x:c>
      <x:c r="O12" s="35" t="n">
        <x:v>2</x:v>
      </x:c>
      <x:c r="P12" s="35" t="n">
        <x:v>4</x:v>
      </x:c>
      <x:c r="Q12" s="35" t="n">
        <x:v>2</x:v>
      </x:c>
      <x:c r="R12" s="35" t="n">
        <x:v>4</x:v>
      </x:c>
      <x:c r="S12" s="35" t="n">
        <x:v>3</x:v>
      </x:c>
      <x:c r="T12" s="35" t="n">
        <x:v>5</x:v>
      </x:c>
      <x:c r="U12" s="35" t="n">
        <x:v>3</x:v>
      </x:c>
      <x:c r="V12" s="35" t="n">
        <x:v>9</x:v>
      </x:c>
      <x:c r="W12" s="35" t="n">
        <x:v>24</x:v>
      </x:c>
      <x:c r="X12" s="35" t="n">
        <x:v>69</x:v>
      </x:c>
      <x:c r="Y12" s="35" t="n">
        <x:v>5</x:v>
      </x:c>
      <x:c r="Z12" s="35" t="n">
        <x:v>100</x:v>
      </x:c>
      <x:c r="AA12" s="35" t="n">
        <x:v>3</x:v>
      </x:c>
      <x:c r="AB12" s="35" t="n">
        <x:v>2</x:v>
      </x:c>
      <x:c r="AC12" s="35" t="n">
        <x:v>2</x:v>
      </x:c>
      <x:c r="AD12" s="35" t="n">
        <x:v>61</x:v>
      </x:c>
      <x:c r="AE12" s="35" t="n">
        <x:v>86</x:v>
      </x:c>
      <x:c r="AF12" s="35" t="n">
        <x:v>94</x:v>
      </x:c>
      <x:c r="AG12" s="35" t="n">
        <x:v>99</x:v>
      </x:c>
      <x:c r="AH12" s="35" t="n">
        <x:v>4</x:v>
      </x:c>
      <x:c r="AI12" s="37" t="n">
        <x:v>95.5</x:v>
      </x:c>
      <x:c r="AJ12" s="37" t="n">
        <x:v>98.9</x:v>
      </x:c>
      <x:c r="AK12" s="35" t="str">
        <x:v>Yes</x:v>
      </x:c>
      <x:c r="AL12" s="38" t="n">
        <x:f>IF(AA12=0,0,AB12/AA12)</x:f>
        <x:v>0.6666666666666666</x:v>
      </x:c>
      <x:c r="AM12" s="38" t="n">
        <x:f>IF(AB12=0,0,AC12/AB12)</x:f>
        <x:v>1</x:v>
      </x:c>
      <x:c r="AN12" s="37" t="n">
        <x:f>ROUND((AD12*0.20+AE12*0.20+AF12*0.25+AG12*0.15+MIN(100,AC12*12)*0.20),1)</x:f>
        <x:v>72.6</x:v>
      </x:c>
      <x:c r="AO12" s="37" t="n">
        <x:f>ROUND(MAX(0,MIN(100,(X12*0.35)+(W12/45*100*0.20)+((5-O12)/4*100*0.15)+((5-P12)/4*100*0.10)+((6-Y12)/5*100*0.10)+((100-Z12)*0.10))),1)</x:f>
        <x:v>50.6</x:v>
      </x:c>
      <x:c r="AP12" s="37" t="str">
        <x:f>IF(AO12&gt;=70,"High",IF(AO12&gt;=40,"Moderate","Low"))</x:f>
        <x:v>Moderate</x:v>
      </x:c>
      <x:c r="AQ12" s="37" t="n">
        <x:f>ROUND(MAX(0,MIN(100,(O12/4*100*0.25)+(P12/4*100*0.20)+(Q12/4*100*0.15)+(Y12/5*100*0.20)+(100-AO12)*0.20)),1)</x:f>
        <x:v>69.9</x:v>
      </x:c>
      <x:c r="AR12" s="37" t="n">
        <x:f>ROUND((AI12*0.20+AJ12*0.15+AN12*0.18+AG12*0.12+Z12*0.15+AQ12*0.20),1)</x:f>
        <x:v>87.9</x:v>
      </x:c>
      <x:c r="AS12" s="39" t="n">
        <x:f>ROUND((AC12*AF12*120)+(AH12*350)+(MAX(0,AI12-75)*220)+(MAX(0,AQ12-60)*100),0)</x:f>
        <x:v>29460</x:v>
      </x:c>
    </x:row>
    <x:row r="13">
      <x:c r="A13" s="35" t="n">
        <x:v>12</x:v>
      </x:c>
      <x:c r="B13" s="35" t="n">
        <x:v>38</x:v>
      </x:c>
      <x:c r="C13" s="35" t="str">
        <x:v>Female</x:v>
      </x:c>
      <x:c r="D13" s="35" t="str">
        <x:v>Operations</x:v>
      </x:c>
      <x:c r="E13" s="35" t="str">
        <x:v>Operations Manager</x:v>
      </x:c>
      <x:c r="F13" s="35" t="str">
        <x:v>Medical</x:v>
      </x:c>
      <x:c r="G13" s="35" t="str">
        <x:v>Divorced</x:v>
      </x:c>
      <x:c r="H13" s="35" t="n">
        <x:v>2</x:v>
      </x:c>
      <x:c r="I13" s="36" t="n">
        <x:v>10440</x:v>
      </x:c>
      <x:c r="J13" s="35" t="n">
        <x:v>8</x:v>
      </x:c>
      <x:c r="K13" s="35" t="n">
        <x:v>5</x:v>
      </x:c>
      <x:c r="L13" s="35" t="n">
        <x:v>3</x:v>
      </x:c>
      <x:c r="M13" s="35" t="n">
        <x:v>21</x:v>
      </x:c>
      <x:c r="N13" s="35" t="str">
        <x:v>No</x:v>
      </x:c>
      <x:c r="O13" s="35" t="n">
        <x:v>2</x:v>
      </x:c>
      <x:c r="P13" s="35" t="n">
        <x:v>3</x:v>
      </x:c>
      <x:c r="Q13" s="35" t="n">
        <x:v>3</x:v>
      </x:c>
      <x:c r="R13" s="35" t="n">
        <x:v>2</x:v>
      </x:c>
      <x:c r="S13" s="35" t="n">
        <x:v>3</x:v>
      </x:c>
      <x:c r="T13" s="35" t="n">
        <x:v>4</x:v>
      </x:c>
      <x:c r="U13" s="35" t="n">
        <x:v>0</x:v>
      </x:c>
      <x:c r="V13" s="35" t="n">
        <x:v>6</x:v>
      </x:c>
      <x:c r="W13" s="35" t="n">
        <x:v>6</x:v>
      </x:c>
      <x:c r="X13" s="35" t="n">
        <x:v>64</x:v>
      </x:c>
      <x:c r="Y13" s="35" t="n">
        <x:v>5</x:v>
      </x:c>
      <x:c r="Z13" s="35" t="n">
        <x:v>95</x:v>
      </x:c>
      <x:c r="AA13" s="35" t="n">
        <x:v>3</x:v>
      </x:c>
      <x:c r="AB13" s="35" t="n">
        <x:v>2</x:v>
      </x:c>
      <x:c r="AC13" s="35" t="n">
        <x:v>1</x:v>
      </x:c>
      <x:c r="AD13" s="35" t="n">
        <x:v>60</x:v>
      </x:c>
      <x:c r="AE13" s="35" t="n">
        <x:v>64</x:v>
      </x:c>
      <x:c r="AF13" s="35" t="n">
        <x:v>46</x:v>
      </x:c>
      <x:c r="AG13" s="35" t="n">
        <x:v>81</x:v>
      </x:c>
      <x:c r="AH13" s="35" t="n">
        <x:v>4</x:v>
      </x:c>
      <x:c r="AI13" s="37" t="n">
        <x:v>100</x:v>
      </x:c>
      <x:c r="AJ13" s="37" t="n">
        <x:v>100</x:v>
      </x:c>
      <x:c r="AK13" s="35" t="str">
        <x:v>No</x:v>
      </x:c>
      <x:c r="AL13" s="38" t="n">
        <x:f>IF(AA13=0,0,AB13/AA13)</x:f>
        <x:v>0.6666666666666666</x:v>
      </x:c>
      <x:c r="AM13" s="38" t="n">
        <x:f>IF(AB13=0,0,AC13/AB13)</x:f>
        <x:v>0.5</x:v>
      </x:c>
      <x:c r="AN13" s="37" t="n">
        <x:f>ROUND((AD13*0.20+AE13*0.20+AF13*0.25+AG13*0.15+MIN(100,AC13*12)*0.20),1)</x:f>
        <x:v>50.8</x:v>
      </x:c>
      <x:c r="AO13" s="37" t="n">
        <x:f>ROUND(MAX(0,MIN(100,(X13*0.35)+(W13/45*100*0.20)+((5-O13)/4*100*0.15)+((5-P13)/4*100*0.10)+((6-Y13)/5*100*0.10)+((100-Z13)*0.10))),1)</x:f>
        <x:v>43.8</x:v>
      </x:c>
      <x:c r="AP13" s="37" t="str">
        <x:f>IF(AO13&gt;=70,"High",IF(AO13&gt;=40,"Moderate","Low"))</x:f>
        <x:v>Moderate</x:v>
      </x:c>
      <x:c r="AQ13" s="37" t="n">
        <x:f>ROUND(MAX(0,MIN(100,(O13/4*100*0.25)+(P13/4*100*0.20)+(Q13/4*100*0.15)+(Y13/5*100*0.20)+(100-AO13)*0.20)),1)</x:f>
        <x:v>70</x:v>
      </x:c>
      <x:c r="AR13" s="37" t="n">
        <x:f>ROUND((AI13*0.20+AJ13*0.15+AN13*0.18+AG13*0.12+Z13*0.15+AQ13*0.20),1)</x:f>
        <x:v>82.1</x:v>
      </x:c>
      <x:c r="AS13" s="39" t="n">
        <x:f>ROUND((AC13*AF13*120)+(AH13*350)+(MAX(0,AI13-75)*220)+(MAX(0,AQ13-60)*100),0)</x:f>
        <x:v>13420</x:v>
      </x:c>
    </x:row>
    <x:row r="14">
      <x:c r="A14" s="35" t="n">
        <x:v>13</x:v>
      </x:c>
      <x:c r="B14" s="35" t="n">
        <x:v>40</x:v>
      </x:c>
      <x:c r="C14" s="35" t="str">
        <x:v>Female</x:v>
      </x:c>
      <x:c r="D14" s="35" t="str">
        <x:v>Human Resources</x:v>
      </x:c>
      <x:c r="E14" s="35" t="str">
        <x:v>HR Specialist</x:v>
      </x:c>
      <x:c r="F14" s="35" t="str">
        <x:v>Computer Science</x:v>
      </x:c>
      <x:c r="G14" s="35" t="str">
        <x:v>Single</x:v>
      </x:c>
      <x:c r="H14" s="35" t="n">
        <x:v>3</x:v>
      </x:c>
      <x:c r="I14" s="36" t="n">
        <x:v>10890</x:v>
      </x:c>
      <x:c r="J14" s="35" t="n">
        <x:v>10</x:v>
      </x:c>
      <x:c r="K14" s="35" t="n">
        <x:v>7</x:v>
      </x:c>
      <x:c r="L14" s="35" t="n">
        <x:v>3</x:v>
      </x:c>
      <x:c r="M14" s="35" t="n">
        <x:v>6</x:v>
      </x:c>
      <x:c r="N14" s="35" t="str">
        <x:v>No</x:v>
      </x:c>
      <x:c r="O14" s="35" t="n">
        <x:v>4</x:v>
      </x:c>
      <x:c r="P14" s="35" t="n">
        <x:v>1</x:v>
      </x:c>
      <x:c r="Q14" s="35" t="n">
        <x:v>3</x:v>
      </x:c>
      <x:c r="R14" s="35" t="n">
        <x:v>3</x:v>
      </x:c>
      <x:c r="S14" s="35" t="n">
        <x:v>3</x:v>
      </x:c>
      <x:c r="T14" s="35" t="n">
        <x:v>4</x:v>
      </x:c>
      <x:c r="U14" s="35" t="n">
        <x:v>0</x:v>
      </x:c>
      <x:c r="V14" s="35" t="n">
        <x:v>1</x:v>
      </x:c>
      <x:c r="W14" s="35" t="n">
        <x:v>4</x:v>
      </x:c>
      <x:c r="X14" s="35" t="n">
        <x:v>43</x:v>
      </x:c>
      <x:c r="Y14" s="35" t="n">
        <x:v>5</x:v>
      </x:c>
      <x:c r="Z14" s="35" t="n">
        <x:v>90</x:v>
      </x:c>
      <x:c r="AA14" s="35" t="n">
        <x:v>0</x:v>
      </x:c>
      <x:c r="AB14" s="35" t="n">
        <x:v>0</x:v>
      </x:c>
      <x:c r="AC14" s="35" t="n">
        <x:v>0</x:v>
      </x:c>
      <x:c r="AD14" s="35" t="n">
        <x:v>57</x:v>
      </x:c>
      <x:c r="AE14" s="35" t="n">
        <x:v>74</x:v>
      </x:c>
      <x:c r="AF14" s="35" t="n">
        <x:v>75</x:v>
      </x:c>
      <x:c r="AG14" s="35" t="n">
        <x:v>83</x:v>
      </x:c>
      <x:c r="AH14" s="35" t="n">
        <x:v>5</x:v>
      </x:c>
      <x:c r="AI14" s="37" t="n">
        <x:v>94.4</x:v>
      </x:c>
      <x:c r="AJ14" s="37" t="n">
        <x:v>88.3</x:v>
      </x:c>
      <x:c r="AK14" s="35" t="str">
        <x:v>No</x:v>
      </x:c>
      <x:c r="AL14" s="38" t="n">
        <x:f>IF(AA14=0,0,AB14/AA14)</x:f>
        <x:v>0</x:v>
      </x:c>
      <x:c r="AM14" s="38" t="n">
        <x:f>IF(AB14=0,0,AC14/AB14)</x:f>
        <x:v>0</x:v>
      </x:c>
      <x:c r="AN14" s="37" t="n">
        <x:f>ROUND((AD14*0.20+AE14*0.20+AF14*0.25+AG14*0.15+MIN(100,AC14*12)*0.20),1)</x:f>
        <x:v>57.4</x:v>
      </x:c>
      <x:c r="AO14" s="37" t="n">
        <x:f>ROUND(MAX(0,MIN(100,(X14*0.35)+(W14/45*100*0.20)+((5-O14)/4*100*0.15)+((5-P14)/4*100*0.10)+((6-Y14)/5*100*0.10)+((100-Z14)*0.10))),1)</x:f>
        <x:v>33.6</x:v>
      </x:c>
      <x:c r="AP14" s="37" t="str">
        <x:f>IF(AO14&gt;=70,"High",IF(AO14&gt;=40,"Moderate","Low"))</x:f>
        <x:v>Low</x:v>
      </x:c>
      <x:c r="AQ14" s="37" t="n">
        <x:f>ROUND(MAX(0,MIN(100,(O14/4*100*0.25)+(P14/4*100*0.20)+(Q14/4*100*0.15)+(Y14/5*100*0.20)+(100-AO14)*0.20)),1)</x:f>
        <x:v>74.5</x:v>
      </x:c>
      <x:c r="AR14" s="37" t="n">
        <x:f>ROUND((AI14*0.20+AJ14*0.15+AN14*0.18+AG14*0.12+Z14*0.15+AQ14*0.20),1)</x:f>
        <x:v>80.8</x:v>
      </x:c>
      <x:c r="AS14" s="39" t="n">
        <x:f>ROUND((AC14*AF14*120)+(AH14*350)+(MAX(0,AI14-75)*220)+(MAX(0,AQ14-60)*100),0)</x:f>
        <x:v>7468</x:v>
      </x:c>
    </x:row>
    <x:row r="15">
      <x:c r="A15" s="35" t="n">
        <x:v>14</x:v>
      </x:c>
      <x:c r="B15" s="35" t="n">
        <x:v>25</x:v>
      </x:c>
      <x:c r="C15" s="35" t="str">
        <x:v>Female</x:v>
      </x:c>
      <x:c r="D15" s="35" t="str">
        <x:v>Finance</x:v>
      </x:c>
      <x:c r="E15" s="35" t="str">
        <x:v>Financial Analyst</x:v>
      </x:c>
      <x:c r="F15" s="35" t="str">
        <x:v>Medical</x:v>
      </x:c>
      <x:c r="G15" s="35" t="str">
        <x:v>Married</x:v>
      </x:c>
      <x:c r="H15" s="35" t="n">
        <x:v>1</x:v>
      </x:c>
      <x:c r="I15" s="36" t="n">
        <x:v>4970</x:v>
      </x:c>
      <x:c r="J15" s="35" t="n">
        <x:v>3</x:v>
      </x:c>
      <x:c r="K15" s="35" t="n">
        <x:v>2</x:v>
      </x:c>
      <x:c r="L15" s="35" t="n">
        <x:v>1</x:v>
      </x:c>
      <x:c r="M15" s="35" t="n">
        <x:v>18</x:v>
      </x:c>
      <x:c r="N15" s="35" t="str">
        <x:v>No</x:v>
      </x:c>
      <x:c r="O15" s="35" t="n">
        <x:v>4</x:v>
      </x:c>
      <x:c r="P15" s="35" t="n">
        <x:v>1</x:v>
      </x:c>
      <x:c r="Q15" s="35" t="n">
        <x:v>4</x:v>
      </x:c>
      <x:c r="R15" s="35" t="n">
        <x:v>3</x:v>
      </x:c>
      <x:c r="S15" s="35" t="n">
        <x:v>3</x:v>
      </x:c>
      <x:c r="T15" s="35" t="n">
        <x:v>5</x:v>
      </x:c>
      <x:c r="U15" s="35" t="n">
        <x:v>1</x:v>
      </x:c>
      <x:c r="V15" s="35" t="n">
        <x:v>1</x:v>
      </x:c>
      <x:c r="W15" s="35" t="n">
        <x:v>8</x:v>
      </x:c>
      <x:c r="X15" s="35" t="n">
        <x:v>70</x:v>
      </x:c>
      <x:c r="Y15" s="35" t="n">
        <x:v>5</x:v>
      </x:c>
      <x:c r="Z15" s="35" t="n">
        <x:v>100</x:v>
      </x:c>
      <x:c r="AA15" s="35" t="n">
        <x:v>6</x:v>
      </x:c>
      <x:c r="AB15" s="35" t="n">
        <x:v>5</x:v>
      </x:c>
      <x:c r="AC15" s="35" t="n">
        <x:v>5</x:v>
      </x:c>
      <x:c r="AD15" s="35" t="n">
        <x:v>57</x:v>
      </x:c>
      <x:c r="AE15" s="35" t="n">
        <x:v>92</x:v>
      </x:c>
      <x:c r="AF15" s="35" t="n">
        <x:v>72</x:v>
      </x:c>
      <x:c r="AG15" s="35" t="n">
        <x:v>87</x:v>
      </x:c>
      <x:c r="AH15" s="35" t="n">
        <x:v>8</x:v>
      </x:c>
      <x:c r="AI15" s="37" t="n">
        <x:v>97.1</x:v>
      </x:c>
      <x:c r="AJ15" s="37" t="n">
        <x:v>94.2</x:v>
      </x:c>
      <x:c r="AK15" s="35" t="str">
        <x:v>No</x:v>
      </x:c>
      <x:c r="AL15" s="38" t="n">
        <x:f>IF(AA15=0,0,AB15/AA15)</x:f>
        <x:v>0.8333333333333334</x:v>
      </x:c>
      <x:c r="AM15" s="38" t="n">
        <x:f>IF(AB15=0,0,AC15/AB15)</x:f>
        <x:v>1</x:v>
      </x:c>
      <x:c r="AN15" s="37" t="n">
        <x:f>ROUND((AD15*0.20+AE15*0.20+AF15*0.25+AG15*0.15+MIN(100,AC15*12)*0.20),1)</x:f>
        <x:v>72.9</x:v>
      </x:c>
      <x:c r="AO15" s="37" t="n">
        <x:f>ROUND(MAX(0,MIN(100,(X15*0.35)+(W15/45*100*0.20)+((5-O15)/4*100*0.15)+((5-P15)/4*100*0.10)+((6-Y15)/5*100*0.10)+((100-Z15)*0.10))),1)</x:f>
        <x:v>43.8</x:v>
      </x:c>
      <x:c r="AP15" s="37" t="str">
        <x:f>IF(AO15&gt;=70,"High",IF(AO15&gt;=40,"Moderate","Low"))</x:f>
        <x:v>Moderate</x:v>
      </x:c>
      <x:c r="AQ15" s="37" t="n">
        <x:f>ROUND(MAX(0,MIN(100,(O15/4*100*0.25)+(P15/4*100*0.20)+(Q15/4*100*0.15)+(Y15/5*100*0.20)+(100-AO15)*0.20)),1)</x:f>
        <x:v>76.2</x:v>
      </x:c>
      <x:c r="AR15" s="37" t="n">
        <x:f>ROUND((AI15*0.20+AJ15*0.15+AN15*0.18+AG15*0.12+Z15*0.15+AQ15*0.20),1)</x:f>
        <x:v>87.4</x:v>
      </x:c>
      <x:c r="AS15" s="39" t="n">
        <x:f>ROUND((AC15*AF15*120)+(AH15*350)+(MAX(0,AI15-75)*220)+(MAX(0,AQ15-60)*100),0)</x:f>
        <x:v>52482</x:v>
      </x:c>
    </x:row>
    <x:row r="16">
      <x:c r="A16" s="35" t="n">
        <x:v>15</x:v>
      </x:c>
      <x:c r="B16" s="35" t="n">
        <x:v>22</x:v>
      </x:c>
      <x:c r="C16" s="35" t="str">
        <x:v>Male</x:v>
      </x:c>
      <x:c r="D16" s="35" t="str">
        <x:v>Finance</x:v>
      </x:c>
      <x:c r="E16" s="35" t="str">
        <x:v>Financial Analyst</x:v>
      </x:c>
      <x:c r="F16" s="35" t="str">
        <x:v>Business</x:v>
      </x:c>
      <x:c r="G16" s="35" t="str">
        <x:v>Single</x:v>
      </x:c>
      <x:c r="H16" s="35" t="n">
        <x:v>1</x:v>
      </x:c>
      <x:c r="I16" s="36" t="n">
        <x:v>4000</x:v>
      </x:c>
      <x:c r="J16" s="35" t="n">
        <x:v>1</x:v>
      </x:c>
      <x:c r="K16" s="35" t="n">
        <x:v>0</x:v>
      </x:c>
      <x:c r="L16" s="35" t="n">
        <x:v>0</x:v>
      </x:c>
      <x:c r="M16" s="35" t="n">
        <x:v>14</x:v>
      </x:c>
      <x:c r="N16" s="35" t="str">
        <x:v>No</x:v>
      </x:c>
      <x:c r="O16" s="35" t="n">
        <x:v>3</x:v>
      </x:c>
      <x:c r="P16" s="35" t="n">
        <x:v>3</x:v>
      </x:c>
      <x:c r="Q16" s="35" t="n">
        <x:v>2</x:v>
      </x:c>
      <x:c r="R16" s="35" t="n">
        <x:v>3</x:v>
      </x:c>
      <x:c r="S16" s="35" t="n">
        <x:v>4</x:v>
      </x:c>
      <x:c r="T16" s="35" t="n">
        <x:v>5</x:v>
      </x:c>
      <x:c r="U16" s="35" t="n">
        <x:v>1</x:v>
      </x:c>
      <x:c r="V16" s="35" t="n">
        <x:v>14</x:v>
      </x:c>
      <x:c r="W16" s="35" t="n">
        <x:v>3</x:v>
      </x:c>
      <x:c r="X16" s="35" t="n">
        <x:v>49</x:v>
      </x:c>
      <x:c r="Y16" s="35" t="n">
        <x:v>5</x:v>
      </x:c>
      <x:c r="Z16" s="35" t="n">
        <x:v>100</x:v>
      </x:c>
      <x:c r="AA16" s="35" t="n">
        <x:v>3</x:v>
      </x:c>
      <x:c r="AB16" s="35" t="n">
        <x:v>3</x:v>
      </x:c>
      <x:c r="AC16" s="35" t="n">
        <x:v>1</x:v>
      </x:c>
      <x:c r="AD16" s="35" t="n">
        <x:v>49</x:v>
      </x:c>
      <x:c r="AE16" s="35" t="n">
        <x:v>81</x:v>
      </x:c>
      <x:c r="AF16" s="35" t="n">
        <x:v>56</x:v>
      </x:c>
      <x:c r="AG16" s="35" t="n">
        <x:v>82</x:v>
      </x:c>
      <x:c r="AH16" s="35" t="n">
        <x:v>4</x:v>
      </x:c>
      <x:c r="AI16" s="37" t="n">
        <x:v>100</x:v>
      </x:c>
      <x:c r="AJ16" s="37" t="n">
        <x:v>92.2</x:v>
      </x:c>
      <x:c r="AK16" s="35" t="str">
        <x:v>No</x:v>
      </x:c>
      <x:c r="AL16" s="38" t="n">
        <x:f>IF(AA16=0,0,AB16/AA16)</x:f>
        <x:v>1</x:v>
      </x:c>
      <x:c r="AM16" s="38" t="n">
        <x:f>IF(AB16=0,0,AC16/AB16)</x:f>
        <x:v>0.3333333333333333</x:v>
      </x:c>
      <x:c r="AN16" s="37" t="n">
        <x:f>ROUND((AD16*0.20+AE16*0.20+AF16*0.25+AG16*0.15+MIN(100,AC16*12)*0.20),1)</x:f>
        <x:v>54.7</x:v>
      </x:c>
      <x:c r="AO16" s="37" t="n">
        <x:f>ROUND(MAX(0,MIN(100,(X16*0.35)+(W16/45*100*0.20)+((5-O16)/4*100*0.15)+((5-P16)/4*100*0.10)+((6-Y16)/5*100*0.10)+((100-Z16)*0.10))),1)</x:f>
        <x:v>33</x:v>
      </x:c>
      <x:c r="AP16" s="37" t="str">
        <x:f>IF(AO16&gt;=70,"High",IF(AO16&gt;=40,"Moderate","Low"))</x:f>
        <x:v>Low</x:v>
      </x:c>
      <x:c r="AQ16" s="37" t="n">
        <x:f>ROUND(MAX(0,MIN(100,(O16/4*100*0.25)+(P16/4*100*0.20)+(Q16/4*100*0.15)+(Y16/5*100*0.20)+(100-AO16)*0.20)),1)</x:f>
        <x:v>74.7</x:v>
      </x:c>
      <x:c r="AR16" s="37" t="n">
        <x:f>ROUND((AI16*0.20+AJ16*0.15+AN16*0.18+AG16*0.12+Z16*0.15+AQ16*0.20),1)</x:f>
        <x:v>83.5</x:v>
      </x:c>
      <x:c r="AS16" s="39" t="n">
        <x:f>ROUND((AC16*AF16*120)+(AH16*350)+(MAX(0,AI16-75)*220)+(MAX(0,AQ16-60)*100),0)</x:f>
        <x:v>15090</x:v>
      </x:c>
    </x:row>
    <x:row r="17">
      <x:c r="A17" s="35" t="n">
        <x:v>16</x:v>
      </x:c>
      <x:c r="B17" s="35" t="n">
        <x:v>38</x:v>
      </x:c>
      <x:c r="C17" s="35" t="str">
        <x:v>Female</x:v>
      </x:c>
      <x:c r="D17" s="35" t="str">
        <x:v>Sales</x:v>
      </x:c>
      <x:c r="E17" s="35" t="str">
        <x:v>Sales Representative</x:v>
      </x:c>
      <x:c r="F17" s="35" t="str">
        <x:v>Computer Science</x:v>
      </x:c>
      <x:c r="G17" s="35" t="str">
        <x:v>Married</x:v>
      </x:c>
      <x:c r="H17" s="35" t="n">
        <x:v>1</x:v>
      </x:c>
      <x:c r="I17" s="36" t="n">
        <x:v>4920</x:v>
      </x:c>
      <x:c r="J17" s="35" t="n">
        <x:v>10</x:v>
      </x:c>
      <x:c r="K17" s="35" t="n">
        <x:v>4</x:v>
      </x:c>
      <x:c r="L17" s="35" t="n">
        <x:v>3</x:v>
      </x:c>
      <x:c r="M17" s="35" t="n">
        <x:v>5</x:v>
      </x:c>
      <x:c r="N17" s="35" t="str">
        <x:v>No</x:v>
      </x:c>
      <x:c r="O17" s="35" t="n">
        <x:v>2</x:v>
      </x:c>
      <x:c r="P17" s="35" t="n">
        <x:v>2</x:v>
      </x:c>
      <x:c r="Q17" s="35" t="n">
        <x:v>4</x:v>
      </x:c>
      <x:c r="R17" s="35" t="n">
        <x:v>3</x:v>
      </x:c>
      <x:c r="S17" s="35" t="n">
        <x:v>3</x:v>
      </x:c>
      <x:c r="T17" s="35" t="n">
        <x:v>3</x:v>
      </x:c>
      <x:c r="U17" s="35" t="n">
        <x:v>0</x:v>
      </x:c>
      <x:c r="V17" s="35" t="n">
        <x:v>6</x:v>
      </x:c>
      <x:c r="W17" s="35" t="n">
        <x:v>8</x:v>
      </x:c>
      <x:c r="X17" s="35" t="n">
        <x:v>45</x:v>
      </x:c>
      <x:c r="Y17" s="35" t="n">
        <x:v>5</x:v>
      </x:c>
      <x:c r="Z17" s="35" t="n">
        <x:v>100</x:v>
      </x:c>
      <x:c r="AA17" s="35" t="n">
        <x:v>6</x:v>
      </x:c>
      <x:c r="AB17" s="35" t="n">
        <x:v>4</x:v>
      </x:c>
      <x:c r="AC17" s="35" t="n">
        <x:v>4</x:v>
      </x:c>
      <x:c r="AD17" s="35" t="n">
        <x:v>69</x:v>
      </x:c>
      <x:c r="AE17" s="35" t="n">
        <x:v>85</x:v>
      </x:c>
      <x:c r="AF17" s="35" t="n">
        <x:v>88</x:v>
      </x:c>
      <x:c r="AG17" s="35" t="n">
        <x:v>78</x:v>
      </x:c>
      <x:c r="AH17" s="35" t="n">
        <x:v>9</x:v>
      </x:c>
      <x:c r="AI17" s="37" t="n">
        <x:v>94.7</x:v>
      </x:c>
      <x:c r="AJ17" s="37" t="n">
        <x:v>92.9</x:v>
      </x:c>
      <x:c r="AK17" s="35" t="str">
        <x:v>No</x:v>
      </x:c>
      <x:c r="AL17" s="38" t="n">
        <x:f>IF(AA17=0,0,AB17/AA17)</x:f>
        <x:v>0.6666666666666666</x:v>
      </x:c>
      <x:c r="AM17" s="38" t="n">
        <x:f>IF(AB17=0,0,AC17/AB17)</x:f>
        <x:v>1</x:v>
      </x:c>
      <x:c r="AN17" s="37" t="n">
        <x:f>ROUND((AD17*0.20+AE17*0.20+AF17*0.25+AG17*0.15+MIN(100,AC17*12)*0.20),1)</x:f>
        <x:v>74.1</x:v>
      </x:c>
      <x:c r="AO17" s="37" t="n">
        <x:f>ROUND(MAX(0,MIN(100,(X17*0.35)+(W17/45*100*0.20)+((5-O17)/4*100*0.15)+((5-P17)/4*100*0.10)+((6-Y17)/5*100*0.10)+((100-Z17)*0.10))),1)</x:f>
        <x:v>40.1</x:v>
      </x:c>
      <x:c r="AP17" s="37" t="str">
        <x:f>IF(AO17&gt;=70,"High",IF(AO17&gt;=40,"Moderate","Low"))</x:f>
        <x:v>Moderate</x:v>
      </x:c>
      <x:c r="AQ17" s="37" t="n">
        <x:f>ROUND(MAX(0,MIN(100,(O17/4*100*0.25)+(P17/4*100*0.20)+(Q17/4*100*0.15)+(Y17/5*100*0.20)+(100-AO17)*0.20)),1)</x:f>
        <x:v>69.5</x:v>
      </x:c>
      <x:c r="AR17" s="37" t="n">
        <x:f>ROUND((AI17*0.20+AJ17*0.15+AN17*0.18+AG17*0.12+Z17*0.15+AQ17*0.20),1)</x:f>
        <x:v>84.5</x:v>
      </x:c>
      <x:c r="AS17" s="39" t="n">
        <x:f>ROUND((AC17*AF17*120)+(AH17*350)+(MAX(0,AI17-75)*220)+(MAX(0,AQ17-60)*100),0)</x:f>
        <x:v>50674</x:v>
      </x:c>
    </x:row>
    <x:row r="18">
      <x:c r="A18" s="35" t="n">
        <x:v>17</x:v>
      </x:c>
      <x:c r="B18" s="35" t="n">
        <x:v>33</x:v>
      </x:c>
      <x:c r="C18" s="35" t="str">
        <x:v>Female</x:v>
      </x:c>
      <x:c r="D18" s="35" t="str">
        <x:v>Sales</x:v>
      </x:c>
      <x:c r="E18" s="35" t="str">
        <x:v>Sales Representative</x:v>
      </x:c>
      <x:c r="F18" s="35" t="str">
        <x:v>Human Resources</x:v>
      </x:c>
      <x:c r="G18" s="35" t="str">
        <x:v>Divorced</x:v>
      </x:c>
      <x:c r="H18" s="35" t="n">
        <x:v>2</x:v>
      </x:c>
      <x:c r="I18" s="36" t="n">
        <x:v>6660</x:v>
      </x:c>
      <x:c r="J18" s="35" t="n">
        <x:v>9</x:v>
      </x:c>
      <x:c r="K18" s="35" t="n">
        <x:v>3</x:v>
      </x:c>
      <x:c r="L18" s="35" t="n">
        <x:v>2</x:v>
      </x:c>
      <x:c r="M18" s="35" t="n">
        <x:v>21</x:v>
      </x:c>
      <x:c r="N18" s="35" t="str">
        <x:v>No</x:v>
      </x:c>
      <x:c r="O18" s="35" t="n">
        <x:v>2</x:v>
      </x:c>
      <x:c r="P18" s="35" t="n">
        <x:v>4</x:v>
      </x:c>
      <x:c r="Q18" s="35" t="n">
        <x:v>2</x:v>
      </x:c>
      <x:c r="R18" s="35" t="n">
        <x:v>3</x:v>
      </x:c>
      <x:c r="S18" s="35" t="n">
        <x:v>3</x:v>
      </x:c>
      <x:c r="T18" s="35" t="n">
        <x:v>3</x:v>
      </x:c>
      <x:c r="U18" s="35" t="n">
        <x:v>3</x:v>
      </x:c>
      <x:c r="V18" s="35" t="n">
        <x:v>12</x:v>
      </x:c>
      <x:c r="W18" s="35" t="n">
        <x:v>0</x:v>
      </x:c>
      <x:c r="X18" s="35" t="n">
        <x:v>68</x:v>
      </x:c>
      <x:c r="Y18" s="35" t="n">
        <x:v>5</x:v>
      </x:c>
      <x:c r="Z18" s="35" t="n">
        <x:v>100</x:v>
      </x:c>
      <x:c r="AA18" s="35" t="n">
        <x:v>5</x:v>
      </x:c>
      <x:c r="AB18" s="35" t="n">
        <x:v>4</x:v>
      </x:c>
      <x:c r="AC18" s="35" t="n">
        <x:v>3</x:v>
      </x:c>
      <x:c r="AD18" s="35" t="n">
        <x:v>77</x:v>
      </x:c>
      <x:c r="AE18" s="35" t="n">
        <x:v>84</x:v>
      </x:c>
      <x:c r="AF18" s="35" t="n">
        <x:v>78</x:v>
      </x:c>
      <x:c r="AG18" s="35" t="n">
        <x:v>82</x:v>
      </x:c>
      <x:c r="AH18" s="35" t="n">
        <x:v>8</x:v>
      </x:c>
      <x:c r="AI18" s="37" t="n">
        <x:v>99.2</x:v>
      </x:c>
      <x:c r="AJ18" s="37" t="n">
        <x:v>91.4</x:v>
      </x:c>
      <x:c r="AK18" s="35" t="str">
        <x:v>No</x:v>
      </x:c>
      <x:c r="AL18" s="38" t="n">
        <x:f>IF(AA18=0,0,AB18/AA18)</x:f>
        <x:v>0.8</x:v>
      </x:c>
      <x:c r="AM18" s="38" t="n">
        <x:f>IF(AB18=0,0,AC18/AB18)</x:f>
        <x:v>0.75</x:v>
      </x:c>
      <x:c r="AN18" s="37" t="n">
        <x:f>ROUND((AD18*0.20+AE18*0.20+AF18*0.25+AG18*0.15+MIN(100,AC18*12)*0.20),1)</x:f>
        <x:v>71.2</x:v>
      </x:c>
      <x:c r="AO18" s="37" t="n">
        <x:f>ROUND(MAX(0,MIN(100,(X18*0.35)+(W18/45*100*0.20)+((5-O18)/4*100*0.15)+((5-P18)/4*100*0.10)+((6-Y18)/5*100*0.10)+((100-Z18)*0.10))),1)</x:f>
        <x:v>39.6</x:v>
      </x:c>
      <x:c r="AP18" s="37" t="str">
        <x:f>IF(AO18&gt;=70,"High",IF(AO18&gt;=40,"Moderate","Low"))</x:f>
        <x:v>Low</x:v>
      </x:c>
      <x:c r="AQ18" s="37" t="n">
        <x:f>ROUND(MAX(0,MIN(100,(O18/4*100*0.25)+(P18/4*100*0.20)+(Q18/4*100*0.15)+(Y18/5*100*0.20)+(100-AO18)*0.20)),1)</x:f>
        <x:v>72.1</x:v>
      </x:c>
      <x:c r="AR18" s="37" t="n">
        <x:f>ROUND((AI18*0.20+AJ18*0.15+AN18*0.18+AG18*0.12+Z18*0.15+AQ18*0.20),1)</x:f>
        <x:v>85.6</x:v>
      </x:c>
      <x:c r="AS18" s="39" t="n">
        <x:f>ROUND((AC18*AF18*120)+(AH18*350)+(MAX(0,AI18-75)*220)+(MAX(0,AQ18-60)*100),0)</x:f>
        <x:v>37414</x:v>
      </x:c>
    </x:row>
    <x:row r="19">
      <x:c r="A19" s="35" t="n">
        <x:v>18</x:v>
      </x:c>
      <x:c r="B19" s="35" t="n">
        <x:v>35</x:v>
      </x:c>
      <x:c r="C19" s="35" t="str">
        <x:v>Male</x:v>
      </x:c>
      <x:c r="D19" s="35" t="str">
        <x:v>Information Technology</x:v>
      </x:c>
      <x:c r="E19" s="35" t="str">
        <x:v>Systems Analyst</x:v>
      </x:c>
      <x:c r="F19" s="35" t="str">
        <x:v>Marketing</x:v>
      </x:c>
      <x:c r="G19" s="35" t="str">
        <x:v>Divorced</x:v>
      </x:c>
      <x:c r="H19" s="35" t="n">
        <x:v>1</x:v>
      </x:c>
      <x:c r="I19" s="36" t="n">
        <x:v>5510</x:v>
      </x:c>
      <x:c r="J19" s="35" t="n">
        <x:v>6</x:v>
      </x:c>
      <x:c r="K19" s="35" t="n">
        <x:v>2</x:v>
      </x:c>
      <x:c r="L19" s="35" t="n">
        <x:v>1</x:v>
      </x:c>
      <x:c r="M19" s="35" t="n">
        <x:v>4</x:v>
      </x:c>
      <x:c r="N19" s="35" t="str">
        <x:v>No</x:v>
      </x:c>
      <x:c r="O19" s="35" t="n">
        <x:v>2</x:v>
      </x:c>
      <x:c r="P19" s="35" t="n">
        <x:v>2</x:v>
      </x:c>
      <x:c r="Q19" s="35" t="n">
        <x:v>2</x:v>
      </x:c>
      <x:c r="R19" s="35" t="n">
        <x:v>3</x:v>
      </x:c>
      <x:c r="S19" s="35" t="n">
        <x:v>3</x:v>
      </x:c>
      <x:c r="T19" s="35" t="n">
        <x:v>2</x:v>
      </x:c>
      <x:c r="U19" s="35" t="n">
        <x:v>1</x:v>
      </x:c>
      <x:c r="V19" s="35" t="n">
        <x:v>9</x:v>
      </x:c>
      <x:c r="W19" s="35" t="n">
        <x:v>0</x:v>
      </x:c>
      <x:c r="X19" s="35" t="n">
        <x:v>73</x:v>
      </x:c>
      <x:c r="Y19" s="35" t="n">
        <x:v>4</x:v>
      </x:c>
      <x:c r="Z19" s="35" t="n">
        <x:v>85</x:v>
      </x:c>
      <x:c r="AA19" s="35" t="n">
        <x:v>5</x:v>
      </x:c>
      <x:c r="AB19" s="35" t="n">
        <x:v>2</x:v>
      </x:c>
      <x:c r="AC19" s="35" t="n">
        <x:v>1</x:v>
      </x:c>
      <x:c r="AD19" s="35" t="n">
        <x:v>82</x:v>
      </x:c>
      <x:c r="AE19" s="35" t="n">
        <x:v>77</x:v>
      </x:c>
      <x:c r="AF19" s="35" t="n">
        <x:v>63</x:v>
      </x:c>
      <x:c r="AG19" s="35" t="n">
        <x:v>87</x:v>
      </x:c>
      <x:c r="AH19" s="35" t="n">
        <x:v>2</x:v>
      </x:c>
      <x:c r="AI19" s="37" t="n">
        <x:v>95.7</x:v>
      </x:c>
      <x:c r="AJ19" s="37" t="n">
        <x:v>89</x:v>
      </x:c>
      <x:c r="AK19" s="35" t="str">
        <x:v>No</x:v>
      </x:c>
      <x:c r="AL19" s="38" t="n">
        <x:f>IF(AA19=0,0,AB19/AA19)</x:f>
        <x:v>0.4</x:v>
      </x:c>
      <x:c r="AM19" s="38" t="n">
        <x:f>IF(AB19=0,0,AC19/AB19)</x:f>
        <x:v>0.5</x:v>
      </x:c>
      <x:c r="AN19" s="37" t="n">
        <x:f>ROUND((AD19*0.20+AE19*0.20+AF19*0.25+AG19*0.15+MIN(100,AC19*12)*0.20),1)</x:f>
        <x:v>63</x:v>
      </x:c>
      <x:c r="AO19" s="37" t="n">
        <x:f>ROUND(MAX(0,MIN(100,(X19*0.35)+(W19/45*100*0.20)+((5-O19)/4*100*0.15)+((5-P19)/4*100*0.10)+((6-Y19)/5*100*0.10)+((100-Z19)*0.10))),1)</x:f>
        <x:v>49.8</x:v>
      </x:c>
      <x:c r="AP19" s="37" t="str">
        <x:f>IF(AO19&gt;=70,"High",IF(AO19&gt;=40,"Moderate","Low"))</x:f>
        <x:v>Moderate</x:v>
      </x:c>
      <x:c r="AQ19" s="37" t="n">
        <x:f>ROUND(MAX(0,MIN(100,(O19/4*100*0.25)+(P19/4*100*0.20)+(Q19/4*100*0.15)+(Y19/5*100*0.20)+(100-AO19)*0.20)),1)</x:f>
        <x:v>56</x:v>
      </x:c>
      <x:c r="AR19" s="37" t="n">
        <x:f>ROUND((AI19*0.20+AJ19*0.15+AN19*0.18+AG19*0.12+Z19*0.15+AQ19*0.20),1)</x:f>
        <x:v>78.2</x:v>
      </x:c>
      <x:c r="AS19" s="39" t="n">
        <x:f>ROUND((AC19*AF19*120)+(AH19*350)+(MAX(0,AI19-75)*220)+(MAX(0,AQ19-60)*100),0)</x:f>
        <x:v>12814</x:v>
      </x:c>
    </x:row>
    <x:row r="20">
      <x:c r="A20" s="35" t="n">
        <x:v>19</x:v>
      </x:c>
      <x:c r="B20" s="35" t="n">
        <x:v>58</x:v>
      </x:c>
      <x:c r="C20" s="35" t="str">
        <x:v>Female</x:v>
      </x:c>
      <x:c r="D20" s="35" t="str">
        <x:v>Finance</x:v>
      </x:c>
      <x:c r="E20" s="35" t="str">
        <x:v>Financial Analyst</x:v>
      </x:c>
      <x:c r="F20" s="35" t="str">
        <x:v>Computer Science</x:v>
      </x:c>
      <x:c r="G20" s="35" t="str">
        <x:v>Single</x:v>
      </x:c>
      <x:c r="H20" s="35" t="n">
        <x:v>5</x:v>
      </x:c>
      <x:c r="I20" s="36" t="n">
        <x:v>19550</x:v>
      </x:c>
      <x:c r="J20" s="35" t="n">
        <x:v>30</x:v>
      </x:c>
      <x:c r="K20" s="35" t="n">
        <x:v>15</x:v>
      </x:c>
      <x:c r="L20" s="35" t="n">
        <x:v>7</x:v>
      </x:c>
      <x:c r="M20" s="35" t="n">
        <x:v>8</x:v>
      </x:c>
      <x:c r="N20" s="35" t="str">
        <x:v>No</x:v>
      </x:c>
      <x:c r="O20" s="35" t="n">
        <x:v>2</x:v>
      </x:c>
      <x:c r="P20" s="35" t="n">
        <x:v>3</x:v>
      </x:c>
      <x:c r="Q20" s="35" t="n">
        <x:v>2</x:v>
      </x:c>
      <x:c r="R20" s="35" t="n">
        <x:v>3</x:v>
      </x:c>
      <x:c r="S20" s="35" t="n">
        <x:v>4</x:v>
      </x:c>
      <x:c r="T20" s="35" t="n">
        <x:v>1</x:v>
      </x:c>
      <x:c r="U20" s="35" t="n">
        <x:v>0</x:v>
      </x:c>
      <x:c r="V20" s="35" t="n">
        <x:v>6</x:v>
      </x:c>
      <x:c r="W20" s="35" t="n">
        <x:v>0</x:v>
      </x:c>
      <x:c r="X20" s="35" t="n">
        <x:v>90</x:v>
      </x:c>
      <x:c r="Y20" s="35" t="n">
        <x:v>4</x:v>
      </x:c>
      <x:c r="Z20" s="35" t="n">
        <x:v>95</x:v>
      </x:c>
      <x:c r="AA20" s="35" t="n">
        <x:v>5</x:v>
      </x:c>
      <x:c r="AB20" s="35" t="n">
        <x:v>5</x:v>
      </x:c>
      <x:c r="AC20" s="35" t="n">
        <x:v>4</x:v>
      </x:c>
      <x:c r="AD20" s="35" t="n">
        <x:v>61</x:v>
      </x:c>
      <x:c r="AE20" s="35" t="n">
        <x:v>89</x:v>
      </x:c>
      <x:c r="AF20" s="35" t="n">
        <x:v>94</x:v>
      </x:c>
      <x:c r="AG20" s="35" t="n">
        <x:v>100</x:v>
      </x:c>
      <x:c r="AH20" s="35" t="n">
        <x:v>10</x:v>
      </x:c>
      <x:c r="AI20" s="37" t="n">
        <x:v>94.8</x:v>
      </x:c>
      <x:c r="AJ20" s="37" t="n">
        <x:v>100</x:v>
      </x:c>
      <x:c r="AK20" s="35" t="str">
        <x:v>No</x:v>
      </x:c>
      <x:c r="AL20" s="38" t="n">
        <x:f>IF(AA20=0,0,AB20/AA20)</x:f>
        <x:v>1</x:v>
      </x:c>
      <x:c r="AM20" s="38" t="n">
        <x:f>IF(AB20=0,0,AC20/AB20)</x:f>
        <x:v>0.8</x:v>
      </x:c>
      <x:c r="AN20" s="37" t="n">
        <x:f>ROUND((AD20*0.20+AE20*0.20+AF20*0.25+AG20*0.15+MIN(100,AC20*12)*0.20),1)</x:f>
        <x:v>78.1</x:v>
      </x:c>
      <x:c r="AO20" s="37" t="n">
        <x:f>ROUND(MAX(0,MIN(100,(X20*0.35)+(W20/45*100*0.20)+((5-O20)/4*100*0.15)+((5-P20)/4*100*0.10)+((6-Y20)/5*100*0.10)+((100-Z20)*0.10))),1)</x:f>
        <x:v>52.3</x:v>
      </x:c>
      <x:c r="AP20" s="37" t="str">
        <x:f>IF(AO20&gt;=70,"High",IF(AO20&gt;=40,"Moderate","Low"))</x:f>
        <x:v>Moderate</x:v>
      </x:c>
      <x:c r="AQ20" s="37" t="n">
        <x:f>ROUND(MAX(0,MIN(100,(O20/4*100*0.25)+(P20/4*100*0.20)+(Q20/4*100*0.15)+(Y20/5*100*0.20)+(100-AO20)*0.20)),1)</x:f>
        <x:v>60.5</x:v>
      </x:c>
      <x:c r="AR20" s="37" t="n">
        <x:f>ROUND((AI20*0.20+AJ20*0.15+AN20*0.18+AG20*0.12+Z20*0.15+AQ20*0.20),1)</x:f>
        <x:v>86.4</x:v>
      </x:c>
      <x:c r="AS20" s="39" t="n">
        <x:f>ROUND((AC20*AF20*120)+(AH20*350)+(MAX(0,AI20-75)*220)+(MAX(0,AQ20-60)*100),0)</x:f>
        <x:v>53026</x:v>
      </x:c>
    </x:row>
    <x:row r="21">
      <x:c r="A21" s="35" t="n">
        <x:v>20</x:v>
      </x:c>
      <x:c r="B21" s="35" t="n">
        <x:v>38</x:v>
      </x:c>
      <x:c r="C21" s="35" t="str">
        <x:v>Male</x:v>
      </x:c>
      <x:c r="D21" s="35" t="str">
        <x:v>Research &amp; Development</x:v>
      </x:c>
      <x:c r="E21" s="35" t="str">
        <x:v>Laboratory Technician</x:v>
      </x:c>
      <x:c r="F21" s="35" t="str">
        <x:v>Medical</x:v>
      </x:c>
      <x:c r="G21" s="35" t="str">
        <x:v>Married</x:v>
      </x:c>
      <x:c r="H21" s="35" t="n">
        <x:v>1</x:v>
      </x:c>
      <x:c r="I21" s="36" t="n">
        <x:v>6690</x:v>
      </x:c>
      <x:c r="J21" s="35" t="n">
        <x:v>10</x:v>
      </x:c>
      <x:c r="K21" s="35" t="n">
        <x:v>7</x:v>
      </x:c>
      <x:c r="L21" s="35" t="n">
        <x:v>4</x:v>
      </x:c>
      <x:c r="M21" s="35" t="n">
        <x:v>25</x:v>
      </x:c>
      <x:c r="N21" s="35" t="str">
        <x:v>No</x:v>
      </x:c>
      <x:c r="O21" s="35" t="n">
        <x:v>3</x:v>
      </x:c>
      <x:c r="P21" s="35" t="n">
        <x:v>2</x:v>
      </x:c>
      <x:c r="Q21" s="35" t="n">
        <x:v>4</x:v>
      </x:c>
      <x:c r="R21" s="35" t="n">
        <x:v>4</x:v>
      </x:c>
      <x:c r="S21" s="35" t="n">
        <x:v>3</x:v>
      </x:c>
      <x:c r="T21" s="35" t="n">
        <x:v>3</x:v>
      </x:c>
      <x:c r="U21" s="35" t="n">
        <x:v>1</x:v>
      </x:c>
      <x:c r="V21" s="35" t="n">
        <x:v>7</x:v>
      </x:c>
      <x:c r="W21" s="35" t="n">
        <x:v>9</x:v>
      </x:c>
      <x:c r="X21" s="35" t="n">
        <x:v>65</x:v>
      </x:c>
      <x:c r="Y21" s="35" t="n">
        <x:v>4</x:v>
      </x:c>
      <x:c r="Z21" s="35" t="n">
        <x:v>100</x:v>
      </x:c>
      <x:c r="AA21" s="35" t="n">
        <x:v>14</x:v>
      </x:c>
      <x:c r="AB21" s="35" t="n">
        <x:v>11</x:v>
      </x:c>
      <x:c r="AC21" s="35" t="n">
        <x:v>8</x:v>
      </x:c>
      <x:c r="AD21" s="35" t="n">
        <x:v>77</x:v>
      </x:c>
      <x:c r="AE21" s="35" t="n">
        <x:v>100</x:v>
      </x:c>
      <x:c r="AF21" s="35" t="n">
        <x:v>94</x:v>
      </x:c>
      <x:c r="AG21" s="35" t="n">
        <x:v>97</x:v>
      </x:c>
      <x:c r="AH21" s="35" t="n">
        <x:v>12</x:v>
      </x:c>
      <x:c r="AI21" s="37" t="n">
        <x:v>100</x:v>
      </x:c>
      <x:c r="AJ21" s="37" t="n">
        <x:v>100</x:v>
      </x:c>
      <x:c r="AK21" s="35" t="str">
        <x:v>No</x:v>
      </x:c>
      <x:c r="AL21" s="38" t="n">
        <x:f>IF(AA21=0,0,AB21/AA21)</x:f>
        <x:v>0.7857142857142857</x:v>
      </x:c>
      <x:c r="AM21" s="38" t="n">
        <x:f>IF(AB21=0,0,AC21/AB21)</x:f>
        <x:v>0.7272727272727273</x:v>
      </x:c>
      <x:c r="AN21" s="37" t="n">
        <x:f>ROUND((AD21*0.20+AE21*0.20+AF21*0.25+AG21*0.15+MIN(100,AC21*12)*0.20),1)</x:f>
        <x:v>92.7</x:v>
      </x:c>
      <x:c r="AO21" s="37" t="n">
        <x:f>ROUND(MAX(0,MIN(100,(X21*0.35)+(W21/45*100*0.20)+((5-O21)/4*100*0.15)+((5-P21)/4*100*0.10)+((6-Y21)/5*100*0.10)+((100-Z21)*0.10))),1)</x:f>
        <x:v>45.8</x:v>
      </x:c>
      <x:c r="AP21" s="37" t="str">
        <x:f>IF(AO21&gt;=70,"High",IF(AO21&gt;=40,"Moderate","Low"))</x:f>
        <x:v>Moderate</x:v>
      </x:c>
      <x:c r="AQ21" s="37" t="n">
        <x:f>ROUND(MAX(0,MIN(100,(O21/4*100*0.25)+(P21/4*100*0.20)+(Q21/4*100*0.15)+(Y21/5*100*0.20)+(100-AO21)*0.20)),1)</x:f>
        <x:v>70.6</x:v>
      </x:c>
      <x:c r="AR21" s="37" t="n">
        <x:f>ROUND((AI21*0.20+AJ21*0.15+AN21*0.18+AG21*0.12+Z21*0.15+AQ21*0.20),1)</x:f>
        <x:v>92.4</x:v>
      </x:c>
      <x:c r="AS21" s="39" t="n">
        <x:f>ROUND((AC21*AF21*120)+(AH21*350)+(MAX(0,AI21-75)*220)+(MAX(0,AQ21-60)*100),0)</x:f>
        <x:v>101000</x:v>
      </x:c>
    </x:row>
    <x:row r="22">
      <x:c r="A22" s="35" t="n">
        <x:v>21</x:v>
      </x:c>
      <x:c r="B22" s="35" t="n">
        <x:v>36</x:v>
      </x:c>
      <x:c r="C22" s="35" t="str">
        <x:v>Male</x:v>
      </x:c>
      <x:c r="D22" s="35" t="str">
        <x:v>Operations</x:v>
      </x:c>
      <x:c r="E22" s="35" t="str">
        <x:v>Operations Manager</x:v>
      </x:c>
      <x:c r="F22" s="35" t="str">
        <x:v>Life Sciences</x:v>
      </x:c>
      <x:c r="G22" s="35" t="str">
        <x:v>Married</x:v>
      </x:c>
      <x:c r="H22" s="35" t="n">
        <x:v>1</x:v>
      </x:c>
      <x:c r="I22" s="36" t="n">
        <x:v>6180</x:v>
      </x:c>
      <x:c r="J22" s="35" t="n">
        <x:v>13</x:v>
      </x:c>
      <x:c r="K22" s="35" t="n">
        <x:v>4</x:v>
      </x:c>
      <x:c r="L22" s="35" t="n">
        <x:v>1</x:v>
      </x:c>
      <x:c r="M22" s="35" t="n">
        <x:v>10</x:v>
      </x:c>
      <x:c r="N22" s="35" t="str">
        <x:v>Yes</x:v>
      </x:c>
      <x:c r="O22" s="35" t="n">
        <x:v>2</x:v>
      </x:c>
      <x:c r="P22" s="35" t="n">
        <x:v>3</x:v>
      </x:c>
      <x:c r="Q22" s="35" t="n">
        <x:v>4</x:v>
      </x:c>
      <x:c r="R22" s="35" t="n">
        <x:v>3</x:v>
      </x:c>
      <x:c r="S22" s="35" t="n">
        <x:v>4</x:v>
      </x:c>
      <x:c r="T22" s="35" t="n">
        <x:v>2</x:v>
      </x:c>
      <x:c r="U22" s="35" t="n">
        <x:v>1</x:v>
      </x:c>
      <x:c r="V22" s="35" t="n">
        <x:v>13</x:v>
      </x:c>
      <x:c r="W22" s="35" t="n">
        <x:v>24</x:v>
      </x:c>
      <x:c r="X22" s="35" t="n">
        <x:v>87</x:v>
      </x:c>
      <x:c r="Y22" s="35" t="n">
        <x:v>4</x:v>
      </x:c>
      <x:c r="Z22" s="35" t="n">
        <x:v>97</x:v>
      </x:c>
      <x:c r="AA22" s="35" t="n">
        <x:v>7</x:v>
      </x:c>
      <x:c r="AB22" s="35" t="n">
        <x:v>7</x:v>
      </x:c>
      <x:c r="AC22" s="35" t="n">
        <x:v>7</x:v>
      </x:c>
      <x:c r="AD22" s="35" t="n">
        <x:v>91</x:v>
      </x:c>
      <x:c r="AE22" s="35" t="n">
        <x:v>90</x:v>
      </x:c>
      <x:c r="AF22" s="35" t="n">
        <x:v>100</x:v>
      </x:c>
      <x:c r="AG22" s="35" t="n">
        <x:v>100</x:v>
      </x:c>
      <x:c r="AH22" s="35" t="n">
        <x:v>12</x:v>
      </x:c>
      <x:c r="AI22" s="37" t="n">
        <x:v>100</x:v>
      </x:c>
      <x:c r="AJ22" s="37" t="n">
        <x:v>97.9</x:v>
      </x:c>
      <x:c r="AK22" s="35" t="str">
        <x:v>No</x:v>
      </x:c>
      <x:c r="AL22" s="38" t="n">
        <x:f>IF(AA22=0,0,AB22/AA22)</x:f>
        <x:v>1</x:v>
      </x:c>
      <x:c r="AM22" s="38" t="n">
        <x:f>IF(AB22=0,0,AC22/AB22)</x:f>
        <x:v>1</x:v>
      </x:c>
      <x:c r="AN22" s="37" t="n">
        <x:f>ROUND((AD22*0.20+AE22*0.20+AF22*0.25+AG22*0.15+MIN(100,AC22*12)*0.20),1)</x:f>
        <x:v>93</x:v>
      </x:c>
      <x:c r="AO22" s="37" t="n">
        <x:f>ROUND(MAX(0,MIN(100,(X22*0.35)+(W22/45*100*0.20)+((5-O22)/4*100*0.15)+((5-P22)/4*100*0.10)+((6-Y22)/5*100*0.10)+((100-Z22)*0.10))),1)</x:f>
        <x:v>61.7</x:v>
      </x:c>
      <x:c r="AP22" s="37" t="str">
        <x:f>IF(AO22&gt;=70,"High",IF(AO22&gt;=40,"Moderate","Low"))</x:f>
        <x:v>Moderate</x:v>
      </x:c>
      <x:c r="AQ22" s="37" t="n">
        <x:f>ROUND(MAX(0,MIN(100,(O22/4*100*0.25)+(P22/4*100*0.20)+(Q22/4*100*0.15)+(Y22/5*100*0.20)+(100-AO22)*0.20)),1)</x:f>
        <x:v>66.2</x:v>
      </x:c>
      <x:c r="AR22" s="37" t="n">
        <x:f>ROUND((AI22*0.20+AJ22*0.15+AN22*0.18+AG22*0.12+Z22*0.15+AQ22*0.20),1)</x:f>
        <x:v>91.2</x:v>
      </x:c>
      <x:c r="AS22" s="39" t="n">
        <x:f>ROUND((AC22*AF22*120)+(AH22*350)+(MAX(0,AI22-75)*220)+(MAX(0,AQ22-60)*100),0)</x:f>
        <x:v>94320</x:v>
      </x:c>
    </x:row>
    <x:row r="23">
      <x:c r="A23" s="35" t="n">
        <x:v>22</x:v>
      </x:c>
      <x:c r="B23" s="35" t="n">
        <x:v>31</x:v>
      </x:c>
      <x:c r="C23" s="35" t="str">
        <x:v>Female</x:v>
      </x:c>
      <x:c r="D23" s="35" t="str">
        <x:v>Marketing</x:v>
      </x:c>
      <x:c r="E23" s="35" t="str">
        <x:v>Marketing Specialist</x:v>
      </x:c>
      <x:c r="F23" s="35" t="str">
        <x:v>Technical Degree</x:v>
      </x:c>
      <x:c r="G23" s="35" t="str">
        <x:v>Divorced</x:v>
      </x:c>
      <x:c r="H23" s="35" t="n">
        <x:v>1</x:v>
      </x:c>
      <x:c r="I23" s="36" t="n">
        <x:v>4950</x:v>
      </x:c>
      <x:c r="J23" s="35" t="n">
        <x:v>7</x:v>
      </x:c>
      <x:c r="K23" s="35" t="n">
        <x:v>2</x:v>
      </x:c>
      <x:c r="L23" s="35" t="n">
        <x:v>1</x:v>
      </x:c>
      <x:c r="M23" s="35" t="n">
        <x:v>3</x:v>
      </x:c>
      <x:c r="N23" s="35" t="str">
        <x:v>Yes</x:v>
      </x:c>
      <x:c r="O23" s="35" t="n">
        <x:v>3</x:v>
      </x:c>
      <x:c r="P23" s="35" t="n">
        <x:v>2</x:v>
      </x:c>
      <x:c r="Q23" s="35" t="n">
        <x:v>3</x:v>
      </x:c>
      <x:c r="R23" s="35" t="n">
        <x:v>4</x:v>
      </x:c>
      <x:c r="S23" s="35" t="n">
        <x:v>3</x:v>
      </x:c>
      <x:c r="T23" s="35" t="n">
        <x:v>5</x:v>
      </x:c>
      <x:c r="U23" s="35" t="n">
        <x:v>0</x:v>
      </x:c>
      <x:c r="V23" s="35" t="n">
        <x:v>8</x:v>
      </x:c>
      <x:c r="W23" s="35" t="n">
        <x:v>28</x:v>
      </x:c>
      <x:c r="X23" s="35" t="n">
        <x:v>63</x:v>
      </x:c>
      <x:c r="Y23" s="35" t="n">
        <x:v>3</x:v>
      </x:c>
      <x:c r="Z23" s="35" t="n">
        <x:v>99</x:v>
      </x:c>
      <x:c r="AA23" s="35" t="n">
        <x:v>4</x:v>
      </x:c>
      <x:c r="AB23" s="35" t="n">
        <x:v>3</x:v>
      </x:c>
      <x:c r="AC23" s="35" t="n">
        <x:v>3</x:v>
      </x:c>
      <x:c r="AD23" s="35" t="n">
        <x:v>90</x:v>
      </x:c>
      <x:c r="AE23" s="35" t="n">
        <x:v>73</x:v>
      </x:c>
      <x:c r="AF23" s="35" t="n">
        <x:v>79</x:v>
      </x:c>
      <x:c r="AG23" s="35" t="n">
        <x:v>100</x:v>
      </x:c>
      <x:c r="AH23" s="35" t="n">
        <x:v>5</x:v>
      </x:c>
      <x:c r="AI23" s="37" t="n">
        <x:v>97.3</x:v>
      </x:c>
      <x:c r="AJ23" s="37" t="n">
        <x:v>100</x:v>
      </x:c>
      <x:c r="AK23" s="35" t="str">
        <x:v>No</x:v>
      </x:c>
      <x:c r="AL23" s="38" t="n">
        <x:f>IF(AA23=0,0,AB23/AA23)</x:f>
        <x:v>0.75</x:v>
      </x:c>
      <x:c r="AM23" s="38" t="n">
        <x:f>IF(AB23=0,0,AC23/AB23)</x:f>
        <x:v>1</x:v>
      </x:c>
      <x:c r="AN23" s="37" t="n">
        <x:f>ROUND((AD23*0.20+AE23*0.20+AF23*0.25+AG23*0.15+MIN(100,AC23*12)*0.20),1)</x:f>
        <x:v>74.6</x:v>
      </x:c>
      <x:c r="AO23" s="37" t="n">
        <x:f>ROUND(MAX(0,MIN(100,(X23*0.35)+(W23/45*100*0.20)+((5-O23)/4*100*0.15)+((5-P23)/4*100*0.10)+((6-Y23)/5*100*0.10)+((100-Z23)*0.10))),1)</x:f>
        <x:v>55.6</x:v>
      </x:c>
      <x:c r="AP23" s="37" t="str">
        <x:f>IF(AO23&gt;=70,"High",IF(AO23&gt;=40,"Moderate","Low"))</x:f>
        <x:v>Moderate</x:v>
      </x:c>
      <x:c r="AQ23" s="37" t="n">
        <x:f>ROUND(MAX(0,MIN(100,(O23/4*100*0.25)+(P23/4*100*0.20)+(Q23/4*100*0.15)+(Y23/5*100*0.20)+(100-AO23)*0.20)),1)</x:f>
        <x:v>60.9</x:v>
      </x:c>
      <x:c r="AR23" s="37" t="n">
        <x:f>ROUND((AI23*0.20+AJ23*0.15+AN23*0.18+AG23*0.12+Z23*0.15+AQ23*0.20),1)</x:f>
        <x:v>86.9</x:v>
      </x:c>
      <x:c r="AS23" s="39" t="n">
        <x:f>ROUND((AC23*AF23*120)+(AH23*350)+(MAX(0,AI23-75)*220)+(MAX(0,AQ23-60)*100),0)</x:f>
        <x:v>35186</x:v>
      </x:c>
    </x:row>
    <x:row r="24">
      <x:c r="A24" s="35" t="n">
        <x:v>23</x:v>
      </x:c>
      <x:c r="B24" s="35" t="n">
        <x:v>39</x:v>
      </x:c>
      <x:c r="C24" s="35" t="str">
        <x:v>Male</x:v>
      </x:c>
      <x:c r="D24" s="35" t="str">
        <x:v>Sales</x:v>
      </x:c>
      <x:c r="E24" s="35" t="str">
        <x:v>Sales Representative</x:v>
      </x:c>
      <x:c r="F24" s="35" t="str">
        <x:v>Business</x:v>
      </x:c>
      <x:c r="G24" s="35" t="str">
        <x:v>Divorced</x:v>
      </x:c>
      <x:c r="H24" s="35" t="n">
        <x:v>2</x:v>
      </x:c>
      <x:c r="I24" s="36" t="n">
        <x:v>9230</x:v>
      </x:c>
      <x:c r="J24" s="35" t="n">
        <x:v>12</x:v>
      </x:c>
      <x:c r="K24" s="35" t="n">
        <x:v>5</x:v>
      </x:c>
      <x:c r="L24" s="35" t="n">
        <x:v>2</x:v>
      </x:c>
      <x:c r="M24" s="35" t="n">
        <x:v>15</x:v>
      </x:c>
      <x:c r="N24" s="35" t="str">
        <x:v>No</x:v>
      </x:c>
      <x:c r="O24" s="35" t="n">
        <x:v>4</x:v>
      </x:c>
      <x:c r="P24" s="35" t="n">
        <x:v>3</x:v>
      </x:c>
      <x:c r="Q24" s="35" t="n">
        <x:v>2</x:v>
      </x:c>
      <x:c r="R24" s="35" t="n">
        <x:v>2</x:v>
      </x:c>
      <x:c r="S24" s="35" t="n">
        <x:v>3</x:v>
      </x:c>
      <x:c r="T24" s="35" t="n">
        <x:v>1</x:v>
      </x:c>
      <x:c r="U24" s="35" t="n">
        <x:v>3</x:v>
      </x:c>
      <x:c r="V24" s="35" t="n">
        <x:v>6</x:v>
      </x:c>
      <x:c r="W24" s="35" t="n">
        <x:v>2</x:v>
      </x:c>
      <x:c r="X24" s="35" t="n">
        <x:v>83</x:v>
      </x:c>
      <x:c r="Y24" s="35" t="n">
        <x:v>5</x:v>
      </x:c>
      <x:c r="Z24" s="35" t="n">
        <x:v>94</x:v>
      </x:c>
      <x:c r="AA24" s="35" t="n">
        <x:v>8</x:v>
      </x:c>
      <x:c r="AB24" s="35" t="n">
        <x:v>5</x:v>
      </x:c>
      <x:c r="AC24" s="35" t="n">
        <x:v>4</x:v>
      </x:c>
      <x:c r="AD24" s="35" t="n">
        <x:v>65</x:v>
      </x:c>
      <x:c r="AE24" s="35" t="n">
        <x:v>100</x:v>
      </x:c>
      <x:c r="AF24" s="35" t="n">
        <x:v>51</x:v>
      </x:c>
      <x:c r="AG24" s="35" t="n">
        <x:v>88</x:v>
      </x:c>
      <x:c r="AH24" s="35" t="n">
        <x:v>6</x:v>
      </x:c>
      <x:c r="AI24" s="37" t="n">
        <x:v>98.1</x:v>
      </x:c>
      <x:c r="AJ24" s="37" t="n">
        <x:v>93.1</x:v>
      </x:c>
      <x:c r="AK24" s="35" t="str">
        <x:v>No</x:v>
      </x:c>
      <x:c r="AL24" s="38" t="n">
        <x:f>IF(AA24=0,0,AB24/AA24)</x:f>
        <x:v>0.625</x:v>
      </x:c>
      <x:c r="AM24" s="38" t="n">
        <x:f>IF(AB24=0,0,AC24/AB24)</x:f>
        <x:v>0.8</x:v>
      </x:c>
      <x:c r="AN24" s="37" t="n">
        <x:f>ROUND((AD24*0.20+AE24*0.20+AF24*0.25+AG24*0.15+MIN(100,AC24*12)*0.20),1)</x:f>
        <x:v>68.6</x:v>
      </x:c>
      <x:c r="AO24" s="37" t="n">
        <x:f>ROUND(MAX(0,MIN(100,(X24*0.35)+(W24/45*100*0.20)+((5-O24)/4*100*0.15)+((5-P24)/4*100*0.10)+((6-Y24)/5*100*0.10)+((100-Z24)*0.10))),1)</x:f>
        <x:v>41.3</x:v>
      </x:c>
      <x:c r="AP24" s="37" t="str">
        <x:f>IF(AO24&gt;=70,"High",IF(AO24&gt;=40,"Moderate","Low"))</x:f>
        <x:v>Moderate</x:v>
      </x:c>
      <x:c r="AQ24" s="37" t="n">
        <x:f>ROUND(MAX(0,MIN(100,(O24/4*100*0.25)+(P24/4*100*0.20)+(Q24/4*100*0.15)+(Y24/5*100*0.20)+(100-AO24)*0.20)),1)</x:f>
        <x:v>79.2</x:v>
      </x:c>
      <x:c r="AR24" s="37" t="n">
        <x:f>ROUND((AI24*0.20+AJ24*0.15+AN24*0.18+AG24*0.12+Z24*0.15+AQ24*0.20),1)</x:f>
        <x:v>86.4</x:v>
      </x:c>
      <x:c r="AS24" s="39" t="n">
        <x:f>ROUND((AC24*AF24*120)+(AH24*350)+(MAX(0,AI24-75)*220)+(MAX(0,AQ24-60)*100),0)</x:f>
        <x:v>33582</x:v>
      </x:c>
    </x:row>
    <x:row r="25">
      <x:c r="A25" s="35" t="n">
        <x:v>24</x:v>
      </x:c>
      <x:c r="B25" s="35" t="n">
        <x:v>26</x:v>
      </x:c>
      <x:c r="C25" s="35" t="str">
        <x:v>Male</x:v>
      </x:c>
      <x:c r="D25" s="35" t="str">
        <x:v>Finance</x:v>
      </x:c>
      <x:c r="E25" s="35" t="str">
        <x:v>Finance Manager</x:v>
      </x:c>
      <x:c r="F25" s="35" t="str">
        <x:v>Business</x:v>
      </x:c>
      <x:c r="G25" s="35" t="str">
        <x:v>Divorced</x:v>
      </x:c>
      <x:c r="H25" s="35" t="n">
        <x:v>2</x:v>
      </x:c>
      <x:c r="I25" s="36" t="n">
        <x:v>10070</x:v>
      </x:c>
      <x:c r="J25" s="35" t="n">
        <x:v>4</x:v>
      </x:c>
      <x:c r="K25" s="35" t="n">
        <x:v>3</x:v>
      </x:c>
      <x:c r="L25" s="35" t="n">
        <x:v>1</x:v>
      </x:c>
      <x:c r="M25" s="35" t="n">
        <x:v>16</x:v>
      </x:c>
      <x:c r="N25" s="35" t="str">
        <x:v>No</x:v>
      </x:c>
      <x:c r="O25" s="35" t="n">
        <x:v>2</x:v>
      </x:c>
      <x:c r="P25" s="35" t="n">
        <x:v>2</x:v>
      </x:c>
      <x:c r="Q25" s="35" t="n">
        <x:v>3</x:v>
      </x:c>
      <x:c r="R25" s="35" t="n">
        <x:v>3</x:v>
      </x:c>
      <x:c r="S25" s="35" t="n">
        <x:v>4</x:v>
      </x:c>
      <x:c r="T25" s="35" t="n">
        <x:v>3</x:v>
      </x:c>
      <x:c r="U25" s="35" t="n">
        <x:v>1</x:v>
      </x:c>
      <x:c r="V25" s="35" t="n">
        <x:v>4</x:v>
      </x:c>
      <x:c r="W25" s="35" t="n">
        <x:v>4</x:v>
      </x:c>
      <x:c r="X25" s="35" t="n">
        <x:v>57</x:v>
      </x:c>
      <x:c r="Y25" s="35" t="n">
        <x:v>5</x:v>
      </x:c>
      <x:c r="Z25" s="35" t="n">
        <x:v>100</x:v>
      </x:c>
      <x:c r="AA25" s="35" t="n">
        <x:v>4</x:v>
      </x:c>
      <x:c r="AB25" s="35" t="n">
        <x:v>4</x:v>
      </x:c>
      <x:c r="AC25" s="35" t="n">
        <x:v>3</x:v>
      </x:c>
      <x:c r="AD25" s="35" t="n">
        <x:v>78</x:v>
      </x:c>
      <x:c r="AE25" s="35" t="n">
        <x:v>71</x:v>
      </x:c>
      <x:c r="AF25" s="35" t="n">
        <x:v>74</x:v>
      </x:c>
      <x:c r="AG25" s="35" t="n">
        <x:v>89</x:v>
      </x:c>
      <x:c r="AH25" s="35" t="n">
        <x:v>9</x:v>
      </x:c>
      <x:c r="AI25" s="37" t="n">
        <x:v>89.1</x:v>
      </x:c>
      <x:c r="AJ25" s="37" t="n">
        <x:v>93.5</x:v>
      </x:c>
      <x:c r="AK25" s="35" t="str">
        <x:v>No</x:v>
      </x:c>
      <x:c r="AL25" s="38" t="n">
        <x:f>IF(AA25=0,0,AB25/AA25)</x:f>
        <x:v>1</x:v>
      </x:c>
      <x:c r="AM25" s="38" t="n">
        <x:f>IF(AB25=0,0,AC25/AB25)</x:f>
        <x:v>0.75</x:v>
      </x:c>
      <x:c r="AN25" s="37" t="n">
        <x:f>ROUND((AD25*0.20+AE25*0.20+AF25*0.25+AG25*0.15+MIN(100,AC25*12)*0.20),1)</x:f>
        <x:v>68.9</x:v>
      </x:c>
      <x:c r="AO25" s="37" t="n">
        <x:f>ROUND(MAX(0,MIN(100,(X25*0.35)+(W25/45*100*0.20)+((5-O25)/4*100*0.15)+((5-P25)/4*100*0.10)+((6-Y25)/5*100*0.10)+((100-Z25)*0.10))),1)</x:f>
        <x:v>42.5</x:v>
      </x:c>
      <x:c r="AP25" s="37" t="str">
        <x:f>IF(AO25&gt;=70,"High",IF(AO25&gt;=40,"Moderate","Low"))</x:f>
        <x:v>Moderate</x:v>
      </x:c>
      <x:c r="AQ25" s="37" t="n">
        <x:f>ROUND(MAX(0,MIN(100,(O25/4*100*0.25)+(P25/4*100*0.20)+(Q25/4*100*0.15)+(Y25/5*100*0.20)+(100-AO25)*0.20)),1)</x:f>
        <x:v>65.3</x:v>
      </x:c>
      <x:c r="AR25" s="37" t="n">
        <x:f>ROUND((AI25*0.20+AJ25*0.15+AN25*0.18+AG25*0.12+Z25*0.15+AQ25*0.20),1)</x:f>
        <x:v>83</x:v>
      </x:c>
      <x:c r="AS25" s="39" t="n">
        <x:f>ROUND((AC25*AF25*120)+(AH25*350)+(MAX(0,AI25-75)*220)+(MAX(0,AQ25-60)*100),0)</x:f>
        <x:v>33422</x:v>
      </x:c>
    </x:row>
    <x:row r="26">
      <x:c r="A26" s="35" t="n">
        <x:v>25</x:v>
      </x:c>
      <x:c r="B26" s="35" t="n">
        <x:v>35</x:v>
      </x:c>
      <x:c r="C26" s="35" t="str">
        <x:v>Female</x:v>
      </x:c>
      <x:c r="D26" s="35" t="str">
        <x:v>Operations</x:v>
      </x:c>
      <x:c r="E26" s="35" t="str">
        <x:v>Operations Specialist</x:v>
      </x:c>
      <x:c r="F26" s="35" t="str">
        <x:v>Medical</x:v>
      </x:c>
      <x:c r="G26" s="35" t="str">
        <x:v>Single</x:v>
      </x:c>
      <x:c r="H26" s="35" t="n">
        <x:v>2</x:v>
      </x:c>
      <x:c r="I26" s="36" t="n">
        <x:v>7000</x:v>
      </x:c>
      <x:c r="J26" s="35" t="n">
        <x:v>8</x:v>
      </x:c>
      <x:c r="K26" s="35" t="n">
        <x:v>6</x:v>
      </x:c>
      <x:c r="L26" s="35" t="n">
        <x:v>2</x:v>
      </x:c>
      <x:c r="M26" s="35" t="n">
        <x:v>5</x:v>
      </x:c>
      <x:c r="N26" s="35" t="str">
        <x:v>No</x:v>
      </x:c>
      <x:c r="O26" s="35" t="n">
        <x:v>3</x:v>
      </x:c>
      <x:c r="P26" s="35" t="n">
        <x:v>3</x:v>
      </x:c>
      <x:c r="Q26" s="35" t="n">
        <x:v>3</x:v>
      </x:c>
      <x:c r="R26" s="35" t="n">
        <x:v>3</x:v>
      </x:c>
      <x:c r="S26" s="35" t="n">
        <x:v>3</x:v>
      </x:c>
      <x:c r="T26" s="35" t="n">
        <x:v>1</x:v>
      </x:c>
      <x:c r="U26" s="35" t="n">
        <x:v>2</x:v>
      </x:c>
      <x:c r="V26" s="35" t="n">
        <x:v>9</x:v>
      </x:c>
      <x:c r="W26" s="35" t="n">
        <x:v>8</x:v>
      </x:c>
      <x:c r="X26" s="35" t="n">
        <x:v>71</x:v>
      </x:c>
      <x:c r="Y26" s="35" t="n">
        <x:v>5</x:v>
      </x:c>
      <x:c r="Z26" s="35" t="n">
        <x:v>100</x:v>
      </x:c>
      <x:c r="AA26" s="35" t="n">
        <x:v>8</x:v>
      </x:c>
      <x:c r="AB26" s="35" t="n">
        <x:v>6</x:v>
      </x:c>
      <x:c r="AC26" s="35" t="n">
        <x:v>5</x:v>
      </x:c>
      <x:c r="AD26" s="35" t="n">
        <x:v>100</x:v>
      </x:c>
      <x:c r="AE26" s="35" t="n">
        <x:v>83</x:v>
      </x:c>
      <x:c r="AF26" s="35" t="n">
        <x:v>78</x:v>
      </x:c>
      <x:c r="AG26" s="35" t="n">
        <x:v>98</x:v>
      </x:c>
      <x:c r="AH26" s="35" t="n">
        <x:v>6</x:v>
      </x:c>
      <x:c r="AI26" s="37" t="n">
        <x:v>100</x:v>
      </x:c>
      <x:c r="AJ26" s="37" t="n">
        <x:v>90.4</x:v>
      </x:c>
      <x:c r="AK26" s="35" t="str">
        <x:v>No</x:v>
      </x:c>
      <x:c r="AL26" s="38" t="n">
        <x:f>IF(AA26=0,0,AB26/AA26)</x:f>
        <x:v>0.75</x:v>
      </x:c>
      <x:c r="AM26" s="38" t="n">
        <x:f>IF(AB26=0,0,AC26/AB26)</x:f>
        <x:v>0.8333333333333334</x:v>
      </x:c>
      <x:c r="AN26" s="37" t="n">
        <x:f>ROUND((AD26*0.20+AE26*0.20+AF26*0.25+AG26*0.15+MIN(100,AC26*12)*0.20),1)</x:f>
        <x:v>82.8</x:v>
      </x:c>
      <x:c r="AO26" s="37" t="n">
        <x:f>ROUND(MAX(0,MIN(100,(X26*0.35)+(W26/45*100*0.20)+((5-O26)/4*100*0.15)+((5-P26)/4*100*0.10)+((6-Y26)/5*100*0.10)+((100-Z26)*0.10))),1)</x:f>
        <x:v>42.9</x:v>
      </x:c>
      <x:c r="AP26" s="37" t="str">
        <x:f>IF(AO26&gt;=70,"High",IF(AO26&gt;=40,"Moderate","Low"))</x:f>
        <x:v>Moderate</x:v>
      </x:c>
      <x:c r="AQ26" s="37" t="n">
        <x:f>ROUND(MAX(0,MIN(100,(O26/4*100*0.25)+(P26/4*100*0.20)+(Q26/4*100*0.15)+(Y26/5*100*0.20)+(100-AO26)*0.20)),1)</x:f>
        <x:v>76.4</x:v>
      </x:c>
      <x:c r="AR26" s="37" t="n">
        <x:f>ROUND((AI26*0.20+AJ26*0.15+AN26*0.18+AG26*0.12+Z26*0.15+AQ26*0.20),1)</x:f>
        <x:v>90.5</x:v>
      </x:c>
      <x:c r="AS26" s="39" t="n">
        <x:f>ROUND((AC26*AF26*120)+(AH26*350)+(MAX(0,AI26-75)*220)+(MAX(0,AQ26-60)*100),0)</x:f>
        <x:v>56040</x:v>
      </x:c>
    </x:row>
    <x:row r="27">
      <x:c r="A27" s="35" t="n">
        <x:v>26</x:v>
      </x:c>
      <x:c r="B27" s="35" t="n">
        <x:v>35</x:v>
      </x:c>
      <x:c r="C27" s="35" t="str">
        <x:v>Female</x:v>
      </x:c>
      <x:c r="D27" s="35" t="str">
        <x:v>Human Resources</x:v>
      </x:c>
      <x:c r="E27" s="35" t="str">
        <x:v>Talent Development Specialist</x:v>
      </x:c>
      <x:c r="F27" s="35" t="str">
        <x:v>Business</x:v>
      </x:c>
      <x:c r="G27" s="35" t="str">
        <x:v>Married</x:v>
      </x:c>
      <x:c r="H27" s="35" t="n">
        <x:v>2</x:v>
      </x:c>
      <x:c r="I27" s="36" t="n">
        <x:v>7970</x:v>
      </x:c>
      <x:c r="J27" s="35" t="n">
        <x:v>12</x:v>
      </x:c>
      <x:c r="K27" s="35" t="n">
        <x:v>4</x:v>
      </x:c>
      <x:c r="L27" s="35" t="n">
        <x:v>2</x:v>
      </x:c>
      <x:c r="M27" s="35" t="n">
        <x:v>9</x:v>
      </x:c>
      <x:c r="N27" s="35" t="str">
        <x:v>No</x:v>
      </x:c>
      <x:c r="O27" s="35" t="n">
        <x:v>2</x:v>
      </x:c>
      <x:c r="P27" s="35" t="n">
        <x:v>3</x:v>
      </x:c>
      <x:c r="Q27" s="35" t="n">
        <x:v>3</x:v>
      </x:c>
      <x:c r="R27" s="35" t="n">
        <x:v>2</x:v>
      </x:c>
      <x:c r="S27" s="35" t="n">
        <x:v>4</x:v>
      </x:c>
      <x:c r="T27" s="35" t="n">
        <x:v>3</x:v>
      </x:c>
      <x:c r="U27" s="35" t="n">
        <x:v>0</x:v>
      </x:c>
      <x:c r="V27" s="35" t="n">
        <x:v>7</x:v>
      </x:c>
      <x:c r="W27" s="35" t="n">
        <x:v>0</x:v>
      </x:c>
      <x:c r="X27" s="35" t="n">
        <x:v>67</x:v>
      </x:c>
      <x:c r="Y27" s="35" t="n">
        <x:v>4</x:v>
      </x:c>
      <x:c r="Z27" s="35" t="n">
        <x:v>87</x:v>
      </x:c>
      <x:c r="AA27" s="35" t="n">
        <x:v>3</x:v>
      </x:c>
      <x:c r="AB27" s="35" t="n">
        <x:v>3</x:v>
      </x:c>
      <x:c r="AC27" s="35" t="n">
        <x:v>3</x:v>
      </x:c>
      <x:c r="AD27" s="35" t="n">
        <x:v>74</x:v>
      </x:c>
      <x:c r="AE27" s="35" t="n">
        <x:v>80</x:v>
      </x:c>
      <x:c r="AF27" s="35" t="n">
        <x:v>85</x:v>
      </x:c>
      <x:c r="AG27" s="35" t="n">
        <x:v>73</x:v>
      </x:c>
      <x:c r="AH27" s="35" t="n">
        <x:v>7</x:v>
      </x:c>
      <x:c r="AI27" s="37" t="n">
        <x:v>99.4</x:v>
      </x:c>
      <x:c r="AJ27" s="37" t="n">
        <x:v>94.5</x:v>
      </x:c>
      <x:c r="AK27" s="35" t="str">
        <x:v>No</x:v>
      </x:c>
      <x:c r="AL27" s="38" t="n">
        <x:f>IF(AA27=0,0,AB27/AA27)</x:f>
        <x:v>1</x:v>
      </x:c>
      <x:c r="AM27" s="38" t="n">
        <x:f>IF(AB27=0,0,AC27/AB27)</x:f>
        <x:v>1</x:v>
      </x:c>
      <x:c r="AN27" s="37" t="n">
        <x:f>ROUND((AD27*0.20+AE27*0.20+AF27*0.25+AG27*0.15+MIN(100,AC27*12)*0.20),1)</x:f>
        <x:v>70.2</x:v>
      </x:c>
      <x:c r="AO27" s="37" t="n">
        <x:f>ROUND(MAX(0,MIN(100,(X27*0.35)+(W27/45*100*0.20)+((5-O27)/4*100*0.15)+((5-P27)/4*100*0.10)+((6-Y27)/5*100*0.10)+((100-Z27)*0.10))),1)</x:f>
        <x:v>45</x:v>
      </x:c>
      <x:c r="AP27" s="37" t="str">
        <x:f>IF(AO27&gt;=70,"High",IF(AO27&gt;=40,"Moderate","Low"))</x:f>
        <x:v>Moderate</x:v>
      </x:c>
      <x:c r="AQ27" s="37" t="n">
        <x:f>ROUND(MAX(0,MIN(100,(O27/4*100*0.25)+(P27/4*100*0.20)+(Q27/4*100*0.15)+(Y27/5*100*0.20)+(100-AO27)*0.20)),1)</x:f>
        <x:v>65.8</x:v>
      </x:c>
      <x:c r="AR27" s="37" t="n">
        <x:f>ROUND((AI27*0.20+AJ27*0.15+AN27*0.18+AG27*0.12+Z27*0.15+AQ27*0.20),1)</x:f>
        <x:v>81.7</x:v>
      </x:c>
      <x:c r="AS27" s="39" t="n">
        <x:f>ROUND((AC27*AF27*120)+(AH27*350)+(MAX(0,AI27-75)*220)+(MAX(0,AQ27-60)*100),0)</x:f>
        <x:v>38998</x:v>
      </x:c>
    </x:row>
    <x:row r="28">
      <x:c r="A28" s="35" t="n">
        <x:v>27</x:v>
      </x:c>
      <x:c r="B28" s="35" t="n">
        <x:v>38</x:v>
      </x:c>
      <x:c r="C28" s="35" t="str">
        <x:v>Female</x:v>
      </x:c>
      <x:c r="D28" s="35" t="str">
        <x:v>Marketing</x:v>
      </x:c>
      <x:c r="E28" s="35" t="str">
        <x:v>Marketing Manager</x:v>
      </x:c>
      <x:c r="F28" s="35" t="str">
        <x:v>Computer Science</x:v>
      </x:c>
      <x:c r="G28" s="35" t="str">
        <x:v>Divorced</x:v>
      </x:c>
      <x:c r="H28" s="35" t="n">
        <x:v>3</x:v>
      </x:c>
      <x:c r="I28" s="36" t="n">
        <x:v>16740</x:v>
      </x:c>
      <x:c r="J28" s="35" t="n">
        <x:v>12</x:v>
      </x:c>
      <x:c r="K28" s="35" t="n">
        <x:v>4</x:v>
      </x:c>
      <x:c r="L28" s="35" t="n">
        <x:v>3</x:v>
      </x:c>
      <x:c r="M28" s="35" t="n">
        <x:v>12</x:v>
      </x:c>
      <x:c r="N28" s="35" t="str">
        <x:v>No</x:v>
      </x:c>
      <x:c r="O28" s="35" t="n">
        <x:v>3</x:v>
      </x:c>
      <x:c r="P28" s="35" t="n">
        <x:v>2</x:v>
      </x:c>
      <x:c r="Q28" s="35" t="n">
        <x:v>3</x:v>
      </x:c>
      <x:c r="R28" s="35" t="n">
        <x:v>3</x:v>
      </x:c>
      <x:c r="S28" s="35" t="n">
        <x:v>3</x:v>
      </x:c>
      <x:c r="T28" s="35" t="n">
        <x:v>0</x:v>
      </x:c>
      <x:c r="U28" s="35" t="n">
        <x:v>0</x:v>
      </x:c>
      <x:c r="V28" s="35" t="n">
        <x:v>10</x:v>
      </x:c>
      <x:c r="W28" s="35" t="n">
        <x:v>16</x:v>
      </x:c>
      <x:c r="X28" s="35" t="n">
        <x:v>73</x:v>
      </x:c>
      <x:c r="Y28" s="35" t="n">
        <x:v>5</x:v>
      </x:c>
      <x:c r="Z28" s="35" t="n">
        <x:v>93</x:v>
      </x:c>
      <x:c r="AA28" s="35" t="n">
        <x:v>5</x:v>
      </x:c>
      <x:c r="AB28" s="35" t="n">
        <x:v>4</x:v>
      </x:c>
      <x:c r="AC28" s="35" t="n">
        <x:v>3</x:v>
      </x:c>
      <x:c r="AD28" s="35" t="n">
        <x:v>74</x:v>
      </x:c>
      <x:c r="AE28" s="35" t="n">
        <x:v>81</x:v>
      </x:c>
      <x:c r="AF28" s="35" t="n">
        <x:v>80</x:v>
      </x:c>
      <x:c r="AG28" s="35" t="n">
        <x:v>89</x:v>
      </x:c>
      <x:c r="AH28" s="35" t="n">
        <x:v>3</x:v>
      </x:c>
      <x:c r="AI28" s="37" t="n">
        <x:v>93.7</x:v>
      </x:c>
      <x:c r="AJ28" s="37" t="n">
        <x:v>89.3</x:v>
      </x:c>
      <x:c r="AK28" s="35" t="str">
        <x:v>No</x:v>
      </x:c>
      <x:c r="AL28" s="38" t="n">
        <x:f>IF(AA28=0,0,AB28/AA28)</x:f>
        <x:v>0.8</x:v>
      </x:c>
      <x:c r="AM28" s="38" t="n">
        <x:f>IF(AB28=0,0,AC28/AB28)</x:f>
        <x:v>0.75</x:v>
      </x:c>
      <x:c r="AN28" s="37" t="n">
        <x:f>ROUND((AD28*0.20+AE28*0.20+AF28*0.25+AG28*0.15+MIN(100,AC28*12)*0.20),1)</x:f>
        <x:v>71.6</x:v>
      </x:c>
      <x:c r="AO28" s="37" t="n">
        <x:f>ROUND(MAX(0,MIN(100,(X28*0.35)+(W28/45*100*0.20)+((5-O28)/4*100*0.15)+((5-P28)/4*100*0.10)+((6-Y28)/5*100*0.10)+((100-Z28)*0.10))),1)</x:f>
        <x:v>50.4</x:v>
      </x:c>
      <x:c r="AP28" s="37" t="str">
        <x:f>IF(AO28&gt;=70,"High",IF(AO28&gt;=40,"Moderate","Low"))</x:f>
        <x:v>Moderate</x:v>
      </x:c>
      <x:c r="AQ28" s="37" t="n">
        <x:f>ROUND(MAX(0,MIN(100,(O28/4*100*0.25)+(P28/4*100*0.20)+(Q28/4*100*0.15)+(Y28/5*100*0.20)+(100-AO28)*0.20)),1)</x:f>
        <x:v>69.9</x:v>
      </x:c>
      <x:c r="AR28" s="37" t="n">
        <x:f>ROUND((AI28*0.20+AJ28*0.15+AN28*0.18+AG28*0.12+Z28*0.15+AQ28*0.20),1)</x:f>
        <x:v>83.6</x:v>
      </x:c>
      <x:c r="AS28" s="39" t="n">
        <x:f>ROUND((AC28*AF28*120)+(AH28*350)+(MAX(0,AI28-75)*220)+(MAX(0,AQ28-60)*100),0)</x:f>
        <x:v>34954</x:v>
      </x:c>
    </x:row>
    <x:row r="29">
      <x:c r="A29" s="35" t="n">
        <x:v>28</x:v>
      </x:c>
      <x:c r="B29" s="35" t="n">
        <x:v>43</x:v>
      </x:c>
      <x:c r="C29" s="35" t="str">
        <x:v>Male</x:v>
      </x:c>
      <x:c r="D29" s="35" t="str">
        <x:v>Research &amp; Development</x:v>
      </x:c>
      <x:c r="E29" s="35" t="str">
        <x:v>Research Scientist</x:v>
      </x:c>
      <x:c r="F29" s="35" t="str">
        <x:v>Life Sciences</x:v>
      </x:c>
      <x:c r="G29" s="35" t="str">
        <x:v>Married</x:v>
      </x:c>
      <x:c r="H29" s="35" t="n">
        <x:v>3</x:v>
      </x:c>
      <x:c r="I29" s="36" t="n">
        <x:v>15760</x:v>
      </x:c>
      <x:c r="J29" s="35" t="n">
        <x:v>18</x:v>
      </x:c>
      <x:c r="K29" s="35" t="n">
        <x:v>14</x:v>
      </x:c>
      <x:c r="L29" s="35" t="n">
        <x:v>4</x:v>
      </x:c>
      <x:c r="M29" s="35" t="n">
        <x:v>5</x:v>
      </x:c>
      <x:c r="N29" s="35" t="str">
        <x:v>Yes</x:v>
      </x:c>
      <x:c r="O29" s="35" t="n">
        <x:v>2</x:v>
      </x:c>
      <x:c r="P29" s="35" t="n">
        <x:v>4</x:v>
      </x:c>
      <x:c r="Q29" s="35" t="n">
        <x:v>3</x:v>
      </x:c>
      <x:c r="R29" s="35" t="n">
        <x:v>4</x:v>
      </x:c>
      <x:c r="S29" s="35" t="n">
        <x:v>4</x:v>
      </x:c>
      <x:c r="T29" s="35" t="n">
        <x:v>4</x:v>
      </x:c>
      <x:c r="U29" s="35" t="n">
        <x:v>1</x:v>
      </x:c>
      <x:c r="V29" s="35" t="n">
        <x:v>7</x:v>
      </x:c>
      <x:c r="W29" s="35" t="n">
        <x:v>32</x:v>
      </x:c>
      <x:c r="X29" s="35" t="n">
        <x:v>77</x:v>
      </x:c>
      <x:c r="Y29" s="35" t="n">
        <x:v>3</x:v>
      </x:c>
      <x:c r="Z29" s="35" t="n">
        <x:v>100</x:v>
      </x:c>
      <x:c r="AA29" s="35" t="n">
        <x:v>3</x:v>
      </x:c>
      <x:c r="AB29" s="35" t="n">
        <x:v>3</x:v>
      </x:c>
      <x:c r="AC29" s="35" t="n">
        <x:v>3</x:v>
      </x:c>
      <x:c r="AD29" s="35" t="n">
        <x:v>94</x:v>
      </x:c>
      <x:c r="AE29" s="35" t="n">
        <x:v>77</x:v>
      </x:c>
      <x:c r="AF29" s="35" t="n">
        <x:v>63</x:v>
      </x:c>
      <x:c r="AG29" s="35" t="n">
        <x:v>99</x:v>
      </x:c>
      <x:c r="AH29" s="35" t="n">
        <x:v>8</x:v>
      </x:c>
      <x:c r="AI29" s="37" t="n">
        <x:v>96.3</x:v>
      </x:c>
      <x:c r="AJ29" s="37" t="n">
        <x:v>100</x:v>
      </x:c>
      <x:c r="AK29" s="35" t="str">
        <x:v>No</x:v>
      </x:c>
      <x:c r="AL29" s="38" t="n">
        <x:f>IF(AA29=0,0,AB29/AA29)</x:f>
        <x:v>1</x:v>
      </x:c>
      <x:c r="AM29" s="38" t="n">
        <x:f>IF(AB29=0,0,AC29/AB29)</x:f>
        <x:v>1</x:v>
      </x:c>
      <x:c r="AN29" s="37" t="n">
        <x:f>ROUND((AD29*0.20+AE29*0.20+AF29*0.25+AG29*0.15+MIN(100,AC29*12)*0.20),1)</x:f>
        <x:v>72</x:v>
      </x:c>
      <x:c r="AO29" s="37" t="n">
        <x:f>ROUND(MAX(0,MIN(100,(X29*0.35)+(W29/45*100*0.20)+((5-O29)/4*100*0.15)+((5-P29)/4*100*0.10)+((6-Y29)/5*100*0.10)+((100-Z29)*0.10))),1)</x:f>
        <x:v>60.9</x:v>
      </x:c>
      <x:c r="AP29" s="37" t="str">
        <x:f>IF(AO29&gt;=70,"High",IF(AO29&gt;=40,"Moderate","Low"))</x:f>
        <x:v>Moderate</x:v>
      </x:c>
      <x:c r="AQ29" s="37" t="n">
        <x:f>ROUND(MAX(0,MIN(100,(O29/4*100*0.25)+(P29/4*100*0.20)+(Q29/4*100*0.15)+(Y29/5*100*0.20)+(100-AO29)*0.20)),1)</x:f>
        <x:v>63.6</x:v>
      </x:c>
      <x:c r="AR29" s="37" t="n">
        <x:f>ROUND((AI29*0.20+AJ29*0.15+AN29*0.18+AG29*0.12+Z29*0.15+AQ29*0.20),1)</x:f>
        <x:v>86.8</x:v>
      </x:c>
      <x:c r="AS29" s="39" t="n">
        <x:f>ROUND((AC29*AF29*120)+(AH29*350)+(MAX(0,AI29-75)*220)+(MAX(0,AQ29-60)*100),0)</x:f>
        <x:v>30526</x:v>
      </x:c>
    </x:row>
    <x:row r="30">
      <x:c r="A30" s="35" t="n">
        <x:v>29</x:v>
      </x:c>
      <x:c r="B30" s="35" t="n">
        <x:v>28</x:v>
      </x:c>
      <x:c r="C30" s="35" t="str">
        <x:v>Male</x:v>
      </x:c>
      <x:c r="D30" s="35" t="str">
        <x:v>Sales</x:v>
      </x:c>
      <x:c r="E30" s="35" t="str">
        <x:v>Sales Representative</x:v>
      </x:c>
      <x:c r="F30" s="35" t="str">
        <x:v>Business</x:v>
      </x:c>
      <x:c r="G30" s="35" t="str">
        <x:v>Married</x:v>
      </x:c>
      <x:c r="H30" s="35" t="n">
        <x:v>1</x:v>
      </x:c>
      <x:c r="I30" s="36" t="n">
        <x:v>5660</x:v>
      </x:c>
      <x:c r="J30" s="35" t="n">
        <x:v>4</x:v>
      </x:c>
      <x:c r="K30" s="35" t="n">
        <x:v>2</x:v>
      </x:c>
      <x:c r="L30" s="35" t="n">
        <x:v>1</x:v>
      </x:c>
      <x:c r="M30" s="35" t="n">
        <x:v>4</x:v>
      </x:c>
      <x:c r="N30" s="35" t="str">
        <x:v>Yes</x:v>
      </x:c>
      <x:c r="O30" s="35" t="n">
        <x:v>1</x:v>
      </x:c>
      <x:c r="P30" s="35" t="n">
        <x:v>3</x:v>
      </x:c>
      <x:c r="Q30" s="35" t="n">
        <x:v>3</x:v>
      </x:c>
      <x:c r="R30" s="35" t="n">
        <x:v>3</x:v>
      </x:c>
      <x:c r="S30" s="35" t="n">
        <x:v>3</x:v>
      </x:c>
      <x:c r="T30" s="35" t="n">
        <x:v>2</x:v>
      </x:c>
      <x:c r="U30" s="35" t="n">
        <x:v>0</x:v>
      </x:c>
      <x:c r="V30" s="35" t="n">
        <x:v>8</x:v>
      </x:c>
      <x:c r="W30" s="35" t="n">
        <x:v>32</x:v>
      </x:c>
      <x:c r="X30" s="35" t="n">
        <x:v>82</x:v>
      </x:c>
      <x:c r="Y30" s="35" t="n">
        <x:v>4</x:v>
      </x:c>
      <x:c r="Z30" s="35" t="n">
        <x:v>100</x:v>
      </x:c>
      <x:c r="AA30" s="35" t="n">
        <x:v>12</x:v>
      </x:c>
      <x:c r="AB30" s="35" t="n">
        <x:v>9</x:v>
      </x:c>
      <x:c r="AC30" s="35" t="n">
        <x:v>7</x:v>
      </x:c>
      <x:c r="AD30" s="35" t="n">
        <x:v>80</x:v>
      </x:c>
      <x:c r="AE30" s="35" t="n">
        <x:v>76</x:v>
      </x:c>
      <x:c r="AF30" s="35" t="n">
        <x:v>90</x:v>
      </x:c>
      <x:c r="AG30" s="35" t="n">
        <x:v>99</x:v>
      </x:c>
      <x:c r="AH30" s="35" t="n">
        <x:v>9</x:v>
      </x:c>
      <x:c r="AI30" s="37" t="n">
        <x:v>100</x:v>
      </x:c>
      <x:c r="AJ30" s="37" t="n">
        <x:v>89.4</x:v>
      </x:c>
      <x:c r="AK30" s="35" t="str">
        <x:v>Yes</x:v>
      </x:c>
      <x:c r="AL30" s="38" t="n">
        <x:f>IF(AA30=0,0,AB30/AA30)</x:f>
        <x:v>0.75</x:v>
      </x:c>
      <x:c r="AM30" s="38" t="n">
        <x:f>IF(AB30=0,0,AC30/AB30)</x:f>
        <x:v>0.7777777777777778</x:v>
      </x:c>
      <x:c r="AN30" s="37" t="n">
        <x:f>ROUND((AD30*0.20+AE30*0.20+AF30*0.25+AG30*0.15+MIN(100,AC30*12)*0.20),1)</x:f>
        <x:v>85.4</x:v>
      </x:c>
      <x:c r="AO30" s="37" t="n">
        <x:f>ROUND(MAX(0,MIN(100,(X30*0.35)+(W30/45*100*0.20)+((5-O30)/4*100*0.15)+((5-P30)/4*100*0.10)+((6-Y30)/5*100*0.10)+((100-Z30)*0.10))),1)</x:f>
        <x:v>66.9</x:v>
      </x:c>
      <x:c r="AP30" s="37" t="str">
        <x:f>IF(AO30&gt;=70,"High",IF(AO30&gt;=40,"Moderate","Low"))</x:f>
        <x:v>Moderate</x:v>
      </x:c>
      <x:c r="AQ30" s="37" t="n">
        <x:f>ROUND(MAX(0,MIN(100,(O30/4*100*0.25)+(P30/4*100*0.20)+(Q30/4*100*0.15)+(Y30/5*100*0.20)+(100-AO30)*0.20)),1)</x:f>
        <x:v>55.1</x:v>
      </x:c>
      <x:c r="AR30" s="37" t="n">
        <x:f>ROUND((AI30*0.20+AJ30*0.15+AN30*0.18+AG30*0.12+Z30*0.15+AQ30*0.20),1)</x:f>
        <x:v>86.7</x:v>
      </x:c>
      <x:c r="AS30" s="39" t="n">
        <x:f>ROUND((AC30*AF30*120)+(AH30*350)+(MAX(0,AI30-75)*220)+(MAX(0,AQ30-60)*100),0)</x:f>
        <x:v>84250</x:v>
      </x:c>
    </x:row>
    <x:row r="31">
      <x:c r="A31" s="35" t="n">
        <x:v>30</x:v>
      </x:c>
      <x:c r="B31" s="35" t="n">
        <x:v>26</x:v>
      </x:c>
      <x:c r="C31" s="35" t="str">
        <x:v>Male</x:v>
      </x:c>
      <x:c r="D31" s="35" t="str">
        <x:v>Human Resources</x:v>
      </x:c>
      <x:c r="E31" s="35" t="str">
        <x:v>HR Manager</x:v>
      </x:c>
      <x:c r="F31" s="35" t="str">
        <x:v>Marketing</x:v>
      </x:c>
      <x:c r="G31" s="35" t="str">
        <x:v>Married</x:v>
      </x:c>
      <x:c r="H31" s="35" t="n">
        <x:v>2</x:v>
      </x:c>
      <x:c r="I31" s="36" t="n">
        <x:v>8620</x:v>
      </x:c>
      <x:c r="J31" s="35" t="n">
        <x:v>3</x:v>
      </x:c>
      <x:c r="K31" s="35" t="n">
        <x:v>1</x:v>
      </x:c>
      <x:c r="L31" s="35" t="n">
        <x:v>0</x:v>
      </x:c>
      <x:c r="M31" s="35" t="n">
        <x:v>10</x:v>
      </x:c>
      <x:c r="N31" s="35" t="str">
        <x:v>No</x:v>
      </x:c>
      <x:c r="O31" s="35" t="n">
        <x:v>3</x:v>
      </x:c>
      <x:c r="P31" s="35" t="n">
        <x:v>4</x:v>
      </x:c>
      <x:c r="Q31" s="35" t="n">
        <x:v>3</x:v>
      </x:c>
      <x:c r="R31" s="35" t="n">
        <x:v>3</x:v>
      </x:c>
      <x:c r="S31" s="35" t="n">
        <x:v>3</x:v>
      </x:c>
      <x:c r="T31" s="35" t="n">
        <x:v>3</x:v>
      </x:c>
      <x:c r="U31" s="35" t="n">
        <x:v>2</x:v>
      </x:c>
      <x:c r="V31" s="35" t="n">
        <x:v>0</x:v>
      </x:c>
      <x:c r="W31" s="35" t="n">
        <x:v>0</x:v>
      </x:c>
      <x:c r="X31" s="35" t="n">
        <x:v>79</x:v>
      </x:c>
      <x:c r="Y31" s="35" t="n">
        <x:v>5</x:v>
      </x:c>
      <x:c r="Z31" s="35" t="n">
        <x:v>100</x:v>
      </x:c>
      <x:c r="AA31" s="35" t="n">
        <x:v>4</x:v>
      </x:c>
      <x:c r="AB31" s="35" t="n">
        <x:v>4</x:v>
      </x:c>
      <x:c r="AC31" s="35" t="n">
        <x:v>3</x:v>
      </x:c>
      <x:c r="AD31" s="35" t="n">
        <x:v>85</x:v>
      </x:c>
      <x:c r="AE31" s="35" t="n">
        <x:v>96</x:v>
      </x:c>
      <x:c r="AF31" s="35" t="n">
        <x:v>91</x:v>
      </x:c>
      <x:c r="AG31" s="35" t="n">
        <x:v>84</x:v>
      </x:c>
      <x:c r="AH31" s="35" t="n">
        <x:v>9</x:v>
      </x:c>
      <x:c r="AI31" s="37" t="n">
        <x:v>99.5</x:v>
      </x:c>
      <x:c r="AJ31" s="37" t="n">
        <x:v>93.2</x:v>
      </x:c>
      <x:c r="AK31" s="35" t="str">
        <x:v>No</x:v>
      </x:c>
      <x:c r="AL31" s="38" t="n">
        <x:f>IF(AA31=0,0,AB31/AA31)</x:f>
        <x:v>1</x:v>
      </x:c>
      <x:c r="AM31" s="38" t="n">
        <x:f>IF(AB31=0,0,AC31/AB31)</x:f>
        <x:v>0.75</x:v>
      </x:c>
      <x:c r="AN31" s="37" t="n">
        <x:f>ROUND((AD31*0.20+AE31*0.20+AF31*0.25+AG31*0.15+MIN(100,AC31*12)*0.20),1)</x:f>
        <x:v>78.8</x:v>
      </x:c>
      <x:c r="AO31" s="37" t="n">
        <x:f>ROUND(MAX(0,MIN(100,(X31*0.35)+(W31/45*100*0.20)+((5-O31)/4*100*0.15)+((5-P31)/4*100*0.10)+((6-Y31)/5*100*0.10)+((100-Z31)*0.10))),1)</x:f>
        <x:v>39.7</x:v>
      </x:c>
      <x:c r="AP31" s="37" t="str">
        <x:f>IF(AO31&gt;=70,"High",IF(AO31&gt;=40,"Moderate","Low"))</x:f>
        <x:v>Low</x:v>
      </x:c>
      <x:c r="AQ31" s="37" t="n">
        <x:f>ROUND(MAX(0,MIN(100,(O31/4*100*0.25)+(P31/4*100*0.20)+(Q31/4*100*0.15)+(Y31/5*100*0.20)+(100-AO31)*0.20)),1)</x:f>
        <x:v>82.1</x:v>
      </x:c>
      <x:c r="AR31" s="37" t="n">
        <x:f>ROUND((AI31*0.20+AJ31*0.15+AN31*0.18+AG31*0.12+Z31*0.15+AQ31*0.20),1)</x:f>
        <x:v>89.6</x:v>
      </x:c>
      <x:c r="AS31" s="39" t="n">
        <x:f>ROUND((AC31*AF31*120)+(AH31*350)+(MAX(0,AI31-75)*220)+(MAX(0,AQ31-60)*100),0)</x:f>
        <x:v>43510</x:v>
      </x:c>
    </x:row>
    <x:row r="32">
      <x:c r="A32" s="35" t="n">
        <x:v>31</x:v>
      </x:c>
      <x:c r="B32" s="35" t="n">
        <x:v>42</x:v>
      </x:c>
      <x:c r="C32" s="35" t="str">
        <x:v>Female</x:v>
      </x:c>
      <x:c r="D32" s="35" t="str">
        <x:v>Research &amp; Development</x:v>
      </x:c>
      <x:c r="E32" s="35" t="str">
        <x:v>Data Scientist</x:v>
      </x:c>
      <x:c r="F32" s="35" t="str">
        <x:v>Human Resources</x:v>
      </x:c>
      <x:c r="G32" s="35" t="str">
        <x:v>Divorced</x:v>
      </x:c>
      <x:c r="H32" s="35" t="n">
        <x:v>3</x:v>
      </x:c>
      <x:c r="I32" s="36" t="n">
        <x:v>13710</x:v>
      </x:c>
      <x:c r="J32" s="35" t="n">
        <x:v>10</x:v>
      </x:c>
      <x:c r="K32" s="35" t="n">
        <x:v>8</x:v>
      </x:c>
      <x:c r="L32" s="35" t="n">
        <x:v>6</x:v>
      </x:c>
      <x:c r="M32" s="35" t="n">
        <x:v>3</x:v>
      </x:c>
      <x:c r="N32" s="35" t="str">
        <x:v>No</x:v>
      </x:c>
      <x:c r="O32" s="35" t="n">
        <x:v>2</x:v>
      </x:c>
      <x:c r="P32" s="35" t="n">
        <x:v>3</x:v>
      </x:c>
      <x:c r="Q32" s="35" t="n">
        <x:v>3</x:v>
      </x:c>
      <x:c r="R32" s="35" t="n">
        <x:v>3</x:v>
      </x:c>
      <x:c r="S32" s="35" t="n">
        <x:v>3</x:v>
      </x:c>
      <x:c r="T32" s="35" t="n">
        <x:v>3</x:v>
      </x:c>
      <x:c r="U32" s="35" t="n">
        <x:v>2</x:v>
      </x:c>
      <x:c r="V32" s="35" t="n">
        <x:v>8</x:v>
      </x:c>
      <x:c r="W32" s="35" t="n">
        <x:v>7</x:v>
      </x:c>
      <x:c r="X32" s="35" t="n">
        <x:v>67</x:v>
      </x:c>
      <x:c r="Y32" s="35" t="n">
        <x:v>5</x:v>
      </x:c>
      <x:c r="Z32" s="35" t="n">
        <x:v>100</x:v>
      </x:c>
      <x:c r="AA32" s="35" t="n">
        <x:v>9</x:v>
      </x:c>
      <x:c r="AB32" s="35" t="n">
        <x:v>6</x:v>
      </x:c>
      <x:c r="AC32" s="35" t="n">
        <x:v>5</x:v>
      </x:c>
      <x:c r="AD32" s="35" t="n">
        <x:v>84</x:v>
      </x:c>
      <x:c r="AE32" s="35" t="n">
        <x:v>76</x:v>
      </x:c>
      <x:c r="AF32" s="35" t="n">
        <x:v>93</x:v>
      </x:c>
      <x:c r="AG32" s="35" t="n">
        <x:v>87</x:v>
      </x:c>
      <x:c r="AH32" s="35" t="n">
        <x:v>11</x:v>
      </x:c>
      <x:c r="AI32" s="37" t="n">
        <x:v>100</x:v>
      </x:c>
      <x:c r="AJ32" s="37" t="n">
        <x:v>100</x:v>
      </x:c>
      <x:c r="AK32" s="35" t="str">
        <x:v>No</x:v>
      </x:c>
      <x:c r="AL32" s="38" t="n">
        <x:f>IF(AA32=0,0,AB32/AA32)</x:f>
        <x:v>0.6666666666666666</x:v>
      </x:c>
      <x:c r="AM32" s="38" t="n">
        <x:f>IF(AB32=0,0,AC32/AB32)</x:f>
        <x:v>0.8333333333333334</x:v>
      </x:c>
      <x:c r="AN32" s="37" t="n">
        <x:f>ROUND((AD32*0.20+AE32*0.20+AF32*0.25+AG32*0.15+MIN(100,AC32*12)*0.20),1)</x:f>
        <x:v>80.3</x:v>
      </x:c>
      <x:c r="AO32" s="37" t="n">
        <x:f>ROUND(MAX(0,MIN(100,(X32*0.35)+(W32/45*100*0.20)+((5-O32)/4*100*0.15)+((5-P32)/4*100*0.10)+((6-Y32)/5*100*0.10)+((100-Z32)*0.10))),1)</x:f>
        <x:v>44.8</x:v>
      </x:c>
      <x:c r="AP32" s="37" t="str">
        <x:f>IF(AO32&gt;=70,"High",IF(AO32&gt;=40,"Moderate","Low"))</x:f>
        <x:v>Moderate</x:v>
      </x:c>
      <x:c r="AQ32" s="37" t="n">
        <x:f>ROUND(MAX(0,MIN(100,(O32/4*100*0.25)+(P32/4*100*0.20)+(Q32/4*100*0.15)+(Y32/5*100*0.20)+(100-AO32)*0.20)),1)</x:f>
        <x:v>69.8</x:v>
      </x:c>
      <x:c r="AR32" s="37" t="n">
        <x:f>ROUND((AI32*0.20+AJ32*0.15+AN32*0.18+AG32*0.12+Z32*0.15+AQ32*0.20),1)</x:f>
        <x:v>88.9</x:v>
      </x:c>
      <x:c r="AS32" s="39" t="n">
        <x:f>ROUND((AC32*AF32*120)+(AH32*350)+(MAX(0,AI32-75)*220)+(MAX(0,AQ32-60)*100),0)</x:f>
        <x:v>66130</x:v>
      </x:c>
    </x:row>
    <x:row r="33">
      <x:c r="A33" s="35" t="n">
        <x:v>32</x:v>
      </x:c>
      <x:c r="B33" s="35" t="n">
        <x:v>34</x:v>
      </x:c>
      <x:c r="C33" s="35" t="str">
        <x:v>Female</x:v>
      </x:c>
      <x:c r="D33" s="35" t="str">
        <x:v>Operations</x:v>
      </x:c>
      <x:c r="E33" s="35" t="str">
        <x:v>Quality Specialist</x:v>
      </x:c>
      <x:c r="F33" s="35" t="str">
        <x:v>Medical</x:v>
      </x:c>
      <x:c r="G33" s="35" t="str">
        <x:v>Married</x:v>
      </x:c>
      <x:c r="H33" s="35" t="n">
        <x:v>2</x:v>
      </x:c>
      <x:c r="I33" s="36" t="n">
        <x:v>8050</x:v>
      </x:c>
      <x:c r="J33" s="35" t="n">
        <x:v>6</x:v>
      </x:c>
      <x:c r="K33" s="35" t="n">
        <x:v>2</x:v>
      </x:c>
      <x:c r="L33" s="35" t="n">
        <x:v>1</x:v>
      </x:c>
      <x:c r="M33" s="35" t="n">
        <x:v>10</x:v>
      </x:c>
      <x:c r="N33" s="35" t="str">
        <x:v>No</x:v>
      </x:c>
      <x:c r="O33" s="35" t="n">
        <x:v>3</x:v>
      </x:c>
      <x:c r="P33" s="35" t="n">
        <x:v>3</x:v>
      </x:c>
      <x:c r="Q33" s="35" t="n">
        <x:v>2</x:v>
      </x:c>
      <x:c r="R33" s="35" t="n">
        <x:v>4</x:v>
      </x:c>
      <x:c r="S33" s="35" t="n">
        <x:v>3</x:v>
      </x:c>
      <x:c r="T33" s="35" t="n">
        <x:v>2</x:v>
      </x:c>
      <x:c r="U33" s="35" t="n">
        <x:v>1</x:v>
      </x:c>
      <x:c r="V33" s="35" t="n">
        <x:v>6</x:v>
      </x:c>
      <x:c r="W33" s="35" t="n">
        <x:v>6</x:v>
      </x:c>
      <x:c r="X33" s="35" t="n">
        <x:v>71</x:v>
      </x:c>
      <x:c r="Y33" s="35" t="n">
        <x:v>4</x:v>
      </x:c>
      <x:c r="Z33" s="35" t="n">
        <x:v>100</x:v>
      </x:c>
      <x:c r="AA33" s="35" t="n">
        <x:v>6</x:v>
      </x:c>
      <x:c r="AB33" s="35" t="n">
        <x:v>4</x:v>
      </x:c>
      <x:c r="AC33" s="35" t="n">
        <x:v>4</x:v>
      </x:c>
      <x:c r="AD33" s="35" t="n">
        <x:v>66</x:v>
      </x:c>
      <x:c r="AE33" s="35" t="n">
        <x:v>94</x:v>
      </x:c>
      <x:c r="AF33" s="35" t="n">
        <x:v>87</x:v>
      </x:c>
      <x:c r="AG33" s="35" t="n">
        <x:v>81</x:v>
      </x:c>
      <x:c r="AH33" s="35" t="n">
        <x:v>6</x:v>
      </x:c>
      <x:c r="AI33" s="37" t="n">
        <x:v>96.2</x:v>
      </x:c>
      <x:c r="AJ33" s="37" t="n">
        <x:v>100</x:v>
      </x:c>
      <x:c r="AK33" s="35" t="str">
        <x:v>No</x:v>
      </x:c>
      <x:c r="AL33" s="38" t="n">
        <x:f>IF(AA33=0,0,AB33/AA33)</x:f>
        <x:v>0.6666666666666666</x:v>
      </x:c>
      <x:c r="AM33" s="38" t="n">
        <x:f>IF(AB33=0,0,AC33/AB33)</x:f>
        <x:v>1</x:v>
      </x:c>
      <x:c r="AN33" s="37" t="n">
        <x:f>ROUND((AD33*0.20+AE33*0.20+AF33*0.25+AG33*0.15+MIN(100,AC33*12)*0.20),1)</x:f>
        <x:v>75.5</x:v>
      </x:c>
      <x:c r="AO33" s="37" t="n">
        <x:f>ROUND(MAX(0,MIN(100,(X33*0.35)+(W33/45*100*0.20)+((5-O33)/4*100*0.15)+((5-P33)/4*100*0.10)+((6-Y33)/5*100*0.10)+((100-Z33)*0.10))),1)</x:f>
        <x:v>44</x:v>
      </x:c>
      <x:c r="AP33" s="37" t="str">
        <x:f>IF(AO33&gt;=70,"High",IF(AO33&gt;=40,"Moderate","Low"))</x:f>
        <x:v>Moderate</x:v>
      </x:c>
      <x:c r="AQ33" s="37" t="n">
        <x:f>ROUND(MAX(0,MIN(100,(O33/4*100*0.25)+(P33/4*100*0.20)+(Q33/4*100*0.15)+(Y33/5*100*0.20)+(100-AO33)*0.20)),1)</x:f>
        <x:v>68.5</x:v>
      </x:c>
      <x:c r="AR33" s="37" t="n">
        <x:f>ROUND((AI33*0.20+AJ33*0.15+AN33*0.18+AG33*0.12+Z33*0.15+AQ33*0.20),1)</x:f>
        <x:v>86.3</x:v>
      </x:c>
      <x:c r="AS33" s="39" t="n">
        <x:f>ROUND((AC33*AF33*120)+(AH33*350)+(MAX(0,AI33-75)*220)+(MAX(0,AQ33-60)*100),0)</x:f>
        <x:v>49374</x:v>
      </x:c>
    </x:row>
    <x:row r="34">
      <x:c r="A34" s="35" t="n">
        <x:v>33</x:v>
      </x:c>
      <x:c r="B34" s="35" t="n">
        <x:v>45</x:v>
      </x:c>
      <x:c r="C34" s="35" t="str">
        <x:v>Female</x:v>
      </x:c>
      <x:c r="D34" s="35" t="str">
        <x:v>Research &amp; Development</x:v>
      </x:c>
      <x:c r="E34" s="35" t="str">
        <x:v>Research Scientist</x:v>
      </x:c>
      <x:c r="F34" s="35" t="str">
        <x:v>Marketing</x:v>
      </x:c>
      <x:c r="G34" s="35" t="str">
        <x:v>Divorced</x:v>
      </x:c>
      <x:c r="H34" s="35" t="n">
        <x:v>4</x:v>
      </x:c>
      <x:c r="I34" s="36" t="n">
        <x:v>26800</x:v>
      </x:c>
      <x:c r="J34" s="35" t="n">
        <x:v>14</x:v>
      </x:c>
      <x:c r="K34" s="35" t="n">
        <x:v>6</x:v>
      </x:c>
      <x:c r="L34" s="35" t="n">
        <x:v>4</x:v>
      </x:c>
      <x:c r="M34" s="35" t="n">
        <x:v>22</x:v>
      </x:c>
      <x:c r="N34" s="35" t="str">
        <x:v>Yes</x:v>
      </x:c>
      <x:c r="O34" s="35" t="n">
        <x:v>1</x:v>
      </x:c>
      <x:c r="P34" s="35" t="n">
        <x:v>1</x:v>
      </x:c>
      <x:c r="Q34" s="35" t="n">
        <x:v>2</x:v>
      </x:c>
      <x:c r="R34" s="35" t="n">
        <x:v>4</x:v>
      </x:c>
      <x:c r="S34" s="35" t="n">
        <x:v>3</x:v>
      </x:c>
      <x:c r="T34" s="35" t="n">
        <x:v>2</x:v>
      </x:c>
      <x:c r="U34" s="35" t="n">
        <x:v>1</x:v>
      </x:c>
      <x:c r="V34" s="35" t="n">
        <x:v>5</x:v>
      </x:c>
      <x:c r="W34" s="35" t="n">
        <x:v>18</x:v>
      </x:c>
      <x:c r="X34" s="35" t="n">
        <x:v>99</x:v>
      </x:c>
      <x:c r="Y34" s="35" t="n">
        <x:v>3</x:v>
      </x:c>
      <x:c r="Z34" s="35" t="n">
        <x:v>86</x:v>
      </x:c>
      <x:c r="AA34" s="35" t="n">
        <x:v>2</x:v>
      </x:c>
      <x:c r="AB34" s="35" t="n">
        <x:v>1</x:v>
      </x:c>
      <x:c r="AC34" s="35" t="n">
        <x:v>0</x:v>
      </x:c>
      <x:c r="AD34" s="35" t="n">
        <x:v>65</x:v>
      </x:c>
      <x:c r="AE34" s="35" t="n">
        <x:v>89</x:v>
      </x:c>
      <x:c r="AF34" s="35" t="n">
        <x:v>82</x:v>
      </x:c>
      <x:c r="AG34" s="35" t="n">
        <x:v>100</x:v>
      </x:c>
      <x:c r="AH34" s="35" t="n">
        <x:v>4</x:v>
      </x:c>
      <x:c r="AI34" s="37" t="n">
        <x:v>92.7</x:v>
      </x:c>
      <x:c r="AJ34" s="37" t="n">
        <x:v>100</x:v>
      </x:c>
      <x:c r="AK34" s="35" t="str">
        <x:v>Yes</x:v>
      </x:c>
      <x:c r="AL34" s="38" t="n">
        <x:f>IF(AA34=0,0,AB34/AA34)</x:f>
        <x:v>0.5</x:v>
      </x:c>
      <x:c r="AM34" s="38" t="n">
        <x:f>IF(AB34=0,0,AC34/AB34)</x:f>
        <x:v>0</x:v>
      </x:c>
      <x:c r="AN34" s="37" t="n">
        <x:f>ROUND((AD34*0.20+AE34*0.20+AF34*0.25+AG34*0.15+MIN(100,AC34*12)*0.20),1)</x:f>
        <x:v>66.3</x:v>
      </x:c>
      <x:c r="AO34" s="37" t="n">
        <x:f>ROUND(MAX(0,MIN(100,(X34*0.35)+(W34/45*100*0.20)+((5-O34)/4*100*0.15)+((5-P34)/4*100*0.10)+((6-Y34)/5*100*0.10)+((100-Z34)*0.10))),1)</x:f>
        <x:v>75.1</x:v>
      </x:c>
      <x:c r="AP34" s="37" t="str">
        <x:f>IF(AO34&gt;=70,"High",IF(AO34&gt;=40,"Moderate","Low"))</x:f>
        <x:v>High</x:v>
      </x:c>
      <x:c r="AQ34" s="37" t="n">
        <x:f>ROUND(MAX(0,MIN(100,(O34/4*100*0.25)+(P34/4*100*0.20)+(Q34/4*100*0.15)+(Y34/5*100*0.20)+(100-AO34)*0.20)),1)</x:f>
        <x:v>35.7</x:v>
      </x:c>
      <x:c r="AR34" s="37" t="n">
        <x:f>ROUND((AI34*0.20+AJ34*0.15+AN34*0.18+AG34*0.12+Z34*0.15+AQ34*0.20),1)</x:f>
        <x:v>77.5</x:v>
      </x:c>
      <x:c r="AS34" s="39" t="n">
        <x:f>ROUND((AC34*AF34*120)+(AH34*350)+(MAX(0,AI34-75)*220)+(MAX(0,AQ34-60)*100),0)</x:f>
        <x:v>5294</x:v>
      </x:c>
    </x:row>
    <x:row r="35">
      <x:c r="A35" s="35" t="n">
        <x:v>34</x:v>
      </x:c>
      <x:c r="B35" s="35" t="n">
        <x:v>38</x:v>
      </x:c>
      <x:c r="C35" s="35" t="str">
        <x:v>Male</x:v>
      </x:c>
      <x:c r="D35" s="35" t="str">
        <x:v>Marketing</x:v>
      </x:c>
      <x:c r="E35" s="35" t="str">
        <x:v>Digital Marketing Analyst</x:v>
      </x:c>
      <x:c r="F35" s="35" t="str">
        <x:v>Business</x:v>
      </x:c>
      <x:c r="G35" s="35" t="str">
        <x:v>Married</x:v>
      </x:c>
      <x:c r="H35" s="35" t="n">
        <x:v>3</x:v>
      </x:c>
      <x:c r="I35" s="36" t="n">
        <x:v>10700</x:v>
      </x:c>
      <x:c r="J35" s="35" t="n">
        <x:v>13</x:v>
      </x:c>
      <x:c r="K35" s="35" t="n">
        <x:v>7</x:v>
      </x:c>
      <x:c r="L35" s="35" t="n">
        <x:v>3</x:v>
      </x:c>
      <x:c r="M35" s="35" t="n">
        <x:v>10</x:v>
      </x:c>
      <x:c r="N35" s="35" t="str">
        <x:v>No</x:v>
      </x:c>
      <x:c r="O35" s="35" t="n">
        <x:v>3</x:v>
      </x:c>
      <x:c r="P35" s="35" t="n">
        <x:v>3</x:v>
      </x:c>
      <x:c r="Q35" s="35" t="n">
        <x:v>2</x:v>
      </x:c>
      <x:c r="R35" s="35" t="n">
        <x:v>3</x:v>
      </x:c>
      <x:c r="S35" s="35" t="n">
        <x:v>4</x:v>
      </x:c>
      <x:c r="T35" s="35" t="n">
        <x:v>4</x:v>
      </x:c>
      <x:c r="U35" s="35" t="n">
        <x:v>2</x:v>
      </x:c>
      <x:c r="V35" s="35" t="n">
        <x:v>11</x:v>
      </x:c>
      <x:c r="W35" s="35" t="n">
        <x:v>15</x:v>
      </x:c>
      <x:c r="X35" s="35" t="n">
        <x:v>45</x:v>
      </x:c>
      <x:c r="Y35" s="35" t="n">
        <x:v>3</x:v>
      </x:c>
      <x:c r="Z35" s="35" t="n">
        <x:v>100</x:v>
      </x:c>
      <x:c r="AA35" s="35" t="n">
        <x:v>2</x:v>
      </x:c>
      <x:c r="AB35" s="35" t="n">
        <x:v>2</x:v>
      </x:c>
      <x:c r="AC35" s="35" t="n">
        <x:v>2</x:v>
      </x:c>
      <x:c r="AD35" s="35" t="n">
        <x:v>71</x:v>
      </x:c>
      <x:c r="AE35" s="35" t="n">
        <x:v>78</x:v>
      </x:c>
      <x:c r="AF35" s="35" t="n">
        <x:v>65</x:v>
      </x:c>
      <x:c r="AG35" s="35" t="n">
        <x:v>90</x:v>
      </x:c>
      <x:c r="AH35" s="35" t="n">
        <x:v>8</x:v>
      </x:c>
      <x:c r="AI35" s="37" t="n">
        <x:v>100</x:v>
      </x:c>
      <x:c r="AJ35" s="37" t="n">
        <x:v>89.2</x:v>
      </x:c>
      <x:c r="AK35" s="35" t="str">
        <x:v>No</x:v>
      </x:c>
      <x:c r="AL35" s="38" t="n">
        <x:f>IF(AA35=0,0,AB35/AA35)</x:f>
        <x:v>1</x:v>
      </x:c>
      <x:c r="AM35" s="38" t="n">
        <x:f>IF(AB35=0,0,AC35/AB35)</x:f>
        <x:v>1</x:v>
      </x:c>
      <x:c r="AN35" s="37" t="n">
        <x:f>ROUND((AD35*0.20+AE35*0.20+AF35*0.25+AG35*0.15+MIN(100,AC35*12)*0.20),1)</x:f>
        <x:v>64.4</x:v>
      </x:c>
      <x:c r="AO35" s="37" t="n">
        <x:f>ROUND(MAX(0,MIN(100,(X35*0.35)+(W35/45*100*0.20)+((5-O35)/4*100*0.15)+((5-P35)/4*100*0.10)+((6-Y35)/5*100*0.10)+((100-Z35)*0.10))),1)</x:f>
        <x:v>40.9</x:v>
      </x:c>
      <x:c r="AP35" s="37" t="str">
        <x:f>IF(AO35&gt;=70,"High",IF(AO35&gt;=40,"Moderate","Low"))</x:f>
        <x:v>Moderate</x:v>
      </x:c>
      <x:c r="AQ35" s="37" t="n">
        <x:f>ROUND(MAX(0,MIN(100,(O35/4*100*0.25)+(P35/4*100*0.20)+(Q35/4*100*0.15)+(Y35/5*100*0.20)+(100-AO35)*0.20)),1)</x:f>
        <x:v>65.1</x:v>
      </x:c>
      <x:c r="AR35" s="37" t="n">
        <x:f>ROUND((AI35*0.20+AJ35*0.15+AN35*0.18+AG35*0.12+Z35*0.15+AQ35*0.20),1)</x:f>
        <x:v>83.8</x:v>
      </x:c>
      <x:c r="AS35" s="39" t="n">
        <x:f>ROUND((AC35*AF35*120)+(AH35*350)+(MAX(0,AI35-75)*220)+(MAX(0,AQ35-60)*100),0)</x:f>
        <x:v>24410</x:v>
      </x:c>
    </x:row>
    <x:row r="36">
      <x:c r="A36" s="35" t="n">
        <x:v>35</x:v>
      </x:c>
      <x:c r="B36" s="35" t="n">
        <x:v>22</x:v>
      </x:c>
      <x:c r="C36" s="35" t="str">
        <x:v>Male</x:v>
      </x:c>
      <x:c r="D36" s="35" t="str">
        <x:v>Human Resources</x:v>
      </x:c>
      <x:c r="E36" s="35" t="str">
        <x:v>HR Specialist</x:v>
      </x:c>
      <x:c r="F36" s="35" t="str">
        <x:v>Life Sciences</x:v>
      </x:c>
      <x:c r="G36" s="35" t="str">
        <x:v>Married</x:v>
      </x:c>
      <x:c r="H36" s="35" t="n">
        <x:v>2</x:v>
      </x:c>
      <x:c r="I36" s="36" t="n">
        <x:v>11530</x:v>
      </x:c>
      <x:c r="J36" s="35" t="n">
        <x:v>1</x:v>
      </x:c>
      <x:c r="K36" s="35" t="n">
        <x:v>0</x:v>
      </x:c>
      <x:c r="L36" s="35" t="n">
        <x:v>0</x:v>
      </x:c>
      <x:c r="M36" s="35" t="n">
        <x:v>9</x:v>
      </x:c>
      <x:c r="N36" s="35" t="str">
        <x:v>No</x:v>
      </x:c>
      <x:c r="O36" s="35" t="n">
        <x:v>3</x:v>
      </x:c>
      <x:c r="P36" s="35" t="n">
        <x:v>2</x:v>
      </x:c>
      <x:c r="Q36" s="35" t="n">
        <x:v>2</x:v>
      </x:c>
      <x:c r="R36" s="35" t="n">
        <x:v>4</x:v>
      </x:c>
      <x:c r="S36" s="35" t="n">
        <x:v>3</x:v>
      </x:c>
      <x:c r="T36" s="35" t="n">
        <x:v>5</x:v>
      </x:c>
      <x:c r="U36" s="35" t="n">
        <x:v>0</x:v>
      </x:c>
      <x:c r="V36" s="35" t="n">
        <x:v>0</x:v>
      </x:c>
      <x:c r="W36" s="35" t="n">
        <x:v>1</x:v>
      </x:c>
      <x:c r="X36" s="35" t="n">
        <x:v>71</x:v>
      </x:c>
      <x:c r="Y36" s="35" t="n">
        <x:v>5</x:v>
      </x:c>
      <x:c r="Z36" s="35" t="n">
        <x:v>100</x:v>
      </x:c>
      <x:c r="AA36" s="35" t="n">
        <x:v>2</x:v>
      </x:c>
      <x:c r="AB36" s="35" t="n">
        <x:v>2</x:v>
      </x:c>
      <x:c r="AC36" s="35" t="n">
        <x:v>1</x:v>
      </x:c>
      <x:c r="AD36" s="35" t="n">
        <x:v>44</x:v>
      </x:c>
      <x:c r="AE36" s="35" t="n">
        <x:v>90</x:v>
      </x:c>
      <x:c r="AF36" s="35" t="n">
        <x:v>59</x:v>
      </x:c>
      <x:c r="AG36" s="35" t="n">
        <x:v>91</x:v>
      </x:c>
      <x:c r="AH36" s="35" t="n">
        <x:v>7</x:v>
      </x:c>
      <x:c r="AI36" s="37" t="n">
        <x:v>100</x:v>
      </x:c>
      <x:c r="AJ36" s="37" t="n">
        <x:v>99.6</x:v>
      </x:c>
      <x:c r="AK36" s="35" t="str">
        <x:v>No</x:v>
      </x:c>
      <x:c r="AL36" s="38" t="n">
        <x:f>IF(AA36=0,0,AB36/AA36)</x:f>
        <x:v>1</x:v>
      </x:c>
      <x:c r="AM36" s="38" t="n">
        <x:f>IF(AB36=0,0,AC36/AB36)</x:f>
        <x:v>0.5</x:v>
      </x:c>
      <x:c r="AN36" s="37" t="n">
        <x:f>ROUND((AD36*0.20+AE36*0.20+AF36*0.25+AG36*0.15+MIN(100,AC36*12)*0.20),1)</x:f>
        <x:v>57.6</x:v>
      </x:c>
      <x:c r="AO36" s="37" t="n">
        <x:f>ROUND(MAX(0,MIN(100,(X36*0.35)+(W36/45*100*0.20)+((5-O36)/4*100*0.15)+((5-P36)/4*100*0.10)+((6-Y36)/5*100*0.10)+((100-Z36)*0.10))),1)</x:f>
        <x:v>42.3</x:v>
      </x:c>
      <x:c r="AP36" s="37" t="str">
        <x:f>IF(AO36&gt;=70,"High",IF(AO36&gt;=40,"Moderate","Low"))</x:f>
        <x:v>Moderate</x:v>
      </x:c>
      <x:c r="AQ36" s="37" t="n">
        <x:f>ROUND(MAX(0,MIN(100,(O36/4*100*0.25)+(P36/4*100*0.20)+(Q36/4*100*0.15)+(Y36/5*100*0.20)+(100-AO36)*0.20)),1)</x:f>
        <x:v>67.8</x:v>
      </x:c>
      <x:c r="AR36" s="37" t="n">
        <x:f>ROUND((AI36*0.20+AJ36*0.15+AN36*0.18+AG36*0.12+Z36*0.15+AQ36*0.20),1)</x:f>
        <x:v>84.8</x:v>
      </x:c>
      <x:c r="AS36" s="39" t="n">
        <x:f>ROUND((AC36*AF36*120)+(AH36*350)+(MAX(0,AI36-75)*220)+(MAX(0,AQ36-60)*100),0)</x:f>
        <x:v>15810</x:v>
      </x:c>
    </x:row>
    <x:row r="37">
      <x:c r="A37" s="35" t="n">
        <x:v>36</x:v>
      </x:c>
      <x:c r="B37" s="35" t="n">
        <x:v>32</x:v>
      </x:c>
      <x:c r="C37" s="35" t="str">
        <x:v>Female</x:v>
      </x:c>
      <x:c r="D37" s="35" t="str">
        <x:v>Marketing</x:v>
      </x:c>
      <x:c r="E37" s="35" t="str">
        <x:v>Digital Marketing Analyst</x:v>
      </x:c>
      <x:c r="F37" s="35" t="str">
        <x:v>Computer Science</x:v>
      </x:c>
      <x:c r="G37" s="35" t="str">
        <x:v>Single</x:v>
      </x:c>
      <x:c r="H37" s="35" t="n">
        <x:v>2</x:v>
      </x:c>
      <x:c r="I37" s="36" t="n">
        <x:v>8580</x:v>
      </x:c>
      <x:c r="J37" s="35" t="n">
        <x:v>6</x:v>
      </x:c>
      <x:c r="K37" s="35" t="n">
        <x:v>2</x:v>
      </x:c>
      <x:c r="L37" s="35" t="n">
        <x:v>1</x:v>
      </x:c>
      <x:c r="M37" s="35" t="n">
        <x:v>14</x:v>
      </x:c>
      <x:c r="N37" s="35" t="str">
        <x:v>Yes</x:v>
      </x:c>
      <x:c r="O37" s="35" t="n">
        <x:v>3</x:v>
      </x:c>
      <x:c r="P37" s="35" t="n">
        <x:v>3</x:v>
      </x:c>
      <x:c r="Q37" s="35" t="n">
        <x:v>3</x:v>
      </x:c>
      <x:c r="R37" s="35" t="n">
        <x:v>4</x:v>
      </x:c>
      <x:c r="S37" s="35" t="n">
        <x:v>4</x:v>
      </x:c>
      <x:c r="T37" s="35" t="n">
        <x:v>0</x:v>
      </x:c>
      <x:c r="U37" s="35" t="n">
        <x:v>0</x:v>
      </x:c>
      <x:c r="V37" s="35" t="n">
        <x:v>14</x:v>
      </x:c>
      <x:c r="W37" s="35" t="n">
        <x:v>20</x:v>
      </x:c>
      <x:c r="X37" s="35" t="n">
        <x:v>92</x:v>
      </x:c>
      <x:c r="Y37" s="35" t="n">
        <x:v>5</x:v>
      </x:c>
      <x:c r="Z37" s="35" t="n">
        <x:v>100</x:v>
      </x:c>
      <x:c r="AA37" s="35" t="n">
        <x:v>15</x:v>
      </x:c>
      <x:c r="AB37" s="35" t="n">
        <x:v>12</x:v>
      </x:c>
      <x:c r="AC37" s="35" t="n">
        <x:v>10</x:v>
      </x:c>
      <x:c r="AD37" s="35" t="n">
        <x:v>92</x:v>
      </x:c>
      <x:c r="AE37" s="35" t="n">
        <x:v>100</x:v>
      </x:c>
      <x:c r="AF37" s="35" t="n">
        <x:v>95</x:v>
      </x:c>
      <x:c r="AG37" s="35" t="n">
        <x:v>92</x:v>
      </x:c>
      <x:c r="AH37" s="35" t="n">
        <x:v>12</x:v>
      </x:c>
      <x:c r="AI37" s="37" t="n">
        <x:v>100</x:v>
      </x:c>
      <x:c r="AJ37" s="37" t="n">
        <x:v>100</x:v>
      </x:c>
      <x:c r="AK37" s="35" t="str">
        <x:v>No</x:v>
      </x:c>
      <x:c r="AL37" s="38" t="n">
        <x:f>IF(AA37=0,0,AB37/AA37)</x:f>
        <x:v>0.8</x:v>
      </x:c>
      <x:c r="AM37" s="38" t="n">
        <x:f>IF(AB37=0,0,AC37/AB37)</x:f>
        <x:v>0.8333333333333334</x:v>
      </x:c>
      <x:c r="AN37" s="37" t="n">
        <x:f>ROUND((AD37*0.20+AE37*0.20+AF37*0.25+AG37*0.15+MIN(100,AC37*12)*0.20),1)</x:f>
        <x:v>96</x:v>
      </x:c>
      <x:c r="AO37" s="37" t="n">
        <x:f>ROUND(MAX(0,MIN(100,(X37*0.35)+(W37/45*100*0.20)+((5-O37)/4*100*0.15)+((5-P37)/4*100*0.10)+((6-Y37)/5*100*0.10)+((100-Z37)*0.10))),1)</x:f>
        <x:v>55.6</x:v>
      </x:c>
      <x:c r="AP37" s="37" t="str">
        <x:f>IF(AO37&gt;=70,"High",IF(AO37&gt;=40,"Moderate","Low"))</x:f>
        <x:v>Moderate</x:v>
      </x:c>
      <x:c r="AQ37" s="37" t="n">
        <x:f>ROUND(MAX(0,MIN(100,(O37/4*100*0.25)+(P37/4*100*0.20)+(Q37/4*100*0.15)+(Y37/5*100*0.20)+(100-AO37)*0.20)),1)</x:f>
        <x:v>73.9</x:v>
      </x:c>
      <x:c r="AR37" s="37" t="n">
        <x:f>ROUND((AI37*0.20+AJ37*0.15+AN37*0.18+AG37*0.12+Z37*0.15+AQ37*0.20),1)</x:f>
        <x:v>93.1</x:v>
      </x:c>
      <x:c r="AS37" s="39" t="n">
        <x:f>ROUND((AC37*AF37*120)+(AH37*350)+(MAX(0,AI37-75)*220)+(MAX(0,AQ37-60)*100),0)</x:f>
        <x:v>125090</x:v>
      </x:c>
    </x:row>
    <x:row r="38">
      <x:c r="A38" s="35" t="n">
        <x:v>37</x:v>
      </x:c>
      <x:c r="B38" s="35" t="n">
        <x:v>43</x:v>
      </x:c>
      <x:c r="C38" s="35" t="str">
        <x:v>Male</x:v>
      </x:c>
      <x:c r="D38" s="35" t="str">
        <x:v>Human Resources</x:v>
      </x:c>
      <x:c r="E38" s="35" t="str">
        <x:v>HR Manager</x:v>
      </x:c>
      <x:c r="F38" s="35" t="str">
        <x:v>Technical Degree</x:v>
      </x:c>
      <x:c r="G38" s="35" t="str">
        <x:v>Married</x:v>
      </x:c>
      <x:c r="H38" s="35" t="n">
        <x:v>3</x:v>
      </x:c>
      <x:c r="I38" s="36" t="n">
        <x:v>10800</x:v>
      </x:c>
      <x:c r="J38" s="35" t="n">
        <x:v>19</x:v>
      </x:c>
      <x:c r="K38" s="35" t="n">
        <x:v>15</x:v>
      </x:c>
      <x:c r="L38" s="35" t="n">
        <x:v>12</x:v>
      </x:c>
      <x:c r="M38" s="35" t="n">
        <x:v>5</x:v>
      </x:c>
      <x:c r="N38" s="35" t="str">
        <x:v>No</x:v>
      </x:c>
      <x:c r="O38" s="35" t="n">
        <x:v>2</x:v>
      </x:c>
      <x:c r="P38" s="35" t="n">
        <x:v>2</x:v>
      </x:c>
      <x:c r="Q38" s="35" t="n">
        <x:v>3</x:v>
      </x:c>
      <x:c r="R38" s="35" t="n">
        <x:v>2</x:v>
      </x:c>
      <x:c r="S38" s="35" t="n">
        <x:v>3</x:v>
      </x:c>
      <x:c r="T38" s="35" t="n">
        <x:v>3</x:v>
      </x:c>
      <x:c r="U38" s="35" t="n">
        <x:v>0</x:v>
      </x:c>
      <x:c r="V38" s="35" t="n">
        <x:v>8</x:v>
      </x:c>
      <x:c r="W38" s="35" t="n">
        <x:v>14</x:v>
      </x:c>
      <x:c r="X38" s="35" t="n">
        <x:v>34</x:v>
      </x:c>
      <x:c r="Y38" s="35" t="n">
        <x:v>5</x:v>
      </x:c>
      <x:c r="Z38" s="35" t="n">
        <x:v>86</x:v>
      </x:c>
      <x:c r="AA38" s="35" t="n">
        <x:v>8</x:v>
      </x:c>
      <x:c r="AB38" s="35" t="n">
        <x:v>5</x:v>
      </x:c>
      <x:c r="AC38" s="35" t="n">
        <x:v>5</x:v>
      </x:c>
      <x:c r="AD38" s="35" t="n">
        <x:v>78</x:v>
      </x:c>
      <x:c r="AE38" s="35" t="n">
        <x:v>81</x:v>
      </x:c>
      <x:c r="AF38" s="35" t="n">
        <x:v>75</x:v>
      </x:c>
      <x:c r="AG38" s="35" t="n">
        <x:v>76</x:v>
      </x:c>
      <x:c r="AH38" s="35" t="n">
        <x:v>9</x:v>
      </x:c>
      <x:c r="AI38" s="37" t="n">
        <x:v>100</x:v>
      </x:c>
      <x:c r="AJ38" s="37" t="n">
        <x:v>92.8</x:v>
      </x:c>
      <x:c r="AK38" s="35" t="str">
        <x:v>No</x:v>
      </x:c>
      <x:c r="AL38" s="38" t="n">
        <x:f>IF(AA38=0,0,AB38/AA38)</x:f>
        <x:v>0.625</x:v>
      </x:c>
      <x:c r="AM38" s="38" t="n">
        <x:f>IF(AB38=0,0,AC38/AB38)</x:f>
        <x:v>1</x:v>
      </x:c>
      <x:c r="AN38" s="37" t="n">
        <x:f>ROUND((AD38*0.20+AE38*0.20+AF38*0.25+AG38*0.15+MIN(100,AC38*12)*0.20),1)</x:f>
        <x:v>73.9</x:v>
      </x:c>
      <x:c r="AO38" s="37" t="n">
        <x:f>ROUND(MAX(0,MIN(100,(X38*0.35)+(W38/45*100*0.20)+((5-O38)/4*100*0.15)+((5-P38)/4*100*0.10)+((6-Y38)/5*100*0.10)+((100-Z38)*0.10))),1)</x:f>
        <x:v>40.3</x:v>
      </x:c>
      <x:c r="AP38" s="37" t="str">
        <x:f>IF(AO38&gt;=70,"High",IF(AO38&gt;=40,"Moderate","Low"))</x:f>
        <x:v>Moderate</x:v>
      </x:c>
      <x:c r="AQ38" s="37" t="n">
        <x:f>ROUND(MAX(0,MIN(100,(O38/4*100*0.25)+(P38/4*100*0.20)+(Q38/4*100*0.15)+(Y38/5*100*0.20)+(100-AO38)*0.20)),1)</x:f>
        <x:v>65.7</x:v>
      </x:c>
      <x:c r="AR38" s="37" t="n">
        <x:f>ROUND((AI38*0.20+AJ38*0.15+AN38*0.18+AG38*0.12+Z38*0.15+AQ38*0.20),1)</x:f>
        <x:v>82.4</x:v>
      </x:c>
      <x:c r="AS38" s="39" t="n">
        <x:f>ROUND((AC38*AF38*120)+(AH38*350)+(MAX(0,AI38-75)*220)+(MAX(0,AQ38-60)*100),0)</x:f>
        <x:v>54220</x:v>
      </x:c>
    </x:row>
    <x:row r="39">
      <x:c r="A39" s="35" t="n">
        <x:v>38</x:v>
      </x:c>
      <x:c r="B39" s="35" t="n">
        <x:v>30</x:v>
      </x:c>
      <x:c r="C39" s="35" t="str">
        <x:v>Female</x:v>
      </x:c>
      <x:c r="D39" s="35" t="str">
        <x:v>Marketing</x:v>
      </x:c>
      <x:c r="E39" s="35" t="str">
        <x:v>Digital Marketing Analyst</x:v>
      </x:c>
      <x:c r="F39" s="35" t="str">
        <x:v>Computer Science</x:v>
      </x:c>
      <x:c r="G39" s="35" t="str">
        <x:v>Married</x:v>
      </x:c>
      <x:c r="H39" s="35" t="n">
        <x:v>1</x:v>
      </x:c>
      <x:c r="I39" s="36" t="n">
        <x:v>4000</x:v>
      </x:c>
      <x:c r="J39" s="35" t="n">
        <x:v>6</x:v>
      </x:c>
      <x:c r="K39" s="35" t="n">
        <x:v>5</x:v>
      </x:c>
      <x:c r="L39" s="35" t="n">
        <x:v>2</x:v>
      </x:c>
      <x:c r="M39" s="35" t="n">
        <x:v>9</x:v>
      </x:c>
      <x:c r="N39" s="35" t="str">
        <x:v>No</x:v>
      </x:c>
      <x:c r="O39" s="35" t="n">
        <x:v>2</x:v>
      </x:c>
      <x:c r="P39" s="35" t="n">
        <x:v>3</x:v>
      </x:c>
      <x:c r="Q39" s="35" t="n">
        <x:v>2</x:v>
      </x:c>
      <x:c r="R39" s="35" t="n">
        <x:v>1</x:v>
      </x:c>
      <x:c r="S39" s="35" t="n">
        <x:v>3</x:v>
      </x:c>
      <x:c r="T39" s="35" t="n">
        <x:v>3</x:v>
      </x:c>
      <x:c r="U39" s="35" t="n">
        <x:v>0</x:v>
      </x:c>
      <x:c r="V39" s="35" t="n">
        <x:v>9</x:v>
      </x:c>
      <x:c r="W39" s="35" t="n">
        <x:v>0</x:v>
      </x:c>
      <x:c r="X39" s="35" t="n">
        <x:v>70</x:v>
      </x:c>
      <x:c r="Y39" s="35" t="n">
        <x:v>3</x:v>
      </x:c>
      <x:c r="Z39" s="35" t="n">
        <x:v>87</x:v>
      </x:c>
      <x:c r="AA39" s="35" t="n">
        <x:v>9</x:v>
      </x:c>
      <x:c r="AB39" s="35" t="n">
        <x:v>5</x:v>
      </x:c>
      <x:c r="AC39" s="35" t="n">
        <x:v>4</x:v>
      </x:c>
      <x:c r="AD39" s="35" t="n">
        <x:v>84</x:v>
      </x:c>
      <x:c r="AE39" s="35" t="n">
        <x:v>76</x:v>
      </x:c>
      <x:c r="AF39" s="35" t="n">
        <x:v>80</x:v>
      </x:c>
      <x:c r="AG39" s="35" t="n">
        <x:v>62</x:v>
      </x:c>
      <x:c r="AH39" s="35" t="n">
        <x:v>8</x:v>
      </x:c>
      <x:c r="AI39" s="37" t="n">
        <x:v>98.9</x:v>
      </x:c>
      <x:c r="AJ39" s="37" t="n">
        <x:v>95.4</x:v>
      </x:c>
      <x:c r="AK39" s="35" t="str">
        <x:v>No</x:v>
      </x:c>
      <x:c r="AL39" s="38" t="n">
        <x:f>IF(AA39=0,0,AB39/AA39)</x:f>
        <x:v>0.5555555555555556</x:v>
      </x:c>
      <x:c r="AM39" s="38" t="n">
        <x:f>IF(AB39=0,0,AC39/AB39)</x:f>
        <x:v>0.8</x:v>
      </x:c>
      <x:c r="AN39" s="37" t="n">
        <x:f>ROUND((AD39*0.20+AE39*0.20+AF39*0.25+AG39*0.15+MIN(100,AC39*12)*0.20),1)</x:f>
        <x:v>70.9</x:v>
      </x:c>
      <x:c r="AO39" s="37" t="n">
        <x:f>ROUND(MAX(0,MIN(100,(X39*0.35)+(W39/45*100*0.20)+((5-O39)/4*100*0.15)+((5-P39)/4*100*0.10)+((6-Y39)/5*100*0.10)+((100-Z39)*0.10))),1)</x:f>
        <x:v>48.1</x:v>
      </x:c>
      <x:c r="AP39" s="37" t="str">
        <x:f>IF(AO39&gt;=70,"High",IF(AO39&gt;=40,"Moderate","Low"))</x:f>
        <x:v>Moderate</x:v>
      </x:c>
      <x:c r="AQ39" s="37" t="n">
        <x:f>ROUND(MAX(0,MIN(100,(O39/4*100*0.25)+(P39/4*100*0.20)+(Q39/4*100*0.15)+(Y39/5*100*0.20)+(100-AO39)*0.20)),1)</x:f>
        <x:v>57.4</x:v>
      </x:c>
      <x:c r="AR39" s="37" t="n">
        <x:f>ROUND((AI39*0.20+AJ39*0.15+AN39*0.18+AG39*0.12+Z39*0.15+AQ39*0.20),1)</x:f>
        <x:v>78.8</x:v>
      </x:c>
      <x:c r="AS39" s="39" t="n">
        <x:f>ROUND((AC39*AF39*120)+(AH39*350)+(MAX(0,AI39-75)*220)+(MAX(0,AQ39-60)*100),0)</x:f>
        <x:v>46458</x:v>
      </x:c>
    </x:row>
    <x:row r="40">
      <x:c r="A40" s="35" t="n">
        <x:v>39</x:v>
      </x:c>
      <x:c r="B40" s="35" t="n">
        <x:v>30</x:v>
      </x:c>
      <x:c r="C40" s="35" t="str">
        <x:v>Female</x:v>
      </x:c>
      <x:c r="D40" s="35" t="str">
        <x:v>Sales</x:v>
      </x:c>
      <x:c r="E40" s="35" t="str">
        <x:v>Sales Representative</x:v>
      </x:c>
      <x:c r="F40" s="35" t="str">
        <x:v>Business</x:v>
      </x:c>
      <x:c r="G40" s="35" t="str">
        <x:v>Married</x:v>
      </x:c>
      <x:c r="H40" s="35" t="n">
        <x:v>1</x:v>
      </x:c>
      <x:c r="I40" s="36" t="n">
        <x:v>5600</x:v>
      </x:c>
      <x:c r="J40" s="35" t="n">
        <x:v>4</x:v>
      </x:c>
      <x:c r="K40" s="35" t="n">
        <x:v>3</x:v>
      </x:c>
      <x:c r="L40" s="35" t="n">
        <x:v>2</x:v>
      </x:c>
      <x:c r="M40" s="35" t="n">
        <x:v>6</x:v>
      </x:c>
      <x:c r="N40" s="35" t="str">
        <x:v>No</x:v>
      </x:c>
      <x:c r="O40" s="35" t="n">
        <x:v>3</x:v>
      </x:c>
      <x:c r="P40" s="35" t="n">
        <x:v>3</x:v>
      </x:c>
      <x:c r="Q40" s="35" t="n">
        <x:v>4</x:v>
      </x:c>
      <x:c r="R40" s="35" t="n">
        <x:v>3</x:v>
      </x:c>
      <x:c r="S40" s="35" t="n">
        <x:v>3</x:v>
      </x:c>
      <x:c r="T40" s="35" t="n">
        <x:v>6</x:v>
      </x:c>
      <x:c r="U40" s="35" t="n">
        <x:v>3</x:v>
      </x:c>
      <x:c r="V40" s="35" t="n">
        <x:v>3</x:v>
      </x:c>
      <x:c r="W40" s="35" t="n">
        <x:v>14</x:v>
      </x:c>
      <x:c r="X40" s="35" t="n">
        <x:v>86</x:v>
      </x:c>
      <x:c r="Y40" s="35" t="n">
        <x:v>4</x:v>
      </x:c>
      <x:c r="Z40" s="35" t="n">
        <x:v>96</x:v>
      </x:c>
      <x:c r="AA40" s="35" t="n">
        <x:v>3</x:v>
      </x:c>
      <x:c r="AB40" s="35" t="n">
        <x:v>2</x:v>
      </x:c>
      <x:c r="AC40" s="35" t="n">
        <x:v>2</x:v>
      </x:c>
      <x:c r="AD40" s="35" t="n">
        <x:v>63</x:v>
      </x:c>
      <x:c r="AE40" s="35" t="n">
        <x:v>91</x:v>
      </x:c>
      <x:c r="AF40" s="35" t="n">
        <x:v>62</x:v>
      </x:c>
      <x:c r="AG40" s="35" t="n">
        <x:v>94</x:v>
      </x:c>
      <x:c r="AH40" s="35" t="n">
        <x:v>9</x:v>
      </x:c>
      <x:c r="AI40" s="37" t="n">
        <x:v>85</x:v>
      </x:c>
      <x:c r="AJ40" s="37" t="n">
        <x:v>96.9</x:v>
      </x:c>
      <x:c r="AK40" s="35" t="str">
        <x:v>No</x:v>
      </x:c>
      <x:c r="AL40" s="38" t="n">
        <x:f>IF(AA40=0,0,AB40/AA40)</x:f>
        <x:v>0.6666666666666666</x:v>
      </x:c>
      <x:c r="AM40" s="38" t="n">
        <x:f>IF(AB40=0,0,AC40/AB40)</x:f>
        <x:v>1</x:v>
      </x:c>
      <x:c r="AN40" s="37" t="n">
        <x:f>ROUND((AD40*0.20+AE40*0.20+AF40*0.25+AG40*0.15+MIN(100,AC40*12)*0.20),1)</x:f>
        <x:v>65.2</x:v>
      </x:c>
      <x:c r="AO40" s="37" t="n">
        <x:f>ROUND(MAX(0,MIN(100,(X40*0.35)+(W40/45*100*0.20)+((5-O40)/4*100*0.15)+((5-P40)/4*100*0.10)+((6-Y40)/5*100*0.10)+((100-Z40)*0.10))),1)</x:f>
        <x:v>53.2</x:v>
      </x:c>
      <x:c r="AP40" s="37" t="str">
        <x:f>IF(AO40&gt;=70,"High",IF(AO40&gt;=40,"Moderate","Low"))</x:f>
        <x:v>Moderate</x:v>
      </x:c>
      <x:c r="AQ40" s="37" t="n">
        <x:f>ROUND(MAX(0,MIN(100,(O40/4*100*0.25)+(P40/4*100*0.20)+(Q40/4*100*0.15)+(Y40/5*100*0.20)+(100-AO40)*0.20)),1)</x:f>
        <x:v>74.1</x:v>
      </x:c>
      <x:c r="AR40" s="37" t="n">
        <x:f>ROUND((AI40*0.20+AJ40*0.15+AN40*0.18+AG40*0.12+Z40*0.15+AQ40*0.20),1)</x:f>
        <x:v>83.8</x:v>
      </x:c>
      <x:c r="AS40" s="39" t="n">
        <x:f>ROUND((AC40*AF40*120)+(AH40*350)+(MAX(0,AI40-75)*220)+(MAX(0,AQ40-60)*100),0)</x:f>
        <x:v>21640</x:v>
      </x:c>
    </x:row>
    <x:row r="41">
      <x:c r="A41" s="35" t="n">
        <x:v>40</x:v>
      </x:c>
      <x:c r="B41" s="35" t="n">
        <x:v>43</x:v>
      </x:c>
      <x:c r="C41" s="35" t="str">
        <x:v>Male</x:v>
      </x:c>
      <x:c r="D41" s="35" t="str">
        <x:v>Human Resources</x:v>
      </x:c>
      <x:c r="E41" s="35" t="str">
        <x:v>HR Manager</x:v>
      </x:c>
      <x:c r="F41" s="35" t="str">
        <x:v>Life Sciences</x:v>
      </x:c>
      <x:c r="G41" s="35" t="str">
        <x:v>Married</x:v>
      </x:c>
      <x:c r="H41" s="35" t="n">
        <x:v>3</x:v>
      </x:c>
      <x:c r="I41" s="36" t="n">
        <x:v>14410</x:v>
      </x:c>
      <x:c r="J41" s="35" t="n">
        <x:v>13</x:v>
      </x:c>
      <x:c r="K41" s="35" t="n">
        <x:v>5</x:v>
      </x:c>
      <x:c r="L41" s="35" t="n">
        <x:v>3</x:v>
      </x:c>
      <x:c r="M41" s="35" t="n">
        <x:v>31</x:v>
      </x:c>
      <x:c r="N41" s="35" t="str">
        <x:v>No</x:v>
      </x:c>
      <x:c r="O41" s="35" t="n">
        <x:v>2</x:v>
      </x:c>
      <x:c r="P41" s="35" t="n">
        <x:v>4</x:v>
      </x:c>
      <x:c r="Q41" s="35" t="n">
        <x:v>2</x:v>
      </x:c>
      <x:c r="R41" s="35" t="n">
        <x:v>3</x:v>
      </x:c>
      <x:c r="S41" s="35" t="n">
        <x:v>3</x:v>
      </x:c>
      <x:c r="T41" s="35" t="n">
        <x:v>4</x:v>
      </x:c>
      <x:c r="U41" s="35" t="n">
        <x:v>0</x:v>
      </x:c>
      <x:c r="V41" s="35" t="n">
        <x:v>4</x:v>
      </x:c>
      <x:c r="W41" s="35" t="n">
        <x:v>0</x:v>
      </x:c>
      <x:c r="X41" s="35" t="n">
        <x:v>69</x:v>
      </x:c>
      <x:c r="Y41" s="35" t="n">
        <x:v>5</x:v>
      </x:c>
      <x:c r="Z41" s="35" t="n">
        <x:v>100</x:v>
      </x:c>
      <x:c r="AA41" s="35" t="n">
        <x:v>4</x:v>
      </x:c>
      <x:c r="AB41" s="35" t="n">
        <x:v>4</x:v>
      </x:c>
      <x:c r="AC41" s="35" t="n">
        <x:v>4</x:v>
      </x:c>
      <x:c r="AD41" s="35" t="n">
        <x:v>66</x:v>
      </x:c>
      <x:c r="AE41" s="35" t="n">
        <x:v>63</x:v>
      </x:c>
      <x:c r="AF41" s="35" t="n">
        <x:v>60</x:v>
      </x:c>
      <x:c r="AG41" s="35" t="n">
        <x:v>92</x:v>
      </x:c>
      <x:c r="AH41" s="35" t="n">
        <x:v>8</x:v>
      </x:c>
      <x:c r="AI41" s="37" t="n">
        <x:v>100</x:v>
      </x:c>
      <x:c r="AJ41" s="37" t="n">
        <x:v>98.4</x:v>
      </x:c>
      <x:c r="AK41" s="35" t="str">
        <x:v>No</x:v>
      </x:c>
      <x:c r="AL41" s="38" t="n">
        <x:f>IF(AA41=0,0,AB41/AA41)</x:f>
        <x:v>1</x:v>
      </x:c>
      <x:c r="AM41" s="38" t="n">
        <x:f>IF(AB41=0,0,AC41/AB41)</x:f>
        <x:v>1</x:v>
      </x:c>
      <x:c r="AN41" s="37" t="n">
        <x:f>ROUND((AD41*0.20+AE41*0.20+AF41*0.25+AG41*0.15+MIN(100,AC41*12)*0.20),1)</x:f>
        <x:v>64.2</x:v>
      </x:c>
      <x:c r="AO41" s="37" t="n">
        <x:f>ROUND(MAX(0,MIN(100,(X41*0.35)+(W41/45*100*0.20)+((5-O41)/4*100*0.15)+((5-P41)/4*100*0.10)+((6-Y41)/5*100*0.10)+((100-Z41)*0.10))),1)</x:f>
        <x:v>39.9</x:v>
      </x:c>
      <x:c r="AP41" s="37" t="str">
        <x:f>IF(AO41&gt;=70,"High",IF(AO41&gt;=40,"Moderate","Low"))</x:f>
        <x:v>Low</x:v>
      </x:c>
      <x:c r="AQ41" s="37" t="n">
        <x:f>ROUND(MAX(0,MIN(100,(O41/4*100*0.25)+(P41/4*100*0.20)+(Q41/4*100*0.15)+(Y41/5*100*0.20)+(100-AO41)*0.20)),1)</x:f>
        <x:v>72</x:v>
      </x:c>
      <x:c r="AR41" s="37" t="n">
        <x:f>ROUND((AI41*0.20+AJ41*0.15+AN41*0.18+AG41*0.12+Z41*0.15+AQ41*0.20),1)</x:f>
        <x:v>86.8</x:v>
      </x:c>
      <x:c r="AS41" s="39" t="n">
        <x:f>ROUND((AC41*AF41*120)+(AH41*350)+(MAX(0,AI41-75)*220)+(MAX(0,AQ41-60)*100),0)</x:f>
        <x:v>38300</x:v>
      </x:c>
    </x:row>
    <x:row r="42">
      <x:c r="A42" s="35" t="n">
        <x:v>41</x:v>
      </x:c>
      <x:c r="B42" s="35" t="n">
        <x:v>40</x:v>
      </x:c>
      <x:c r="C42" s="35" t="str">
        <x:v>Male</x:v>
      </x:c>
      <x:c r="D42" s="35" t="str">
        <x:v>Information Technology</x:v>
      </x:c>
      <x:c r="E42" s="35" t="str">
        <x:v>Software Engineer</x:v>
      </x:c>
      <x:c r="F42" s="35" t="str">
        <x:v>Human Resources</x:v>
      </x:c>
      <x:c r="G42" s="35" t="str">
        <x:v>Single</x:v>
      </x:c>
      <x:c r="H42" s="35" t="n">
        <x:v>3</x:v>
      </x:c>
      <x:c r="I42" s="36" t="n">
        <x:v>15750</x:v>
      </x:c>
      <x:c r="J42" s="35" t="n">
        <x:v>15</x:v>
      </x:c>
      <x:c r="K42" s="35" t="n">
        <x:v>11</x:v>
      </x:c>
      <x:c r="L42" s="35" t="n">
        <x:v>3</x:v>
      </x:c>
      <x:c r="M42" s="35" t="n">
        <x:v>9</x:v>
      </x:c>
      <x:c r="N42" s="35" t="str">
        <x:v>Yes</x:v>
      </x:c>
      <x:c r="O42" s="35" t="n">
        <x:v>3</x:v>
      </x:c>
      <x:c r="P42" s="35" t="n">
        <x:v>4</x:v>
      </x:c>
      <x:c r="Q42" s="35" t="n">
        <x:v>4</x:v>
      </x:c>
      <x:c r="R42" s="35" t="n">
        <x:v>3</x:v>
      </x:c>
      <x:c r="S42" s="35" t="n">
        <x:v>3</x:v>
      </x:c>
      <x:c r="T42" s="35" t="n">
        <x:v>4</x:v>
      </x:c>
      <x:c r="U42" s="35" t="n">
        <x:v>0</x:v>
      </x:c>
      <x:c r="V42" s="35" t="n">
        <x:v>13</x:v>
      </x:c>
      <x:c r="W42" s="35" t="n">
        <x:v>23</x:v>
      </x:c>
      <x:c r="X42" s="35" t="n">
        <x:v>75</x:v>
      </x:c>
      <x:c r="Y42" s="35" t="n">
        <x:v>4</x:v>
      </x:c>
      <x:c r="Z42" s="35" t="n">
        <x:v>100</x:v>
      </x:c>
      <x:c r="AA42" s="35" t="n">
        <x:v>4</x:v>
      </x:c>
      <x:c r="AB42" s="35" t="n">
        <x:v>3</x:v>
      </x:c>
      <x:c r="AC42" s="35" t="n">
        <x:v>3</x:v>
      </x:c>
      <x:c r="AD42" s="35" t="n">
        <x:v>63</x:v>
      </x:c>
      <x:c r="AE42" s="35" t="n">
        <x:v>78</x:v>
      </x:c>
      <x:c r="AF42" s="35" t="n">
        <x:v>81</x:v>
      </x:c>
      <x:c r="AG42" s="35" t="n">
        <x:v>89</x:v>
      </x:c>
      <x:c r="AH42" s="35" t="n">
        <x:v>5</x:v>
      </x:c>
      <x:c r="AI42" s="37" t="n">
        <x:v>100</x:v>
      </x:c>
      <x:c r="AJ42" s="37" t="n">
        <x:v>95.2</x:v>
      </x:c>
      <x:c r="AK42" s="35" t="str">
        <x:v>No</x:v>
      </x:c>
      <x:c r="AL42" s="38" t="n">
        <x:f>IF(AA42=0,0,AB42/AA42)</x:f>
        <x:v>0.75</x:v>
      </x:c>
      <x:c r="AM42" s="38" t="n">
        <x:f>IF(AB42=0,0,AC42/AB42)</x:f>
        <x:v>1</x:v>
      </x:c>
      <x:c r="AN42" s="37" t="n">
        <x:f>ROUND((AD42*0.20+AE42*0.20+AF42*0.25+AG42*0.15+MIN(100,AC42*12)*0.20),1)</x:f>
        <x:v>69</x:v>
      </x:c>
      <x:c r="AO42" s="37" t="n">
        <x:f>ROUND(MAX(0,MIN(100,(X42*0.35)+(W42/45*100*0.20)+((5-O42)/4*100*0.15)+((5-P42)/4*100*0.10)+((6-Y42)/5*100*0.10)+((100-Z42)*0.10))),1)</x:f>
        <x:v>50.5</x:v>
      </x:c>
      <x:c r="AP42" s="37" t="str">
        <x:f>IF(AO42&gt;=70,"High",IF(AO42&gt;=40,"Moderate","Low"))</x:f>
        <x:v>Moderate</x:v>
      </x:c>
      <x:c r="AQ42" s="37" t="n">
        <x:f>ROUND(MAX(0,MIN(100,(O42/4*100*0.25)+(P42/4*100*0.20)+(Q42/4*100*0.15)+(Y42/5*100*0.20)+(100-AO42)*0.20)),1)</x:f>
        <x:v>79.7</x:v>
      </x:c>
      <x:c r="AR42" s="37" t="n">
        <x:f>ROUND((AI42*0.20+AJ42*0.15+AN42*0.18+AG42*0.12+Z42*0.15+AQ42*0.20),1)</x:f>
        <x:v>88.3</x:v>
      </x:c>
      <x:c r="AS42" s="39" t="n">
        <x:f>ROUND((AC42*AF42*120)+(AH42*350)+(MAX(0,AI42-75)*220)+(MAX(0,AQ42-60)*100),0)</x:f>
        <x:v>38380</x:v>
      </x:c>
    </x:row>
    <x:row r="43">
      <x:c r="A43" s="35" t="n">
        <x:v>42</x:v>
      </x:c>
      <x:c r="B43" s="35" t="n">
        <x:v>34</x:v>
      </x:c>
      <x:c r="C43" s="35" t="str">
        <x:v>Female</x:v>
      </x:c>
      <x:c r="D43" s="35" t="str">
        <x:v>Sales</x:v>
      </x:c>
      <x:c r="E43" s="35" t="str">
        <x:v>Sales Representative</x:v>
      </x:c>
      <x:c r="F43" s="35" t="str">
        <x:v>Computer Science</x:v>
      </x:c>
      <x:c r="G43" s="35" t="str">
        <x:v>Single</x:v>
      </x:c>
      <x:c r="H43" s="35" t="n">
        <x:v>3</x:v>
      </x:c>
      <x:c r="I43" s="36" t="n">
        <x:v>10240</x:v>
      </x:c>
      <x:c r="J43" s="35" t="n">
        <x:v>10</x:v>
      </x:c>
      <x:c r="K43" s="35" t="n">
        <x:v>6</x:v>
      </x:c>
      <x:c r="L43" s="35" t="n">
        <x:v>4</x:v>
      </x:c>
      <x:c r="M43" s="35" t="n">
        <x:v>10</x:v>
      </x:c>
      <x:c r="N43" s="35" t="str">
        <x:v>Yes</x:v>
      </x:c>
      <x:c r="O43" s="35" t="n">
        <x:v>2</x:v>
      </x:c>
      <x:c r="P43" s="35" t="n">
        <x:v>3</x:v>
      </x:c>
      <x:c r="Q43" s="35" t="n">
        <x:v>3</x:v>
      </x:c>
      <x:c r="R43" s="35" t="n">
        <x:v>3</x:v>
      </x:c>
      <x:c r="S43" s="35" t="n">
        <x:v>3</x:v>
      </x:c>
      <x:c r="T43" s="35" t="n">
        <x:v>3</x:v>
      </x:c>
      <x:c r="U43" s="35" t="n">
        <x:v>2</x:v>
      </x:c>
      <x:c r="V43" s="35" t="n">
        <x:v>4</x:v>
      </x:c>
      <x:c r="W43" s="35" t="n">
        <x:v>6</x:v>
      </x:c>
      <x:c r="X43" s="35" t="n">
        <x:v>73</x:v>
      </x:c>
      <x:c r="Y43" s="35" t="n">
        <x:v>4</x:v>
      </x:c>
      <x:c r="Z43" s="35" t="n">
        <x:v>100</x:v>
      </x:c>
      <x:c r="AA43" s="35" t="n">
        <x:v>2</x:v>
      </x:c>
      <x:c r="AB43" s="35" t="n">
        <x:v>2</x:v>
      </x:c>
      <x:c r="AC43" s="35" t="n">
        <x:v>1</x:v>
      </x:c>
      <x:c r="AD43" s="35" t="n">
        <x:v>66</x:v>
      </x:c>
      <x:c r="AE43" s="35" t="n">
        <x:v>74</x:v>
      </x:c>
      <x:c r="AF43" s="35" t="n">
        <x:v>86</x:v>
      </x:c>
      <x:c r="AG43" s="35" t="n">
        <x:v>92</x:v>
      </x:c>
      <x:c r="AH43" s="35" t="n">
        <x:v>4</x:v>
      </x:c>
      <x:c r="AI43" s="37" t="n">
        <x:v>96.8</x:v>
      </x:c>
      <x:c r="AJ43" s="37" t="n">
        <x:v>91.6</x:v>
      </x:c>
      <x:c r="AK43" s="35" t="str">
        <x:v>No</x:v>
      </x:c>
      <x:c r="AL43" s="38" t="n">
        <x:f>IF(AA43=0,0,AB43/AA43)</x:f>
        <x:v>1</x:v>
      </x:c>
      <x:c r="AM43" s="38" t="n">
        <x:f>IF(AB43=0,0,AC43/AB43)</x:f>
        <x:v>0.5</x:v>
      </x:c>
      <x:c r="AN43" s="37" t="n">
        <x:f>ROUND((AD43*0.20+AE43*0.20+AF43*0.25+AG43*0.15+MIN(100,AC43*12)*0.20),1)</x:f>
        <x:v>65.7</x:v>
      </x:c>
      <x:c r="AO43" s="37" t="n">
        <x:f>ROUND(MAX(0,MIN(100,(X43*0.35)+(W43/45*100*0.20)+((5-O43)/4*100*0.15)+((5-P43)/4*100*0.10)+((6-Y43)/5*100*0.10)+((100-Z43)*0.10))),1)</x:f>
        <x:v>48.5</x:v>
      </x:c>
      <x:c r="AP43" s="37" t="str">
        <x:f>IF(AO43&gt;=70,"High",IF(AO43&gt;=40,"Moderate","Low"))</x:f>
        <x:v>Moderate</x:v>
      </x:c>
      <x:c r="AQ43" s="37" t="n">
        <x:f>ROUND(MAX(0,MIN(100,(O43/4*100*0.25)+(P43/4*100*0.20)+(Q43/4*100*0.15)+(Y43/5*100*0.20)+(100-AO43)*0.20)),1)</x:f>
        <x:v>65.1</x:v>
      </x:c>
      <x:c r="AR43" s="37" t="n">
        <x:f>ROUND((AI43*0.20+AJ43*0.15+AN43*0.18+AG43*0.12+Z43*0.15+AQ43*0.20),1)</x:f>
        <x:v>84</x:v>
      </x:c>
      <x:c r="AS43" s="39" t="n">
        <x:f>ROUND((AC43*AF43*120)+(AH43*350)+(MAX(0,AI43-75)*220)+(MAX(0,AQ43-60)*100),0)</x:f>
        <x:v>17026</x:v>
      </x:c>
    </x:row>
    <x:row r="44">
      <x:c r="A44" s="35" t="n">
        <x:v>43</x:v>
      </x:c>
      <x:c r="B44" s="35" t="n">
        <x:v>36</x:v>
      </x:c>
      <x:c r="C44" s="35" t="str">
        <x:v>Female</x:v>
      </x:c>
      <x:c r="D44" s="35" t="str">
        <x:v>Marketing</x:v>
      </x:c>
      <x:c r="E44" s="35" t="str">
        <x:v>Marketing Specialist</x:v>
      </x:c>
      <x:c r="F44" s="35" t="str">
        <x:v>Technical Degree</x:v>
      </x:c>
      <x:c r="G44" s="35" t="str">
        <x:v>Single</x:v>
      </x:c>
      <x:c r="H44" s="35" t="n">
        <x:v>2</x:v>
      </x:c>
      <x:c r="I44" s="36" t="n">
        <x:v>7120</x:v>
      </x:c>
      <x:c r="J44" s="35" t="n">
        <x:v>11</x:v>
      </x:c>
      <x:c r="K44" s="35" t="n">
        <x:v>8</x:v>
      </x:c>
      <x:c r="L44" s="35" t="n">
        <x:v>4</x:v>
      </x:c>
      <x:c r="M44" s="35" t="n">
        <x:v>8</x:v>
      </x:c>
      <x:c r="N44" s="35" t="str">
        <x:v>Yes</x:v>
      </x:c>
      <x:c r="O44" s="35" t="n">
        <x:v>3</x:v>
      </x:c>
      <x:c r="P44" s="35" t="n">
        <x:v>4</x:v>
      </x:c>
      <x:c r="Q44" s="35" t="n">
        <x:v>3</x:v>
      </x:c>
      <x:c r="R44" s="35" t="n">
        <x:v>3</x:v>
      </x:c>
      <x:c r="S44" s="35" t="n">
        <x:v>3</x:v>
      </x:c>
      <x:c r="T44" s="35" t="n">
        <x:v>5</x:v>
      </x:c>
      <x:c r="U44" s="35" t="n">
        <x:v>0</x:v>
      </x:c>
      <x:c r="V44" s="35" t="n">
        <x:v>5</x:v>
      </x:c>
      <x:c r="W44" s="35" t="n">
        <x:v>21</x:v>
      </x:c>
      <x:c r="X44" s="35" t="n">
        <x:v>87</x:v>
      </x:c>
      <x:c r="Y44" s="35" t="n">
        <x:v>4</x:v>
      </x:c>
      <x:c r="Z44" s="35" t="n">
        <x:v>100</x:v>
      </x:c>
      <x:c r="AA44" s="35" t="n">
        <x:v>8</x:v>
      </x:c>
      <x:c r="AB44" s="35" t="n">
        <x:v>6</x:v>
      </x:c>
      <x:c r="AC44" s="35" t="n">
        <x:v>5</x:v>
      </x:c>
      <x:c r="AD44" s="35" t="n">
        <x:v>80</x:v>
      </x:c>
      <x:c r="AE44" s="35" t="n">
        <x:v>85</x:v>
      </x:c>
      <x:c r="AF44" s="35" t="n">
        <x:v>71</x:v>
      </x:c>
      <x:c r="AG44" s="35" t="n">
        <x:v>98</x:v>
      </x:c>
      <x:c r="AH44" s="35" t="n">
        <x:v>9</x:v>
      </x:c>
      <x:c r="AI44" s="37" t="n">
        <x:v>96.5</x:v>
      </x:c>
      <x:c r="AJ44" s="37" t="n">
        <x:v>85.7</x:v>
      </x:c>
      <x:c r="AK44" s="35" t="str">
        <x:v>No</x:v>
      </x:c>
      <x:c r="AL44" s="38" t="n">
        <x:f>IF(AA44=0,0,AB44/AA44)</x:f>
        <x:v>0.75</x:v>
      </x:c>
      <x:c r="AM44" s="38" t="n">
        <x:f>IF(AB44=0,0,AC44/AB44)</x:f>
        <x:v>0.8333333333333334</x:v>
      </x:c>
      <x:c r="AN44" s="37" t="n">
        <x:f>ROUND((AD44*0.20+AE44*0.20+AF44*0.25+AG44*0.15+MIN(100,AC44*12)*0.20),1)</x:f>
        <x:v>77.5</x:v>
      </x:c>
      <x:c r="AO44" s="37" t="n">
        <x:f>ROUND(MAX(0,MIN(100,(X44*0.35)+(W44/45*100*0.20)+((5-O44)/4*100*0.15)+((5-P44)/4*100*0.10)+((6-Y44)/5*100*0.10)+((100-Z44)*0.10))),1)</x:f>
        <x:v>53.8</x:v>
      </x:c>
      <x:c r="AP44" s="37" t="str">
        <x:f>IF(AO44&gt;=70,"High",IF(AO44&gt;=40,"Moderate","Low"))</x:f>
        <x:v>Moderate</x:v>
      </x:c>
      <x:c r="AQ44" s="37" t="n">
        <x:f>ROUND(MAX(0,MIN(100,(O44/4*100*0.25)+(P44/4*100*0.20)+(Q44/4*100*0.15)+(Y44/5*100*0.20)+(100-AO44)*0.20)),1)</x:f>
        <x:v>75.2</x:v>
      </x:c>
      <x:c r="AR44" s="37" t="n">
        <x:f>ROUND((AI44*0.20+AJ44*0.15+AN44*0.18+AG44*0.12+Z44*0.15+AQ44*0.20),1)</x:f>
        <x:v>87.9</x:v>
      </x:c>
      <x:c r="AS44" s="39" t="n">
        <x:f>ROUND((AC44*AF44*120)+(AH44*350)+(MAX(0,AI44-75)*220)+(MAX(0,AQ44-60)*100),0)</x:f>
        <x:v>52000</x:v>
      </x:c>
    </x:row>
    <x:row r="45">
      <x:c r="A45" s="35" t="n">
        <x:v>44</x:v>
      </x:c>
      <x:c r="B45" s="35" t="n">
        <x:v>27</x:v>
      </x:c>
      <x:c r="C45" s="35" t="str">
        <x:v>Male</x:v>
      </x:c>
      <x:c r="D45" s="35" t="str">
        <x:v>Research &amp; Development</x:v>
      </x:c>
      <x:c r="E45" s="35" t="str">
        <x:v>R&amp;D Manager</x:v>
      </x:c>
      <x:c r="F45" s="35" t="str">
        <x:v>Marketing</x:v>
      </x:c>
      <x:c r="G45" s="35" t="str">
        <x:v>Divorced</x:v>
      </x:c>
      <x:c r="H45" s="35" t="n">
        <x:v>1</x:v>
      </x:c>
      <x:c r="I45" s="36" t="n">
        <x:v>5290</x:v>
      </x:c>
      <x:c r="J45" s="35" t="n">
        <x:v>5</x:v>
      </x:c>
      <x:c r="K45" s="35" t="n">
        <x:v>3</x:v>
      </x:c>
      <x:c r="L45" s="35" t="n">
        <x:v>2</x:v>
      </x:c>
      <x:c r="M45" s="35" t="n">
        <x:v>6</x:v>
      </x:c>
      <x:c r="N45" s="35" t="str">
        <x:v>No</x:v>
      </x:c>
      <x:c r="O45" s="35" t="n">
        <x:v>4</x:v>
      </x:c>
      <x:c r="P45" s="35" t="n">
        <x:v>3</x:v>
      </x:c>
      <x:c r="Q45" s="35" t="n">
        <x:v>2</x:v>
      </x:c>
      <x:c r="R45" s="35" t="n">
        <x:v>4</x:v>
      </x:c>
      <x:c r="S45" s="35" t="n">
        <x:v>4</x:v>
      </x:c>
      <x:c r="T45" s="35" t="n">
        <x:v>3</x:v>
      </x:c>
      <x:c r="U45" s="35" t="n">
        <x:v>2</x:v>
      </x:c>
      <x:c r="V45" s="35" t="n">
        <x:v>10</x:v>
      </x:c>
      <x:c r="W45" s="35" t="n">
        <x:v>3</x:v>
      </x:c>
      <x:c r="X45" s="35" t="n">
        <x:v>54</x:v>
      </x:c>
      <x:c r="Y45" s="35" t="n">
        <x:v>5</x:v>
      </x:c>
      <x:c r="Z45" s="35" t="n">
        <x:v>100</x:v>
      </x:c>
      <x:c r="AA45" s="35" t="n">
        <x:v>7</x:v>
      </x:c>
      <x:c r="AB45" s="35" t="n">
        <x:v>6</x:v>
      </x:c>
      <x:c r="AC45" s="35" t="n">
        <x:v>4</x:v>
      </x:c>
      <x:c r="AD45" s="35" t="n">
        <x:v>75</x:v>
      </x:c>
      <x:c r="AE45" s="35" t="n">
        <x:v>84</x:v>
      </x:c>
      <x:c r="AF45" s="35" t="n">
        <x:v>63</x:v>
      </x:c>
      <x:c r="AG45" s="35" t="n">
        <x:v>98</x:v>
      </x:c>
      <x:c r="AH45" s="35" t="n">
        <x:v>12</x:v>
      </x:c>
      <x:c r="AI45" s="37" t="n">
        <x:v>100</x:v>
      </x:c>
      <x:c r="AJ45" s="37" t="n">
        <x:v>100</x:v>
      </x:c>
      <x:c r="AK45" s="35" t="str">
        <x:v>No</x:v>
      </x:c>
      <x:c r="AL45" s="38" t="n">
        <x:f>IF(AA45=0,0,AB45/AA45)</x:f>
        <x:v>0.8571428571428571</x:v>
      </x:c>
      <x:c r="AM45" s="38" t="n">
        <x:f>IF(AB45=0,0,AC45/AB45)</x:f>
        <x:v>0.6666666666666666</x:v>
      </x:c>
      <x:c r="AN45" s="37" t="n">
        <x:f>ROUND((AD45*0.20+AE45*0.20+AF45*0.25+AG45*0.15+MIN(100,AC45*12)*0.20),1)</x:f>
        <x:v>71.9</x:v>
      </x:c>
      <x:c r="AO45" s="37" t="n">
        <x:f>ROUND(MAX(0,MIN(100,(X45*0.35)+(W45/45*100*0.20)+((5-O45)/4*100*0.15)+((5-P45)/4*100*0.10)+((6-Y45)/5*100*0.10)+((100-Z45)*0.10))),1)</x:f>
        <x:v>31</x:v>
      </x:c>
      <x:c r="AP45" s="37" t="str">
        <x:f>IF(AO45&gt;=70,"High",IF(AO45&gt;=40,"Moderate","Low"))</x:f>
        <x:v>Low</x:v>
      </x:c>
      <x:c r="AQ45" s="37" t="n">
        <x:f>ROUND(MAX(0,MIN(100,(O45/4*100*0.25)+(P45/4*100*0.20)+(Q45/4*100*0.15)+(Y45/5*100*0.20)+(100-AO45)*0.20)),1)</x:f>
        <x:v>81.3</x:v>
      </x:c>
      <x:c r="AR45" s="37" t="n">
        <x:f>ROUND((AI45*0.20+AJ45*0.15+AN45*0.18+AG45*0.12+Z45*0.15+AQ45*0.20),1)</x:f>
        <x:v>91</x:v>
      </x:c>
      <x:c r="AS45" s="39" t="n">
        <x:f>ROUND((AC45*AF45*120)+(AH45*350)+(MAX(0,AI45-75)*220)+(MAX(0,AQ45-60)*100),0)</x:f>
        <x:v>42070</x:v>
      </x:c>
    </x:row>
    <x:row r="46">
      <x:c r="A46" s="35" t="n">
        <x:v>45</x:v>
      </x:c>
      <x:c r="B46" s="35" t="n">
        <x:v>23</x:v>
      </x:c>
      <x:c r="C46" s="35" t="str">
        <x:v>Male</x:v>
      </x:c>
      <x:c r="D46" s="35" t="str">
        <x:v>Human Resources</x:v>
      </x:c>
      <x:c r="E46" s="35" t="str">
        <x:v>HR Specialist</x:v>
      </x:c>
      <x:c r="F46" s="35" t="str">
        <x:v>Marketing</x:v>
      </x:c>
      <x:c r="G46" s="35" t="str">
        <x:v>Single</x:v>
      </x:c>
      <x:c r="H46" s="35" t="n">
        <x:v>1</x:v>
      </x:c>
      <x:c r="I46" s="36" t="n">
        <x:v>5980</x:v>
      </x:c>
      <x:c r="J46" s="35" t="n">
        <x:v>1</x:v>
      </x:c>
      <x:c r="K46" s="35" t="n">
        <x:v>1</x:v>
      </x:c>
      <x:c r="L46" s="35" t="n">
        <x:v>1</x:v>
      </x:c>
      <x:c r="M46" s="35" t="n">
        <x:v>11</x:v>
      </x:c>
      <x:c r="N46" s="35" t="str">
        <x:v>Yes</x:v>
      </x:c>
      <x:c r="O46" s="35" t="n">
        <x:v>2</x:v>
      </x:c>
      <x:c r="P46" s="35" t="n">
        <x:v>2</x:v>
      </x:c>
      <x:c r="Q46" s="35" t="n">
        <x:v>4</x:v>
      </x:c>
      <x:c r="R46" s="35" t="n">
        <x:v>2</x:v>
      </x:c>
      <x:c r="S46" s="35" t="n">
        <x:v>3</x:v>
      </x:c>
      <x:c r="T46" s="35" t="n">
        <x:v>2</x:v>
      </x:c>
      <x:c r="U46" s="35" t="n">
        <x:v>1</x:v>
      </x:c>
      <x:c r="V46" s="35" t="n">
        <x:v>8</x:v>
      </x:c>
      <x:c r="W46" s="35" t="n">
        <x:v>11</x:v>
      </x:c>
      <x:c r="X46" s="35" t="n">
        <x:v>82</x:v>
      </x:c>
      <x:c r="Y46" s="35" t="n">
        <x:v>3</x:v>
      </x:c>
      <x:c r="Z46" s="35" t="n">
        <x:v>80</x:v>
      </x:c>
      <x:c r="AA46" s="35" t="n">
        <x:v>8</x:v>
      </x:c>
      <x:c r="AB46" s="35" t="n">
        <x:v>3</x:v>
      </x:c>
      <x:c r="AC46" s="35" t="n">
        <x:v>3</x:v>
      </x:c>
      <x:c r="AD46" s="35" t="n">
        <x:v>77</x:v>
      </x:c>
      <x:c r="AE46" s="35" t="n">
        <x:v>63</x:v>
      </x:c>
      <x:c r="AF46" s="35" t="n">
        <x:v>76</x:v>
      </x:c>
      <x:c r="AG46" s="35" t="n">
        <x:v>85</x:v>
      </x:c>
      <x:c r="AH46" s="35" t="n">
        <x:v>6</x:v>
      </x:c>
      <x:c r="AI46" s="37" t="n">
        <x:v>99.6</x:v>
      </x:c>
      <x:c r="AJ46" s="37" t="n">
        <x:v>97.5</x:v>
      </x:c>
      <x:c r="AK46" s="35" t="str">
        <x:v>No</x:v>
      </x:c>
      <x:c r="AL46" s="38" t="n">
        <x:f>IF(AA46=0,0,AB46/AA46)</x:f>
        <x:v>0.375</x:v>
      </x:c>
      <x:c r="AM46" s="38" t="n">
        <x:f>IF(AB46=0,0,AC46/AB46)</x:f>
        <x:v>1</x:v>
      </x:c>
      <x:c r="AN46" s="37" t="n">
        <x:f>ROUND((AD46*0.20+AE46*0.20+AF46*0.25+AG46*0.15+MIN(100,AC46*12)*0.20),1)</x:f>
        <x:v>67</x:v>
      </x:c>
      <x:c r="AO46" s="37" t="n">
        <x:f>ROUND(MAX(0,MIN(100,(X46*0.35)+(W46/45*100*0.20)+((5-O46)/4*100*0.15)+((5-P46)/4*100*0.10)+((6-Y46)/5*100*0.10)+((100-Z46)*0.10))),1)</x:f>
        <x:v>60.3</x:v>
      </x:c>
      <x:c r="AP46" s="37" t="str">
        <x:f>IF(AO46&gt;=70,"High",IF(AO46&gt;=40,"Moderate","Low"))</x:f>
        <x:v>Moderate</x:v>
      </x:c>
      <x:c r="AQ46" s="37" t="n">
        <x:f>ROUND(MAX(0,MIN(100,(O46/4*100*0.25)+(P46/4*100*0.20)+(Q46/4*100*0.15)+(Y46/5*100*0.20)+(100-AO46)*0.20)),1)</x:f>
        <x:v>57.4</x:v>
      </x:c>
      <x:c r="AR46" s="37" t="n">
        <x:f>ROUND((AI46*0.20+AJ46*0.15+AN46*0.18+AG46*0.12+Z46*0.15+AQ46*0.20),1)</x:f>
        <x:v>80.3</x:v>
      </x:c>
      <x:c r="AS46" s="39" t="n">
        <x:f>ROUND((AC46*AF46*120)+(AH46*350)+(MAX(0,AI46-75)*220)+(MAX(0,AQ46-60)*100),0)</x:f>
        <x:v>34872</x:v>
      </x:c>
    </x:row>
    <x:row r="47">
      <x:c r="A47" s="35" t="n">
        <x:v>46</x:v>
      </x:c>
      <x:c r="B47" s="35" t="n">
        <x:v>25</x:v>
      </x:c>
      <x:c r="C47" s="35" t="str">
        <x:v>Female</x:v>
      </x:c>
      <x:c r="D47" s="35" t="str">
        <x:v>Sales</x:v>
      </x:c>
      <x:c r="E47" s="35" t="str">
        <x:v>Sales Executive</x:v>
      </x:c>
      <x:c r="F47" s="35" t="str">
        <x:v>Business</x:v>
      </x:c>
      <x:c r="G47" s="35" t="str">
        <x:v>Single</x:v>
      </x:c>
      <x:c r="H47" s="35" t="n">
        <x:v>1</x:v>
      </x:c>
      <x:c r="I47" s="36" t="n">
        <x:v>5630</x:v>
      </x:c>
      <x:c r="J47" s="35" t="n">
        <x:v>3</x:v>
      </x:c>
      <x:c r="K47" s="35" t="n">
        <x:v>1</x:v>
      </x:c>
      <x:c r="L47" s="35" t="n">
        <x:v>1</x:v>
      </x:c>
      <x:c r="M47" s="35" t="n">
        <x:v>12</x:v>
      </x:c>
      <x:c r="N47" s="35" t="str">
        <x:v>No</x:v>
      </x:c>
      <x:c r="O47" s="35" t="n">
        <x:v>4</x:v>
      </x:c>
      <x:c r="P47" s="35" t="n">
        <x:v>2</x:v>
      </x:c>
      <x:c r="Q47" s="35" t="n">
        <x:v>3</x:v>
      </x:c>
      <x:c r="R47" s="35" t="n">
        <x:v>3</x:v>
      </x:c>
      <x:c r="S47" s="35" t="n">
        <x:v>3</x:v>
      </x:c>
      <x:c r="T47" s="35" t="n">
        <x:v>3</x:v>
      </x:c>
      <x:c r="U47" s="35" t="n">
        <x:v>2</x:v>
      </x:c>
      <x:c r="V47" s="35" t="n">
        <x:v>0</x:v>
      </x:c>
      <x:c r="W47" s="35" t="n">
        <x:v>0</x:v>
      </x:c>
      <x:c r="X47" s="35" t="n">
        <x:v>74</x:v>
      </x:c>
      <x:c r="Y47" s="35" t="n">
        <x:v>5</x:v>
      </x:c>
      <x:c r="Z47" s="35" t="n">
        <x:v>100</x:v>
      </x:c>
      <x:c r="AA47" s="35" t="n">
        <x:v>9</x:v>
      </x:c>
      <x:c r="AB47" s="35" t="n">
        <x:v>7</x:v>
      </x:c>
      <x:c r="AC47" s="35" t="n">
        <x:v>4</x:v>
      </x:c>
      <x:c r="AD47" s="35" t="n">
        <x:v>82</x:v>
      </x:c>
      <x:c r="AE47" s="35" t="n">
        <x:v>76</x:v>
      </x:c>
      <x:c r="AF47" s="35" t="n">
        <x:v>86</x:v>
      </x:c>
      <x:c r="AG47" s="35" t="n">
        <x:v>99</x:v>
      </x:c>
      <x:c r="AH47" s="35" t="n">
        <x:v>7</x:v>
      </x:c>
      <x:c r="AI47" s="37" t="n">
        <x:v>95.2</x:v>
      </x:c>
      <x:c r="AJ47" s="37" t="n">
        <x:v>95.9</x:v>
      </x:c>
      <x:c r="AK47" s="35" t="str">
        <x:v>No</x:v>
      </x:c>
      <x:c r="AL47" s="38" t="n">
        <x:f>IF(AA47=0,0,AB47/AA47)</x:f>
        <x:v>0.7777777777777778</x:v>
      </x:c>
      <x:c r="AM47" s="38" t="n">
        <x:f>IF(AB47=0,0,AC47/AB47)</x:f>
        <x:v>0.5714285714285714</x:v>
      </x:c>
      <x:c r="AN47" s="37" t="n">
        <x:f>ROUND((AD47*0.20+AE47*0.20+AF47*0.25+AG47*0.15+MIN(100,AC47*12)*0.20),1)</x:f>
        <x:v>77.6</x:v>
      </x:c>
      <x:c r="AO47" s="37" t="n">
        <x:f>ROUND(MAX(0,MIN(100,(X47*0.35)+(W47/45*100*0.20)+((5-O47)/4*100*0.15)+((5-P47)/4*100*0.10)+((6-Y47)/5*100*0.10)+((100-Z47)*0.10))),1)</x:f>
        <x:v>39.2</x:v>
      </x:c>
      <x:c r="AP47" s="37" t="str">
        <x:f>IF(AO47&gt;=70,"High",IF(AO47&gt;=40,"Moderate","Low"))</x:f>
        <x:v>Low</x:v>
      </x:c>
      <x:c r="AQ47" s="37" t="n">
        <x:f>ROUND(MAX(0,MIN(100,(O47/4*100*0.25)+(P47/4*100*0.20)+(Q47/4*100*0.15)+(Y47/5*100*0.20)+(100-AO47)*0.20)),1)</x:f>
        <x:v>78.4</x:v>
      </x:c>
      <x:c r="AR47" s="37" t="n">
        <x:f>ROUND((AI47*0.20+AJ47*0.15+AN47*0.18+AG47*0.12+Z47*0.15+AQ47*0.20),1)</x:f>
        <x:v>90</x:v>
      </x:c>
      <x:c r="AS47" s="39" t="n">
        <x:f>ROUND((AC47*AF47*120)+(AH47*350)+(MAX(0,AI47-75)*220)+(MAX(0,AQ47-60)*100),0)</x:f>
        <x:v>50014</x:v>
      </x:c>
    </x:row>
    <x:row r="48">
      <x:c r="A48" s="35" t="n">
        <x:v>47</x:v>
      </x:c>
      <x:c r="B48" s="35" t="n">
        <x:v>33</x:v>
      </x:c>
      <x:c r="C48" s="35" t="str">
        <x:v>Female</x:v>
      </x:c>
      <x:c r="D48" s="35" t="str">
        <x:v>Sales</x:v>
      </x:c>
      <x:c r="E48" s="35" t="str">
        <x:v>Account Manager</x:v>
      </x:c>
      <x:c r="F48" s="35" t="str">
        <x:v>Life Sciences</x:v>
      </x:c>
      <x:c r="G48" s="35" t="str">
        <x:v>Married</x:v>
      </x:c>
      <x:c r="H48" s="35" t="n">
        <x:v>2</x:v>
      </x:c>
      <x:c r="I48" s="36" t="n">
        <x:v>6160</x:v>
      </x:c>
      <x:c r="J48" s="35" t="n">
        <x:v>8</x:v>
      </x:c>
      <x:c r="K48" s="35" t="n">
        <x:v>6</x:v>
      </x:c>
      <x:c r="L48" s="35" t="n">
        <x:v>3</x:v>
      </x:c>
      <x:c r="M48" s="35" t="n">
        <x:v>3</x:v>
      </x:c>
      <x:c r="N48" s="35" t="str">
        <x:v>No</x:v>
      </x:c>
      <x:c r="O48" s="35" t="n">
        <x:v>4</x:v>
      </x:c>
      <x:c r="P48" s="35" t="n">
        <x:v>4</x:v>
      </x:c>
      <x:c r="Q48" s="35" t="n">
        <x:v>4</x:v>
      </x:c>
      <x:c r="R48" s="35" t="n">
        <x:v>3</x:v>
      </x:c>
      <x:c r="S48" s="35" t="n">
        <x:v>3</x:v>
      </x:c>
      <x:c r="T48" s="35" t="n">
        <x:v>2</x:v>
      </x:c>
      <x:c r="U48" s="35" t="n">
        <x:v>0</x:v>
      </x:c>
      <x:c r="V48" s="35" t="n">
        <x:v>12</x:v>
      </x:c>
      <x:c r="W48" s="35" t="n">
        <x:v>9</x:v>
      </x:c>
      <x:c r="X48" s="35" t="n">
        <x:v>54</x:v>
      </x:c>
      <x:c r="Y48" s="35" t="n">
        <x:v>5</x:v>
      </x:c>
      <x:c r="Z48" s="35" t="n">
        <x:v>100</x:v>
      </x:c>
      <x:c r="AA48" s="35" t="n">
        <x:v>5</x:v>
      </x:c>
      <x:c r="AB48" s="35" t="n">
        <x:v>5</x:v>
      </x:c>
      <x:c r="AC48" s="35" t="n">
        <x:v>3</x:v>
      </x:c>
      <x:c r="AD48" s="35" t="n">
        <x:v>71</x:v>
      </x:c>
      <x:c r="AE48" s="35" t="n">
        <x:v>88</x:v>
      </x:c>
      <x:c r="AF48" s="35" t="n">
        <x:v>73</x:v>
      </x:c>
      <x:c r="AG48" s="35" t="n">
        <x:v>100</x:v>
      </x:c>
      <x:c r="AH48" s="35" t="n">
        <x:v>7</x:v>
      </x:c>
      <x:c r="AI48" s="37" t="n">
        <x:v>100</x:v>
      </x:c>
      <x:c r="AJ48" s="37" t="n">
        <x:v>93</x:v>
      </x:c>
      <x:c r="AK48" s="35" t="str">
        <x:v>No</x:v>
      </x:c>
      <x:c r="AL48" s="38" t="n">
        <x:f>IF(AA48=0,0,AB48/AA48)</x:f>
        <x:v>1</x:v>
      </x:c>
      <x:c r="AM48" s="38" t="n">
        <x:f>IF(AB48=0,0,AC48/AB48)</x:f>
        <x:v>0.6</x:v>
      </x:c>
      <x:c r="AN48" s="37" t="n">
        <x:f>ROUND((AD48*0.20+AE48*0.20+AF48*0.25+AG48*0.15+MIN(100,AC48*12)*0.20),1)</x:f>
        <x:v>72.3</x:v>
      </x:c>
      <x:c r="AO48" s="37" t="n">
        <x:f>ROUND(MAX(0,MIN(100,(X48*0.35)+(W48/45*100*0.20)+((5-O48)/4*100*0.15)+((5-P48)/4*100*0.10)+((6-Y48)/5*100*0.10)+((100-Z48)*0.10))),1)</x:f>
        <x:v>31.2</x:v>
      </x:c>
      <x:c r="AP48" s="37" t="str">
        <x:f>IF(AO48&gt;=70,"High",IF(AO48&gt;=40,"Moderate","Low"))</x:f>
        <x:v>Low</x:v>
      </x:c>
      <x:c r="AQ48" s="37" t="n">
        <x:f>ROUND(MAX(0,MIN(100,(O48/4*100*0.25)+(P48/4*100*0.20)+(Q48/4*100*0.15)+(Y48/5*100*0.20)+(100-AO48)*0.20)),1)</x:f>
        <x:v>93.8</x:v>
      </x:c>
      <x:c r="AR48" s="37" t="n">
        <x:f>ROUND((AI48*0.20+AJ48*0.15+AN48*0.18+AG48*0.12+Z48*0.15+AQ48*0.20),1)</x:f>
        <x:v>92.7</x:v>
      </x:c>
      <x:c r="AS48" s="39" t="n">
        <x:f>ROUND((AC48*AF48*120)+(AH48*350)+(MAX(0,AI48-75)*220)+(MAX(0,AQ48-60)*100),0)</x:f>
        <x:v>37610</x:v>
      </x:c>
    </x:row>
    <x:row r="49">
      <x:c r="A49" s="35" t="n">
        <x:v>48</x:v>
      </x:c>
      <x:c r="B49" s="35" t="n">
        <x:v>51</x:v>
      </x:c>
      <x:c r="C49" s="35" t="str">
        <x:v>Female</x:v>
      </x:c>
      <x:c r="D49" s="35" t="str">
        <x:v>Information Technology</x:v>
      </x:c>
      <x:c r="E49" s="35" t="str">
        <x:v>IT Manager</x:v>
      </x:c>
      <x:c r="F49" s="35" t="str">
        <x:v>Marketing</x:v>
      </x:c>
      <x:c r="G49" s="35" t="str">
        <x:v>Married</x:v>
      </x:c>
      <x:c r="H49" s="35" t="n">
        <x:v>3</x:v>
      </x:c>
      <x:c r="I49" s="36" t="n">
        <x:v>10860</x:v>
      </x:c>
      <x:c r="J49" s="35" t="n">
        <x:v>16</x:v>
      </x:c>
      <x:c r="K49" s="35" t="n">
        <x:v>7</x:v>
      </x:c>
      <x:c r="L49" s="35" t="n">
        <x:v>6</x:v>
      </x:c>
      <x:c r="M49" s="35" t="n">
        <x:v>14</x:v>
      </x:c>
      <x:c r="N49" s="35" t="str">
        <x:v>No</x:v>
      </x:c>
      <x:c r="O49" s="35" t="n">
        <x:v>1</x:v>
      </x:c>
      <x:c r="P49" s="35" t="n">
        <x:v>3</x:v>
      </x:c>
      <x:c r="Q49" s="35" t="n">
        <x:v>1</x:v>
      </x:c>
      <x:c r="R49" s="35" t="n">
        <x:v>3</x:v>
      </x:c>
      <x:c r="S49" s="35" t="n">
        <x:v>4</x:v>
      </x:c>
      <x:c r="T49" s="35" t="n">
        <x:v>5</x:v>
      </x:c>
      <x:c r="U49" s="35" t="n">
        <x:v>0</x:v>
      </x:c>
      <x:c r="V49" s="35" t="n">
        <x:v>9</x:v>
      </x:c>
      <x:c r="W49" s="35" t="n">
        <x:v>0</x:v>
      </x:c>
      <x:c r="X49" s="35" t="n">
        <x:v>86</x:v>
      </x:c>
      <x:c r="Y49" s="35" t="n">
        <x:v>4</x:v>
      </x:c>
      <x:c r="Z49" s="35" t="n">
        <x:v>100</x:v>
      </x:c>
      <x:c r="AA49" s="35" t="n">
        <x:v>2</x:v>
      </x:c>
      <x:c r="AB49" s="35" t="n">
        <x:v>2</x:v>
      </x:c>
      <x:c r="AC49" s="35" t="n">
        <x:v>0</x:v>
      </x:c>
      <x:c r="AD49" s="35" t="n">
        <x:v>60</x:v>
      </x:c>
      <x:c r="AE49" s="35" t="n">
        <x:v>77</x:v>
      </x:c>
      <x:c r="AF49" s="35" t="n">
        <x:v>75</x:v>
      </x:c>
      <x:c r="AG49" s="35" t="n">
        <x:v>89</x:v>
      </x:c>
      <x:c r="AH49" s="35" t="n">
        <x:v>7</x:v>
      </x:c>
      <x:c r="AI49" s="37" t="n">
        <x:v>100</x:v>
      </x:c>
      <x:c r="AJ49" s="37" t="n">
        <x:v>83.8</x:v>
      </x:c>
      <x:c r="AK49" s="35" t="str">
        <x:v>No</x:v>
      </x:c>
      <x:c r="AL49" s="38" t="n">
        <x:f>IF(AA49=0,0,AB49/AA49)</x:f>
        <x:v>1</x:v>
      </x:c>
      <x:c r="AM49" s="38" t="n">
        <x:f>IF(AB49=0,0,AC49/AB49)</x:f>
        <x:v>0</x:v>
      </x:c>
      <x:c r="AN49" s="37" t="n">
        <x:f>ROUND((AD49*0.20+AE49*0.20+AF49*0.25+AG49*0.15+MIN(100,AC49*12)*0.20),1)</x:f>
        <x:v>59.5</x:v>
      </x:c>
      <x:c r="AO49" s="37" t="n">
        <x:f>ROUND(MAX(0,MIN(100,(X49*0.35)+(W49/45*100*0.20)+((5-O49)/4*100*0.15)+((5-P49)/4*100*0.10)+((6-Y49)/5*100*0.10)+((100-Z49)*0.10))),1)</x:f>
        <x:v>54.1</x:v>
      </x:c>
      <x:c r="AP49" s="37" t="str">
        <x:f>IF(AO49&gt;=70,"High",IF(AO49&gt;=40,"Moderate","Low"))</x:f>
        <x:v>Moderate</x:v>
      </x:c>
      <x:c r="AQ49" s="37" t="n">
        <x:f>ROUND(MAX(0,MIN(100,(O49/4*100*0.25)+(P49/4*100*0.20)+(Q49/4*100*0.15)+(Y49/5*100*0.20)+(100-AO49)*0.20)),1)</x:f>
        <x:v>50.2</x:v>
      </x:c>
      <x:c r="AR49" s="37" t="n">
        <x:f>ROUND((AI49*0.20+AJ49*0.15+AN49*0.18+AG49*0.12+Z49*0.15+AQ49*0.20),1)</x:f>
        <x:v>79</x:v>
      </x:c>
      <x:c r="AS49" s="39" t="n">
        <x:f>ROUND((AC49*AF49*120)+(AH49*350)+(MAX(0,AI49-75)*220)+(MAX(0,AQ49-60)*100),0)</x:f>
        <x:v>7950</x:v>
      </x:c>
    </x:row>
    <x:row r="50">
      <x:c r="A50" s="35" t="n">
        <x:v>49</x:v>
      </x:c>
      <x:c r="B50" s="35" t="n">
        <x:v>21</x:v>
      </x:c>
      <x:c r="C50" s="35" t="str">
        <x:v>Male</x:v>
      </x:c>
      <x:c r="D50" s="35" t="str">
        <x:v>Sales</x:v>
      </x:c>
      <x:c r="E50" s="35" t="str">
        <x:v>Sales Executive</x:v>
      </x:c>
      <x:c r="F50" s="35" t="str">
        <x:v>Technical Degree</x:v>
      </x:c>
      <x:c r="G50" s="35" t="str">
        <x:v>Divorced</x:v>
      </x:c>
      <x:c r="H50" s="35" t="n">
        <x:v>2</x:v>
      </x:c>
      <x:c r="I50" s="36" t="n">
        <x:v>7740</x:v>
      </x:c>
      <x:c r="J50" s="35" t="n">
        <x:v>0</x:v>
      </x:c>
      <x:c r="K50" s="35" t="n">
        <x:v>0</x:v>
      </x:c>
      <x:c r="L50" s="35" t="n">
        <x:v>0</x:v>
      </x:c>
      <x:c r="M50" s="35" t="n">
        <x:v>12</x:v>
      </x:c>
      <x:c r="N50" s="35" t="str">
        <x:v>No</x:v>
      </x:c>
      <x:c r="O50" s="35" t="n">
        <x:v>3</x:v>
      </x:c>
      <x:c r="P50" s="35" t="n">
        <x:v>2</x:v>
      </x:c>
      <x:c r="Q50" s="35" t="n">
        <x:v>2</x:v>
      </x:c>
      <x:c r="R50" s="35" t="n">
        <x:v>3</x:v>
      </x:c>
      <x:c r="S50" s="35" t="n">
        <x:v>3</x:v>
      </x:c>
      <x:c r="T50" s="35" t="n">
        <x:v>3</x:v>
      </x:c>
      <x:c r="U50" s="35" t="n">
        <x:v>0</x:v>
      </x:c>
      <x:c r="V50" s="35" t="n">
        <x:v>5</x:v>
      </x:c>
      <x:c r="W50" s="35" t="n">
        <x:v>0</x:v>
      </x:c>
      <x:c r="X50" s="35" t="n">
        <x:v>85</x:v>
      </x:c>
      <x:c r="Y50" s="35" t="n">
        <x:v>3</x:v>
      </x:c>
      <x:c r="Z50" s="35" t="n">
        <x:v>100</x:v>
      </x:c>
      <x:c r="AA50" s="35" t="n">
        <x:v>3</x:v>
      </x:c>
      <x:c r="AB50" s="35" t="n">
        <x:v>3</x:v>
      </x:c>
      <x:c r="AC50" s="35" t="n">
        <x:v>3</x:v>
      </x:c>
      <x:c r="AD50" s="35" t="n">
        <x:v>67</x:v>
      </x:c>
      <x:c r="AE50" s="35" t="n">
        <x:v>70</x:v>
      </x:c>
      <x:c r="AF50" s="35" t="n">
        <x:v>56</x:v>
      </x:c>
      <x:c r="AG50" s="35" t="n">
        <x:v>98</x:v>
      </x:c>
      <x:c r="AH50" s="35" t="n">
        <x:v>8</x:v>
      </x:c>
      <x:c r="AI50" s="37" t="n">
        <x:v>95</x:v>
      </x:c>
      <x:c r="AJ50" s="37" t="n">
        <x:v>91</x:v>
      </x:c>
      <x:c r="AK50" s="35" t="str">
        <x:v>Yes</x:v>
      </x:c>
      <x:c r="AL50" s="38" t="n">
        <x:f>IF(AA50=0,0,AB50/AA50)</x:f>
        <x:v>1</x:v>
      </x:c>
      <x:c r="AM50" s="38" t="n">
        <x:f>IF(AB50=0,0,AC50/AB50)</x:f>
        <x:v>1</x:v>
      </x:c>
      <x:c r="AN50" s="37" t="n">
        <x:f>ROUND((AD50*0.20+AE50*0.20+AF50*0.25+AG50*0.15+MIN(100,AC50*12)*0.20),1)</x:f>
        <x:v>63.3</x:v>
      </x:c>
      <x:c r="AO50" s="37" t="n">
        <x:f>ROUND(MAX(0,MIN(100,(X50*0.35)+(W50/45*100*0.20)+((5-O50)/4*100*0.15)+((5-P50)/4*100*0.10)+((6-Y50)/5*100*0.10)+((100-Z50)*0.10))),1)</x:f>
        <x:v>50.8</x:v>
      </x:c>
      <x:c r="AP50" s="37" t="str">
        <x:f>IF(AO50&gt;=70,"High",IF(AO50&gt;=40,"Moderate","Low"))</x:f>
        <x:v>Moderate</x:v>
      </x:c>
      <x:c r="AQ50" s="37" t="n">
        <x:f>ROUND(MAX(0,MIN(100,(O50/4*100*0.25)+(P50/4*100*0.20)+(Q50/4*100*0.15)+(Y50/5*100*0.20)+(100-AO50)*0.20)),1)</x:f>
        <x:v>58.1</x:v>
      </x:c>
      <x:c r="AR50" s="37" t="n">
        <x:f>ROUND((AI50*0.20+AJ50*0.15+AN50*0.18+AG50*0.12+Z50*0.15+AQ50*0.20),1)</x:f>
        <x:v>82.4</x:v>
      </x:c>
      <x:c r="AS50" s="39" t="n">
        <x:f>ROUND((AC50*AF50*120)+(AH50*350)+(MAX(0,AI50-75)*220)+(MAX(0,AQ50-60)*100),0)</x:f>
        <x:v>27360</x:v>
      </x:c>
    </x:row>
    <x:row r="51">
      <x:c r="A51" s="35" t="n">
        <x:v>50</x:v>
      </x:c>
      <x:c r="B51" s="35" t="n">
        <x:v>34</x:v>
      </x:c>
      <x:c r="C51" s="35" t="str">
        <x:v>Female</x:v>
      </x:c>
      <x:c r="D51" s="35" t="str">
        <x:v>Sales</x:v>
      </x:c>
      <x:c r="E51" s="35" t="str">
        <x:v>Account Manager</x:v>
      </x:c>
      <x:c r="F51" s="35" t="str">
        <x:v>Computer Science</x:v>
      </x:c>
      <x:c r="G51" s="35" t="str">
        <x:v>Married</x:v>
      </x:c>
      <x:c r="H51" s="35" t="n">
        <x:v>2</x:v>
      </x:c>
      <x:c r="I51" s="36" t="n">
        <x:v>6130</x:v>
      </x:c>
      <x:c r="J51" s="35" t="n">
        <x:v>10</x:v>
      </x:c>
      <x:c r="K51" s="35" t="n">
        <x:v>6</x:v>
      </x:c>
      <x:c r="L51" s="35" t="n">
        <x:v>3</x:v>
      </x:c>
      <x:c r="M51" s="35" t="n">
        <x:v>9</x:v>
      </x:c>
      <x:c r="N51" s="35" t="str">
        <x:v>No</x:v>
      </x:c>
      <x:c r="O51" s="35" t="n">
        <x:v>4</x:v>
      </x:c>
      <x:c r="P51" s="35" t="n">
        <x:v>3</x:v>
      </x:c>
      <x:c r="Q51" s="35" t="n">
        <x:v>2</x:v>
      </x:c>
      <x:c r="R51" s="35" t="n">
        <x:v>2</x:v>
      </x:c>
      <x:c r="S51" s="35" t="n">
        <x:v>3</x:v>
      </x:c>
      <x:c r="T51" s="35" t="n">
        <x:v>0</x:v>
      </x:c>
      <x:c r="U51" s="35" t="n">
        <x:v>0</x:v>
      </x:c>
      <x:c r="V51" s="35" t="n">
        <x:v>6</x:v>
      </x:c>
      <x:c r="W51" s="35" t="n">
        <x:v>19</x:v>
      </x:c>
      <x:c r="X51" s="35" t="n">
        <x:v>57</x:v>
      </x:c>
      <x:c r="Y51" s="35" t="n">
        <x:v>4</x:v>
      </x:c>
      <x:c r="Z51" s="35" t="n">
        <x:v>84</x:v>
      </x:c>
      <x:c r="AA51" s="35" t="n">
        <x:v>6</x:v>
      </x:c>
      <x:c r="AB51" s="35" t="n">
        <x:v>5</x:v>
      </x:c>
      <x:c r="AC51" s="35" t="n">
        <x:v>4</x:v>
      </x:c>
      <x:c r="AD51" s="35" t="n">
        <x:v>71</x:v>
      </x:c>
      <x:c r="AE51" s="35" t="n">
        <x:v>88</x:v>
      </x:c>
      <x:c r="AF51" s="35" t="n">
        <x:v>82</x:v>
      </x:c>
      <x:c r="AG51" s="35" t="n">
        <x:v>85</x:v>
      </x:c>
      <x:c r="AH51" s="35" t="n">
        <x:v>6</x:v>
      </x:c>
      <x:c r="AI51" s="37" t="n">
        <x:v>100</x:v>
      </x:c>
      <x:c r="AJ51" s="37" t="n">
        <x:v>97.2</x:v>
      </x:c>
      <x:c r="AK51" s="35" t="str">
        <x:v>No</x:v>
      </x:c>
      <x:c r="AL51" s="38" t="n">
        <x:f>IF(AA51=0,0,AB51/AA51)</x:f>
        <x:v>0.8333333333333334</x:v>
      </x:c>
      <x:c r="AM51" s="38" t="n">
        <x:f>IF(AB51=0,0,AC51/AB51)</x:f>
        <x:v>0.8</x:v>
      </x:c>
      <x:c r="AN51" s="37" t="n">
        <x:f>ROUND((AD51*0.20+AE51*0.20+AF51*0.25+AG51*0.15+MIN(100,AC51*12)*0.20),1)</x:f>
        <x:v>74.7</x:v>
      </x:c>
      <x:c r="AO51" s="37" t="n">
        <x:f>ROUND(MAX(0,MIN(100,(X51*0.35)+(W51/45*100*0.20)+((5-O51)/4*100*0.15)+((5-P51)/4*100*0.10)+((6-Y51)/5*100*0.10)+((100-Z51)*0.10))),1)</x:f>
        <x:v>42.7</x:v>
      </x:c>
      <x:c r="AP51" s="37" t="str">
        <x:f>IF(AO51&gt;=70,"High",IF(AO51&gt;=40,"Moderate","Low"))</x:f>
        <x:v>Moderate</x:v>
      </x:c>
      <x:c r="AQ51" s="37" t="n">
        <x:f>ROUND(MAX(0,MIN(100,(O51/4*100*0.25)+(P51/4*100*0.20)+(Q51/4*100*0.15)+(Y51/5*100*0.20)+(100-AO51)*0.20)),1)</x:f>
        <x:v>75</x:v>
      </x:c>
      <x:c r="AR51" s="37" t="n">
        <x:f>ROUND((AI51*0.20+AJ51*0.15+AN51*0.18+AG51*0.12+Z51*0.15+AQ51*0.20),1)</x:f>
        <x:v>85.8</x:v>
      </x:c>
      <x:c r="AS51" s="39" t="n">
        <x:f>ROUND((AC51*AF51*120)+(AH51*350)+(MAX(0,AI51-75)*220)+(MAX(0,AQ51-60)*100),0)</x:f>
        <x:v>48460</x:v>
      </x:c>
    </x:row>
    <x:row r="52">
      <x:c r="A52" s="35" t="n">
        <x:v>51</x:v>
      </x:c>
      <x:c r="B52" s="35" t="n">
        <x:v>47</x:v>
      </x:c>
      <x:c r="C52" s="35" t="str">
        <x:v>Male</x:v>
      </x:c>
      <x:c r="D52" s="35" t="str">
        <x:v>Human Resources</x:v>
      </x:c>
      <x:c r="E52" s="35" t="str">
        <x:v>HR Manager</x:v>
      </x:c>
      <x:c r="F52" s="35" t="str">
        <x:v>Technical Degree</x:v>
      </x:c>
      <x:c r="G52" s="35" t="str">
        <x:v>Single</x:v>
      </x:c>
      <x:c r="H52" s="35" t="n">
        <x:v>3</x:v>
      </x:c>
      <x:c r="I52" s="36" t="n">
        <x:v>12840</x:v>
      </x:c>
      <x:c r="J52" s="35" t="n">
        <x:v>23</x:v>
      </x:c>
      <x:c r="K52" s="35" t="n">
        <x:v>9</x:v>
      </x:c>
      <x:c r="L52" s="35" t="n">
        <x:v>7</x:v>
      </x:c>
      <x:c r="M52" s="35" t="n">
        <x:v>3</x:v>
      </x:c>
      <x:c r="N52" s="35" t="str">
        <x:v>Yes</x:v>
      </x:c>
      <x:c r="O52" s="35" t="n">
        <x:v>3</x:v>
      </x:c>
      <x:c r="P52" s="35" t="n">
        <x:v>4</x:v>
      </x:c>
      <x:c r="Q52" s="35" t="n">
        <x:v>3</x:v>
      </x:c>
      <x:c r="R52" s="35" t="n">
        <x:v>3</x:v>
      </x:c>
      <x:c r="S52" s="35" t="n">
        <x:v>3</x:v>
      </x:c>
      <x:c r="T52" s="35" t="n">
        <x:v>3</x:v>
      </x:c>
      <x:c r="U52" s="35" t="n">
        <x:v>1</x:v>
      </x:c>
      <x:c r="V52" s="35" t="n">
        <x:v>17</x:v>
      </x:c>
      <x:c r="W52" s="35" t="n">
        <x:v>17</x:v>
      </x:c>
      <x:c r="X52" s="35" t="n">
        <x:v>81</x:v>
      </x:c>
      <x:c r="Y52" s="35" t="n">
        <x:v>4</x:v>
      </x:c>
      <x:c r="Z52" s="35" t="n">
        <x:v>100</x:v>
      </x:c>
      <x:c r="AA52" s="35" t="n">
        <x:v>9</x:v>
      </x:c>
      <x:c r="AB52" s="35" t="n">
        <x:v>6</x:v>
      </x:c>
      <x:c r="AC52" s="35" t="n">
        <x:v>5</x:v>
      </x:c>
      <x:c r="AD52" s="35" t="n">
        <x:v>70</x:v>
      </x:c>
      <x:c r="AE52" s="35" t="n">
        <x:v>93</x:v>
      </x:c>
      <x:c r="AF52" s="35" t="n">
        <x:v>100</x:v>
      </x:c>
      <x:c r="AG52" s="35" t="n">
        <x:v>92</x:v>
      </x:c>
      <x:c r="AH52" s="35" t="n">
        <x:v>7</x:v>
      </x:c>
      <x:c r="AI52" s="37" t="n">
        <x:v>100</x:v>
      </x:c>
      <x:c r="AJ52" s="37" t="n">
        <x:v>87.3</x:v>
      </x:c>
      <x:c r="AK52" s="35" t="str">
        <x:v>Yes</x:v>
      </x:c>
      <x:c r="AL52" s="38" t="n">
        <x:f>IF(AA52=0,0,AB52/AA52)</x:f>
        <x:v>0.6666666666666666</x:v>
      </x:c>
      <x:c r="AM52" s="38" t="n">
        <x:f>IF(AB52=0,0,AC52/AB52)</x:f>
        <x:v>0.8333333333333334</x:v>
      </x:c>
      <x:c r="AN52" s="37" t="n">
        <x:f>ROUND((AD52*0.20+AE52*0.20+AF52*0.25+AG52*0.15+MIN(100,AC52*12)*0.20),1)</x:f>
        <x:v>83.4</x:v>
      </x:c>
      <x:c r="AO52" s="37" t="n">
        <x:f>ROUND(MAX(0,MIN(100,(X52*0.35)+(W52/45*100*0.20)+((5-O52)/4*100*0.15)+((5-P52)/4*100*0.10)+((6-Y52)/5*100*0.10)+((100-Z52)*0.10))),1)</x:f>
        <x:v>49.9</x:v>
      </x:c>
      <x:c r="AP52" s="37" t="str">
        <x:f>IF(AO52&gt;=70,"High",IF(AO52&gt;=40,"Moderate","Low"))</x:f>
        <x:v>Moderate</x:v>
      </x:c>
      <x:c r="AQ52" s="37" t="n">
        <x:f>ROUND(MAX(0,MIN(100,(O52/4*100*0.25)+(P52/4*100*0.20)+(Q52/4*100*0.15)+(Y52/5*100*0.20)+(100-AO52)*0.20)),1)</x:f>
        <x:v>76</x:v>
      </x:c>
      <x:c r="AR52" s="37" t="n">
        <x:f>ROUND((AI52*0.20+AJ52*0.15+AN52*0.18+AG52*0.12+Z52*0.15+AQ52*0.20),1)</x:f>
        <x:v>89.3</x:v>
      </x:c>
      <x:c r="AS52" s="39" t="n">
        <x:f>ROUND((AC52*AF52*120)+(AH52*350)+(MAX(0,AI52-75)*220)+(MAX(0,AQ52-60)*100),0)</x:f>
        <x:v>69550</x:v>
      </x:c>
    </x:row>
    <x:row r="53">
      <x:c r="A53" s="35" t="n">
        <x:v>52</x:v>
      </x:c>
      <x:c r="B53" s="35" t="n">
        <x:v>42</x:v>
      </x:c>
      <x:c r="C53" s="35" t="str">
        <x:v>Male</x:v>
      </x:c>
      <x:c r="D53" s="35" t="str">
        <x:v>Sales</x:v>
      </x:c>
      <x:c r="E53" s="35" t="str">
        <x:v>Sales Executive</x:v>
      </x:c>
      <x:c r="F53" s="35" t="str">
        <x:v>Computer Science</x:v>
      </x:c>
      <x:c r="G53" s="35" t="str">
        <x:v>Single</x:v>
      </x:c>
      <x:c r="H53" s="35" t="n">
        <x:v>3</x:v>
      </x:c>
      <x:c r="I53" s="36" t="n">
        <x:v>11490</x:v>
      </x:c>
      <x:c r="J53" s="35" t="n">
        <x:v>17</x:v>
      </x:c>
      <x:c r="K53" s="35" t="n">
        <x:v>9</x:v>
      </x:c>
      <x:c r="L53" s="35" t="n">
        <x:v>3</x:v>
      </x:c>
      <x:c r="M53" s="35" t="n">
        <x:v>1</x:v>
      </x:c>
      <x:c r="N53" s="35" t="str">
        <x:v>No</x:v>
      </x:c>
      <x:c r="O53" s="35" t="n">
        <x:v>2</x:v>
      </x:c>
      <x:c r="P53" s="35" t="n">
        <x:v>3</x:v>
      </x:c>
      <x:c r="Q53" s="35" t="n">
        <x:v>4</x:v>
      </x:c>
      <x:c r="R53" s="35" t="n">
        <x:v>3</x:v>
      </x:c>
      <x:c r="S53" s="35" t="n">
        <x:v>3</x:v>
      </x:c>
      <x:c r="T53" s="35" t="n">
        <x:v>4</x:v>
      </x:c>
      <x:c r="U53" s="35" t="n">
        <x:v>2</x:v>
      </x:c>
      <x:c r="V53" s="35" t="n">
        <x:v>9</x:v>
      </x:c>
      <x:c r="W53" s="35" t="n">
        <x:v>0</x:v>
      </x:c>
      <x:c r="X53" s="35" t="n">
        <x:v>57</x:v>
      </x:c>
      <x:c r="Y53" s="35" t="n">
        <x:v>5</x:v>
      </x:c>
      <x:c r="Z53" s="35" t="n">
        <x:v>100</x:v>
      </x:c>
      <x:c r="AA53" s="35" t="n">
        <x:v>8</x:v>
      </x:c>
      <x:c r="AB53" s="35" t="n">
        <x:v>5</x:v>
      </x:c>
      <x:c r="AC53" s="35" t="n">
        <x:v>5</x:v>
      </x:c>
      <x:c r="AD53" s="35" t="n">
        <x:v>75</x:v>
      </x:c>
      <x:c r="AE53" s="35" t="n">
        <x:v>83</x:v>
      </x:c>
      <x:c r="AF53" s="35" t="n">
        <x:v>100</x:v>
      </x:c>
      <x:c r="AG53" s="35" t="n">
        <x:v>100</x:v>
      </x:c>
      <x:c r="AH53" s="35" t="n">
        <x:v>10</x:v>
      </x:c>
      <x:c r="AI53" s="37" t="n">
        <x:v>100</x:v>
      </x:c>
      <x:c r="AJ53" s="37" t="n">
        <x:v>97.8</x:v>
      </x:c>
      <x:c r="AK53" s="35" t="str">
        <x:v>Yes</x:v>
      </x:c>
      <x:c r="AL53" s="38" t="n">
        <x:f>IF(AA53=0,0,AB53/AA53)</x:f>
        <x:v>0.625</x:v>
      </x:c>
      <x:c r="AM53" s="38" t="n">
        <x:f>IF(AB53=0,0,AC53/AB53)</x:f>
        <x:v>1</x:v>
      </x:c>
      <x:c r="AN53" s="37" t="n">
        <x:f>ROUND((AD53*0.20+AE53*0.20+AF53*0.25+AG53*0.15+MIN(100,AC53*12)*0.20),1)</x:f>
        <x:v>83.6</x:v>
      </x:c>
      <x:c r="AO53" s="37" t="n">
        <x:f>ROUND(MAX(0,MIN(100,(X53*0.35)+(W53/45*100*0.20)+((5-O53)/4*100*0.15)+((5-P53)/4*100*0.10)+((6-Y53)/5*100*0.10)+((100-Z53)*0.10))),1)</x:f>
        <x:v>38.2</x:v>
      </x:c>
      <x:c r="AP53" s="37" t="str">
        <x:f>IF(AO53&gt;=70,"High",IF(AO53&gt;=40,"Moderate","Low"))</x:f>
        <x:v>Low</x:v>
      </x:c>
      <x:c r="AQ53" s="37" t="n">
        <x:f>ROUND(MAX(0,MIN(100,(O53/4*100*0.25)+(P53/4*100*0.20)+(Q53/4*100*0.15)+(Y53/5*100*0.20)+(100-AO53)*0.20)),1)</x:f>
        <x:v>74.9</x:v>
      </x:c>
      <x:c r="AR53" s="37" t="n">
        <x:f>ROUND((AI53*0.20+AJ53*0.15+AN53*0.18+AG53*0.12+Z53*0.15+AQ53*0.20),1)</x:f>
        <x:v>91.7</x:v>
      </x:c>
      <x:c r="AS53" s="39" t="n">
        <x:f>ROUND((AC53*AF53*120)+(AH53*350)+(MAX(0,AI53-75)*220)+(MAX(0,AQ53-60)*100),0)</x:f>
        <x:v>70490</x:v>
      </x:c>
    </x:row>
    <x:row r="54">
      <x:c r="A54" s="35" t="n">
        <x:v>53</x:v>
      </x:c>
      <x:c r="B54" s="35" t="n">
        <x:v>46</x:v>
      </x:c>
      <x:c r="C54" s="35" t="str">
        <x:v>Male</x:v>
      </x:c>
      <x:c r="D54" s="35" t="str">
        <x:v>Finance</x:v>
      </x:c>
      <x:c r="E54" s="35" t="str">
        <x:v>Financial Analyst</x:v>
      </x:c>
      <x:c r="F54" s="35" t="str">
        <x:v>Computer Science</x:v>
      </x:c>
      <x:c r="G54" s="35" t="str">
        <x:v>Single</x:v>
      </x:c>
      <x:c r="H54" s="35" t="n">
        <x:v>3</x:v>
      </x:c>
      <x:c r="I54" s="36" t="n">
        <x:v>13130</x:v>
      </x:c>
      <x:c r="J54" s="35" t="n">
        <x:v>19</x:v>
      </x:c>
      <x:c r="K54" s="35" t="n">
        <x:v>9</x:v>
      </x:c>
      <x:c r="L54" s="35" t="n">
        <x:v>4</x:v>
      </x:c>
      <x:c r="M54" s="35" t="n">
        <x:v>8</x:v>
      </x:c>
      <x:c r="N54" s="35" t="str">
        <x:v>No</x:v>
      </x:c>
      <x:c r="O54" s="35" t="n">
        <x:v>3</x:v>
      </x:c>
      <x:c r="P54" s="35" t="n">
        <x:v>3</x:v>
      </x:c>
      <x:c r="Q54" s="35" t="n">
        <x:v>2</x:v>
      </x:c>
      <x:c r="R54" s="35" t="n">
        <x:v>3</x:v>
      </x:c>
      <x:c r="S54" s="35" t="n">
        <x:v>4</x:v>
      </x:c>
      <x:c r="T54" s="35" t="n">
        <x:v>3</x:v>
      </x:c>
      <x:c r="U54" s="35" t="n">
        <x:v>1</x:v>
      </x:c>
      <x:c r="V54" s="35" t="n">
        <x:v>10</x:v>
      </x:c>
      <x:c r="W54" s="35" t="n">
        <x:v>12</x:v>
      </x:c>
      <x:c r="X54" s="35" t="n">
        <x:v>77</x:v>
      </x:c>
      <x:c r="Y54" s="35" t="n">
        <x:v>4</x:v>
      </x:c>
      <x:c r="Z54" s="35" t="n">
        <x:v>100</x:v>
      </x:c>
      <x:c r="AA54" s="35" t="n">
        <x:v>11</x:v>
      </x:c>
      <x:c r="AB54" s="35" t="n">
        <x:v>9</x:v>
      </x:c>
      <x:c r="AC54" s="35" t="n">
        <x:v>7</x:v>
      </x:c>
      <x:c r="AD54" s="35" t="n">
        <x:v>71</x:v>
      </x:c>
      <x:c r="AE54" s="35" t="n">
        <x:v>94</x:v>
      </x:c>
      <x:c r="AF54" s="35" t="n">
        <x:v>91</x:v>
      </x:c>
      <x:c r="AG54" s="35" t="n">
        <x:v>100</x:v>
      </x:c>
      <x:c r="AH54" s="35" t="n">
        <x:v>12</x:v>
      </x:c>
      <x:c r="AI54" s="37" t="n">
        <x:v>100</x:v>
      </x:c>
      <x:c r="AJ54" s="37" t="n">
        <x:v>87.3</x:v>
      </x:c>
      <x:c r="AK54" s="35" t="str">
        <x:v>No</x:v>
      </x:c>
      <x:c r="AL54" s="38" t="n">
        <x:f>IF(AA54=0,0,AB54/AA54)</x:f>
        <x:v>0.8181818181818182</x:v>
      </x:c>
      <x:c r="AM54" s="38" t="n">
        <x:f>IF(AB54=0,0,AC54/AB54)</x:f>
        <x:v>0.7777777777777778</x:v>
      </x:c>
      <x:c r="AN54" s="37" t="n">
        <x:f>ROUND((AD54*0.20+AE54*0.20+AF54*0.25+AG54*0.15+MIN(100,AC54*12)*0.20),1)</x:f>
        <x:v>87.6</x:v>
      </x:c>
      <x:c r="AO54" s="37" t="n">
        <x:f>ROUND(MAX(0,MIN(100,(X54*0.35)+(W54/45*100*0.20)+((5-O54)/4*100*0.15)+((5-P54)/4*100*0.10)+((6-Y54)/5*100*0.10)+((100-Z54)*0.10))),1)</x:f>
        <x:v>48.8</x:v>
      </x:c>
      <x:c r="AP54" s="37" t="str">
        <x:f>IF(AO54&gt;=70,"High",IF(AO54&gt;=40,"Moderate","Low"))</x:f>
        <x:v>Moderate</x:v>
      </x:c>
      <x:c r="AQ54" s="37" t="n">
        <x:f>ROUND(MAX(0,MIN(100,(O54/4*100*0.25)+(P54/4*100*0.20)+(Q54/4*100*0.15)+(Y54/5*100*0.20)+(100-AO54)*0.20)),1)</x:f>
        <x:v>67.5</x:v>
      </x:c>
      <x:c r="AR54" s="37" t="n">
        <x:f>ROUND((AI54*0.20+AJ54*0.15+AN54*0.18+AG54*0.12+Z54*0.15+AQ54*0.20),1)</x:f>
        <x:v>89.4</x:v>
      </x:c>
      <x:c r="AS54" s="39" t="n">
        <x:f>ROUND((AC54*AF54*120)+(AH54*350)+(MAX(0,AI54-75)*220)+(MAX(0,AQ54-60)*100),0)</x:f>
        <x:v>86890</x:v>
      </x:c>
    </x:row>
    <x:row r="55">
      <x:c r="A55" s="35" t="n">
        <x:v>54</x:v>
      </x:c>
      <x:c r="B55" s="35" t="n">
        <x:v>40</x:v>
      </x:c>
      <x:c r="C55" s="35" t="str">
        <x:v>Female</x:v>
      </x:c>
      <x:c r="D55" s="35" t="str">
        <x:v>Research &amp; Development</x:v>
      </x:c>
      <x:c r="E55" s="35" t="str">
        <x:v>Laboratory Technician</x:v>
      </x:c>
      <x:c r="F55" s="35" t="str">
        <x:v>Computer Science</x:v>
      </x:c>
      <x:c r="G55" s="35" t="str">
        <x:v>Married</x:v>
      </x:c>
      <x:c r="H55" s="35" t="n">
        <x:v>3</x:v>
      </x:c>
      <x:c r="I55" s="36" t="n">
        <x:v>6200</x:v>
      </x:c>
      <x:c r="J55" s="35" t="n">
        <x:v>13</x:v>
      </x:c>
      <x:c r="K55" s="35" t="n">
        <x:v>8</x:v>
      </x:c>
      <x:c r="L55" s="35" t="n">
        <x:v>3</x:v>
      </x:c>
      <x:c r="M55" s="35" t="n">
        <x:v>9</x:v>
      </x:c>
      <x:c r="N55" s="35" t="str">
        <x:v>Yes</x:v>
      </x:c>
      <x:c r="O55" s="35" t="n">
        <x:v>3</x:v>
      </x:c>
      <x:c r="P55" s="35" t="n">
        <x:v>3</x:v>
      </x:c>
      <x:c r="Q55" s="35" t="n">
        <x:v>3</x:v>
      </x:c>
      <x:c r="R55" s="35" t="n">
        <x:v>3</x:v>
      </x:c>
      <x:c r="S55" s="35" t="n">
        <x:v>3</x:v>
      </x:c>
      <x:c r="T55" s="35" t="n">
        <x:v>3</x:v>
      </x:c>
      <x:c r="U55" s="35" t="n">
        <x:v>0</x:v>
      </x:c>
      <x:c r="V55" s="35" t="n">
        <x:v>14</x:v>
      </x:c>
      <x:c r="W55" s="35" t="n">
        <x:v>17</x:v>
      </x:c>
      <x:c r="X55" s="35" t="n">
        <x:v>62</x:v>
      </x:c>
      <x:c r="Y55" s="35" t="n">
        <x:v>3</x:v>
      </x:c>
      <x:c r="Z55" s="35" t="n">
        <x:v>88</x:v>
      </x:c>
      <x:c r="AA55" s="35" t="n">
        <x:v>7</x:v>
      </x:c>
      <x:c r="AB55" s="35" t="n">
        <x:v>2</x:v>
      </x:c>
      <x:c r="AC55" s="35" t="n">
        <x:v>2</x:v>
      </x:c>
      <x:c r="AD55" s="35" t="n">
        <x:v>70</x:v>
      </x:c>
      <x:c r="AE55" s="35" t="n">
        <x:v>92</x:v>
      </x:c>
      <x:c r="AF55" s="35" t="n">
        <x:v>69</x:v>
      </x:c>
      <x:c r="AG55" s="35" t="n">
        <x:v>80</x:v>
      </x:c>
      <x:c r="AH55" s="35" t="n">
        <x:v>5</x:v>
      </x:c>
      <x:c r="AI55" s="37" t="n">
        <x:v>91.3</x:v>
      </x:c>
      <x:c r="AJ55" s="37" t="n">
        <x:v>88.3</x:v>
      </x:c>
      <x:c r="AK55" s="35" t="str">
        <x:v>No</x:v>
      </x:c>
      <x:c r="AL55" s="38" t="n">
        <x:f>IF(AA55=0,0,AB55/AA55)</x:f>
        <x:v>0.2857142857142857</x:v>
      </x:c>
      <x:c r="AM55" s="38" t="n">
        <x:f>IF(AB55=0,0,AC55/AB55)</x:f>
        <x:v>1</x:v>
      </x:c>
      <x:c r="AN55" s="37" t="n">
        <x:f>ROUND((AD55*0.20+AE55*0.20+AF55*0.25+AG55*0.15+MIN(100,AC55*12)*0.20),1)</x:f>
        <x:v>66.5</x:v>
      </x:c>
      <x:c r="AO55" s="37" t="n">
        <x:f>ROUND(MAX(0,MIN(100,(X55*0.35)+(W55/45*100*0.20)+((5-O55)/4*100*0.15)+((5-P55)/4*100*0.10)+((6-Y55)/5*100*0.10)+((100-Z55)*0.10))),1)</x:f>
        <x:v>49</x:v>
      </x:c>
      <x:c r="AP55" s="37" t="str">
        <x:f>IF(AO55&gt;=70,"High",IF(AO55&gt;=40,"Moderate","Low"))</x:f>
        <x:v>Moderate</x:v>
      </x:c>
      <x:c r="AQ55" s="37" t="n">
        <x:f>ROUND(MAX(0,MIN(100,(O55/4*100*0.25)+(P55/4*100*0.20)+(Q55/4*100*0.15)+(Y55/5*100*0.20)+(100-AO55)*0.20)),1)</x:f>
        <x:v>67.2</x:v>
      </x:c>
      <x:c r="AR55" s="37" t="n">
        <x:f>ROUND((AI55*0.20+AJ55*0.15+AN55*0.18+AG55*0.12+Z55*0.15+AQ55*0.20),1)</x:f>
        <x:v>79.7</x:v>
      </x:c>
      <x:c r="AS55" s="39" t="n">
        <x:f>ROUND((AC55*AF55*120)+(AH55*350)+(MAX(0,AI55-75)*220)+(MAX(0,AQ55-60)*100),0)</x:f>
        <x:v>22616</x:v>
      </x:c>
    </x:row>
    <x:row r="56">
      <x:c r="A56" s="35" t="n">
        <x:v>55</x:v>
      </x:c>
      <x:c r="B56" s="35" t="n">
        <x:v>50</x:v>
      </x:c>
      <x:c r="C56" s="35" t="str">
        <x:v>Male</x:v>
      </x:c>
      <x:c r="D56" s="35" t="str">
        <x:v>Sales</x:v>
      </x:c>
      <x:c r="E56" s="35" t="str">
        <x:v>Account Manager</x:v>
      </x:c>
      <x:c r="F56" s="35" t="str">
        <x:v>Life Sciences</x:v>
      </x:c>
      <x:c r="G56" s="35" t="str">
        <x:v>Single</x:v>
      </x:c>
      <x:c r="H56" s="35" t="n">
        <x:v>4</x:v>
      </x:c>
      <x:c r="I56" s="36" t="n">
        <x:v>23870</x:v>
      </x:c>
      <x:c r="J56" s="35" t="n">
        <x:v>23</x:v>
      </x:c>
      <x:c r="K56" s="35" t="n">
        <x:v>10</x:v>
      </x:c>
      <x:c r="L56" s="35" t="n">
        <x:v>6</x:v>
      </x:c>
      <x:c r="M56" s="35" t="n">
        <x:v>4</x:v>
      </x:c>
      <x:c r="N56" s="35" t="str">
        <x:v>No</x:v>
      </x:c>
      <x:c r="O56" s="35" t="n">
        <x:v>2</x:v>
      </x:c>
      <x:c r="P56" s="35" t="n">
        <x:v>3</x:v>
      </x:c>
      <x:c r="Q56" s="35" t="n">
        <x:v>4</x:v>
      </x:c>
      <x:c r="R56" s="35" t="n">
        <x:v>4</x:v>
      </x:c>
      <x:c r="S56" s="35" t="n">
        <x:v>3</x:v>
      </x:c>
      <x:c r="T56" s="35" t="n">
        <x:v>3</x:v>
      </x:c>
      <x:c r="U56" s="35" t="n">
        <x:v>0</x:v>
      </x:c>
      <x:c r="V56" s="35" t="n">
        <x:v>8</x:v>
      </x:c>
      <x:c r="W56" s="35" t="n">
        <x:v>0</x:v>
      </x:c>
      <x:c r="X56" s="35" t="n">
        <x:v>49</x:v>
      </x:c>
      <x:c r="Y56" s="35" t="n">
        <x:v>5</x:v>
      </x:c>
      <x:c r="Z56" s="35" t="n">
        <x:v>100</x:v>
      </x:c>
      <x:c r="AA56" s="35" t="n">
        <x:v>0</x:v>
      </x:c>
      <x:c r="AB56" s="35" t="n">
        <x:v>0</x:v>
      </x:c>
      <x:c r="AC56" s="35" t="n">
        <x:v>0</x:v>
      </x:c>
      <x:c r="AD56" s="35" t="n">
        <x:v>52</x:v>
      </x:c>
      <x:c r="AE56" s="35" t="n">
        <x:v>71</x:v>
      </x:c>
      <x:c r="AF56" s="35" t="n">
        <x:v>72</x:v>
      </x:c>
      <x:c r="AG56" s="35" t="n">
        <x:v>85</x:v>
      </x:c>
      <x:c r="AH56" s="35" t="n">
        <x:v>4</x:v>
      </x:c>
      <x:c r="AI56" s="37" t="n">
        <x:v>99.9</x:v>
      </x:c>
      <x:c r="AJ56" s="37" t="n">
        <x:v>96.9</x:v>
      </x:c>
      <x:c r="AK56" s="35" t="str">
        <x:v>No</x:v>
      </x:c>
      <x:c r="AL56" s="38" t="n">
        <x:f>IF(AA56=0,0,AB56/AA56)</x:f>
        <x:v>0</x:v>
      </x:c>
      <x:c r="AM56" s="38" t="n">
        <x:f>IF(AB56=0,0,AC56/AB56)</x:f>
        <x:v>0</x:v>
      </x:c>
      <x:c r="AN56" s="37" t="n">
        <x:f>ROUND((AD56*0.20+AE56*0.20+AF56*0.25+AG56*0.15+MIN(100,AC56*12)*0.20),1)</x:f>
        <x:v>55.4</x:v>
      </x:c>
      <x:c r="AO56" s="37" t="n">
        <x:f>ROUND(MAX(0,MIN(100,(X56*0.35)+(W56/45*100*0.20)+((5-O56)/4*100*0.15)+((5-P56)/4*100*0.10)+((6-Y56)/5*100*0.10)+((100-Z56)*0.10))),1)</x:f>
        <x:v>35.4</x:v>
      </x:c>
      <x:c r="AP56" s="37" t="str">
        <x:f>IF(AO56&gt;=70,"High",IF(AO56&gt;=40,"Moderate","Low"))</x:f>
        <x:v>Low</x:v>
      </x:c>
      <x:c r="AQ56" s="37" t="n">
        <x:f>ROUND(MAX(0,MIN(100,(O56/4*100*0.25)+(P56/4*100*0.20)+(Q56/4*100*0.15)+(Y56/5*100*0.20)+(100-AO56)*0.20)),1)</x:f>
        <x:v>75.4</x:v>
      </x:c>
      <x:c r="AR56" s="37" t="n">
        <x:f>ROUND((AI56*0.20+AJ56*0.15+AN56*0.18+AG56*0.12+Z56*0.15+AQ56*0.20),1)</x:f>
        <x:v>84.8</x:v>
      </x:c>
      <x:c r="AS56" s="39" t="n">
        <x:f>ROUND((AC56*AF56*120)+(AH56*350)+(MAX(0,AI56-75)*220)+(MAX(0,AQ56-60)*100),0)</x:f>
        <x:v>8418</x:v>
      </x:c>
    </x:row>
    <x:row r="57">
      <x:c r="A57" s="35" t="n">
        <x:v>56</x:v>
      </x:c>
      <x:c r="B57" s="35" t="n">
        <x:v>26</x:v>
      </x:c>
      <x:c r="C57" s="35" t="str">
        <x:v>Male</x:v>
      </x:c>
      <x:c r="D57" s="35" t="str">
        <x:v>Operations</x:v>
      </x:c>
      <x:c r="E57" s="35" t="str">
        <x:v>Quality Specialist</x:v>
      </x:c>
      <x:c r="F57" s="35" t="str">
        <x:v>Medical</x:v>
      </x:c>
      <x:c r="G57" s="35" t="str">
        <x:v>Divorced</x:v>
      </x:c>
      <x:c r="H57" s="35" t="n">
        <x:v>1</x:v>
      </x:c>
      <x:c r="I57" s="36" t="n">
        <x:v>4640</x:v>
      </x:c>
      <x:c r="J57" s="35" t="n">
        <x:v>4</x:v>
      </x:c>
      <x:c r="K57" s="35" t="n">
        <x:v>2</x:v>
      </x:c>
      <x:c r="L57" s="35" t="n">
        <x:v>1</x:v>
      </x:c>
      <x:c r="M57" s="35" t="n">
        <x:v>9</x:v>
      </x:c>
      <x:c r="N57" s="35" t="str">
        <x:v>No</x:v>
      </x:c>
      <x:c r="O57" s="35" t="n">
        <x:v>2</x:v>
      </x:c>
      <x:c r="P57" s="35" t="n">
        <x:v>4</x:v>
      </x:c>
      <x:c r="Q57" s="35" t="n">
        <x:v>2</x:v>
      </x:c>
      <x:c r="R57" s="35" t="n">
        <x:v>3</x:v>
      </x:c>
      <x:c r="S57" s="35" t="n">
        <x:v>3</x:v>
      </x:c>
      <x:c r="T57" s="35" t="n">
        <x:v>0</x:v>
      </x:c>
      <x:c r="U57" s="35" t="n">
        <x:v>1</x:v>
      </x:c>
      <x:c r="V57" s="35" t="n">
        <x:v>0</x:v>
      </x:c>
      <x:c r="W57" s="35" t="n">
        <x:v>4</x:v>
      </x:c>
      <x:c r="X57" s="35" t="n">
        <x:v>52</x:v>
      </x:c>
      <x:c r="Y57" s="35" t="n">
        <x:v>5</x:v>
      </x:c>
      <x:c r="Z57" s="35" t="n">
        <x:v>100</x:v>
      </x:c>
      <x:c r="AA57" s="35" t="n">
        <x:v>4</x:v>
      </x:c>
      <x:c r="AB57" s="35" t="n">
        <x:v>4</x:v>
      </x:c>
      <x:c r="AC57" s="35" t="n">
        <x:v>4</x:v>
      </x:c>
      <x:c r="AD57" s="35" t="n">
        <x:v>55</x:v>
      </x:c>
      <x:c r="AE57" s="35" t="n">
        <x:v>72</x:v>
      </x:c>
      <x:c r="AF57" s="35" t="n">
        <x:v>87</x:v>
      </x:c>
      <x:c r="AG57" s="35" t="n">
        <x:v>91</x:v>
      </x:c>
      <x:c r="AH57" s="35" t="n">
        <x:v>8</x:v>
      </x:c>
      <x:c r="AI57" s="37" t="n">
        <x:v>91.7</x:v>
      </x:c>
      <x:c r="AJ57" s="37" t="n">
        <x:v>86.2</x:v>
      </x:c>
      <x:c r="AK57" s="35" t="str">
        <x:v>No</x:v>
      </x:c>
      <x:c r="AL57" s="38" t="n">
        <x:f>IF(AA57=0,0,AB57/AA57)</x:f>
        <x:v>1</x:v>
      </x:c>
      <x:c r="AM57" s="38" t="n">
        <x:f>IF(AB57=0,0,AC57/AB57)</x:f>
        <x:v>1</x:v>
      </x:c>
      <x:c r="AN57" s="37" t="n">
        <x:f>ROUND((AD57*0.20+AE57*0.20+AF57*0.25+AG57*0.15+MIN(100,AC57*12)*0.20),1)</x:f>
        <x:v>70.4</x:v>
      </x:c>
      <x:c r="AO57" s="37" t="n">
        <x:f>ROUND(MAX(0,MIN(100,(X57*0.35)+(W57/45*100*0.20)+((5-O57)/4*100*0.15)+((5-P57)/4*100*0.10)+((6-Y57)/5*100*0.10)+((100-Z57)*0.10))),1)</x:f>
        <x:v>35.7</x:v>
      </x:c>
      <x:c r="AP57" s="37" t="str">
        <x:f>IF(AO57&gt;=70,"High",IF(AO57&gt;=40,"Moderate","Low"))</x:f>
        <x:v>Low</x:v>
      </x:c>
      <x:c r="AQ57" s="37" t="n">
        <x:f>ROUND(MAX(0,MIN(100,(O57/4*100*0.25)+(P57/4*100*0.20)+(Q57/4*100*0.15)+(Y57/5*100*0.20)+(100-AO57)*0.20)),1)</x:f>
        <x:v>72.9</x:v>
      </x:c>
      <x:c r="AR57" s="37" t="n">
        <x:f>ROUND((AI57*0.20+AJ57*0.15+AN57*0.18+AG57*0.12+Z57*0.15+AQ57*0.20),1)</x:f>
        <x:v>84.4</x:v>
      </x:c>
      <x:c r="AS57" s="39" t="n">
        <x:f>ROUND((AC57*AF57*120)+(AH57*350)+(MAX(0,AI57-75)*220)+(MAX(0,AQ57-60)*100),0)</x:f>
        <x:v>49524</x:v>
      </x:c>
    </x:row>
    <x:row r="58">
      <x:c r="A58" s="35" t="n">
        <x:v>57</x:v>
      </x:c>
      <x:c r="B58" s="35" t="n">
        <x:v>23</x:v>
      </x:c>
      <x:c r="C58" s="35" t="str">
        <x:v>Male</x:v>
      </x:c>
      <x:c r="D58" s="35" t="str">
        <x:v>Operations</x:v>
      </x:c>
      <x:c r="E58" s="35" t="str">
        <x:v>Quality Specialist</x:v>
      </x:c>
      <x:c r="F58" s="35" t="str">
        <x:v>Technical Degree</x:v>
      </x:c>
      <x:c r="G58" s="35" t="str">
        <x:v>Married</x:v>
      </x:c>
      <x:c r="H58" s="35" t="n">
        <x:v>2</x:v>
      </x:c>
      <x:c r="I58" s="36" t="n">
        <x:v>5770</x:v>
      </x:c>
      <x:c r="J58" s="35" t="n">
        <x:v>1</x:v>
      </x:c>
      <x:c r="K58" s="35" t="n">
        <x:v>1</x:v>
      </x:c>
      <x:c r="L58" s="35" t="n">
        <x:v>0</x:v>
      </x:c>
      <x:c r="M58" s="35" t="n">
        <x:v>6</x:v>
      </x:c>
      <x:c r="N58" s="35" t="str">
        <x:v>No</x:v>
      </x:c>
      <x:c r="O58" s="35" t="n">
        <x:v>3</x:v>
      </x:c>
      <x:c r="P58" s="35" t="n">
        <x:v>4</x:v>
      </x:c>
      <x:c r="Q58" s="35" t="n">
        <x:v>3</x:v>
      </x:c>
      <x:c r="R58" s="35" t="n">
        <x:v>3</x:v>
      </x:c>
      <x:c r="S58" s="35" t="n">
        <x:v>3</x:v>
      </x:c>
      <x:c r="T58" s="35" t="n">
        <x:v>3</x:v>
      </x:c>
      <x:c r="U58" s="35" t="n">
        <x:v>1</x:v>
      </x:c>
      <x:c r="V58" s="35" t="n">
        <x:v>8</x:v>
      </x:c>
      <x:c r="W58" s="35" t="n">
        <x:v>0</x:v>
      </x:c>
      <x:c r="X58" s="35" t="n">
        <x:v>38</x:v>
      </x:c>
      <x:c r="Y58" s="35" t="n">
        <x:v>5</x:v>
      </x:c>
      <x:c r="Z58" s="35" t="n">
        <x:v>100</x:v>
      </x:c>
      <x:c r="AA58" s="35" t="n">
        <x:v>4</x:v>
      </x:c>
      <x:c r="AB58" s="35" t="n">
        <x:v>4</x:v>
      </x:c>
      <x:c r="AC58" s="35" t="n">
        <x:v>2</x:v>
      </x:c>
      <x:c r="AD58" s="35" t="n">
        <x:v>51</x:v>
      </x:c>
      <x:c r="AE58" s="35" t="n">
        <x:v>88</x:v>
      </x:c>
      <x:c r="AF58" s="35" t="n">
        <x:v>60</x:v>
      </x:c>
      <x:c r="AG58" s="35" t="n">
        <x:v>94</x:v>
      </x:c>
      <x:c r="AH58" s="35" t="n">
        <x:v>10</x:v>
      </x:c>
      <x:c r="AI58" s="37" t="n">
        <x:v>96.5</x:v>
      </x:c>
      <x:c r="AJ58" s="37" t="n">
        <x:v>94.3</x:v>
      </x:c>
      <x:c r="AK58" s="35" t="str">
        <x:v>No</x:v>
      </x:c>
      <x:c r="AL58" s="38" t="n">
        <x:f>IF(AA58=0,0,AB58/AA58)</x:f>
        <x:v>1</x:v>
      </x:c>
      <x:c r="AM58" s="38" t="n">
        <x:f>IF(AB58=0,0,AC58/AB58)</x:f>
        <x:v>0.5</x:v>
      </x:c>
      <x:c r="AN58" s="37" t="n">
        <x:f>ROUND((AD58*0.20+AE58*0.20+AF58*0.25+AG58*0.15+MIN(100,AC58*12)*0.20),1)</x:f>
        <x:v>61.7</x:v>
      </x:c>
      <x:c r="AO58" s="37" t="n">
        <x:f>ROUND(MAX(0,MIN(100,(X58*0.35)+(W58/45*100*0.20)+((5-O58)/4*100*0.15)+((5-P58)/4*100*0.10)+((6-Y58)/5*100*0.10)+((100-Z58)*0.10))),1)</x:f>
        <x:v>25.3</x:v>
      </x:c>
      <x:c r="AP58" s="37" t="str">
        <x:f>IF(AO58&gt;=70,"High",IF(AO58&gt;=40,"Moderate","Low"))</x:f>
        <x:v>Low</x:v>
      </x:c>
      <x:c r="AQ58" s="37" t="n">
        <x:f>ROUND(MAX(0,MIN(100,(O58/4*100*0.25)+(P58/4*100*0.20)+(Q58/4*100*0.15)+(Y58/5*100*0.20)+(100-AO58)*0.20)),1)</x:f>
        <x:v>84.9</x:v>
      </x:c>
      <x:c r="AR58" s="37" t="n">
        <x:f>ROUND((AI58*0.20+AJ58*0.15+AN58*0.18+AG58*0.12+Z58*0.15+AQ58*0.20),1)</x:f>
        <x:v>87.8</x:v>
      </x:c>
      <x:c r="AS58" s="39" t="n">
        <x:f>ROUND((AC58*AF58*120)+(AH58*350)+(MAX(0,AI58-75)*220)+(MAX(0,AQ58-60)*100),0)</x:f>
        <x:v>25120</x:v>
      </x:c>
    </x:row>
    <x:row r="59">
      <x:c r="A59" s="35" t="n">
        <x:v>58</x:v>
      </x:c>
      <x:c r="B59" s="35" t="n">
        <x:v>34</x:v>
      </x:c>
      <x:c r="C59" s="35" t="str">
        <x:v>Female</x:v>
      </x:c>
      <x:c r="D59" s="35" t="str">
        <x:v>Human Resources</x:v>
      </x:c>
      <x:c r="E59" s="35" t="str">
        <x:v>Talent Development Specialist</x:v>
      </x:c>
      <x:c r="F59" s="35" t="str">
        <x:v>Human Resources</x:v>
      </x:c>
      <x:c r="G59" s="35" t="str">
        <x:v>Single</x:v>
      </x:c>
      <x:c r="H59" s="35" t="n">
        <x:v>3</x:v>
      </x:c>
      <x:c r="I59" s="36" t="n">
        <x:v>9960</x:v>
      </x:c>
      <x:c r="J59" s="35" t="n">
        <x:v>7</x:v>
      </x:c>
      <x:c r="K59" s="35" t="n">
        <x:v>6</x:v>
      </x:c>
      <x:c r="L59" s="35" t="n">
        <x:v>2</x:v>
      </x:c>
      <x:c r="M59" s="35" t="n">
        <x:v>4</x:v>
      </x:c>
      <x:c r="N59" s="35" t="str">
        <x:v>No</x:v>
      </x:c>
      <x:c r="O59" s="35" t="n">
        <x:v>2</x:v>
      </x:c>
      <x:c r="P59" s="35" t="n">
        <x:v>4</x:v>
      </x:c>
      <x:c r="Q59" s="35" t="n">
        <x:v>3</x:v>
      </x:c>
      <x:c r="R59" s="35" t="n">
        <x:v>2</x:v>
      </x:c>
      <x:c r="S59" s="35" t="n">
        <x:v>3</x:v>
      </x:c>
      <x:c r="T59" s="35" t="n">
        <x:v>1</x:v>
      </x:c>
      <x:c r="U59" s="35" t="n">
        <x:v>1</x:v>
      </x:c>
      <x:c r="V59" s="35" t="n">
        <x:v>6</x:v>
      </x:c>
      <x:c r="W59" s="35" t="n">
        <x:v>8</x:v>
      </x:c>
      <x:c r="X59" s="35" t="n">
        <x:v>77</x:v>
      </x:c>
      <x:c r="Y59" s="35" t="n">
        <x:v>4</x:v>
      </x:c>
      <x:c r="Z59" s="35" t="n">
        <x:v>85</x:v>
      </x:c>
      <x:c r="AA59" s="35" t="n">
        <x:v>7</x:v>
      </x:c>
      <x:c r="AB59" s="35" t="n">
        <x:v>6</x:v>
      </x:c>
      <x:c r="AC59" s="35" t="n">
        <x:v>4</x:v>
      </x:c>
      <x:c r="AD59" s="35" t="n">
        <x:v>78</x:v>
      </x:c>
      <x:c r="AE59" s="35" t="n">
        <x:v>74</x:v>
      </x:c>
      <x:c r="AF59" s="35" t="n">
        <x:v>91</x:v>
      </x:c>
      <x:c r="AG59" s="35" t="n">
        <x:v>70</x:v>
      </x:c>
      <x:c r="AH59" s="35" t="n">
        <x:v>5</x:v>
      </x:c>
      <x:c r="AI59" s="37" t="n">
        <x:v>99.4</x:v>
      </x:c>
      <x:c r="AJ59" s="37" t="n">
        <x:v>89</x:v>
      </x:c>
      <x:c r="AK59" s="35" t="str">
        <x:v>Yes</x:v>
      </x:c>
      <x:c r="AL59" s="38" t="n">
        <x:f>IF(AA59=0,0,AB59/AA59)</x:f>
        <x:v>0.8571428571428571</x:v>
      </x:c>
      <x:c r="AM59" s="38" t="n">
        <x:f>IF(AB59=0,0,AC59/AB59)</x:f>
        <x:v>0.6666666666666666</x:v>
      </x:c>
      <x:c r="AN59" s="37" t="n">
        <x:f>ROUND((AD59*0.20+AE59*0.20+AF59*0.25+AG59*0.15+MIN(100,AC59*12)*0.20),1)</x:f>
        <x:v>73.3</x:v>
      </x:c>
      <x:c r="AO59" s="37" t="n">
        <x:f>ROUND(MAX(0,MIN(100,(X59*0.35)+(W59/45*100*0.20)+((5-O59)/4*100*0.15)+((5-P59)/4*100*0.10)+((6-Y59)/5*100*0.10)+((100-Z59)*0.10))),1)</x:f>
        <x:v>49.8</x:v>
      </x:c>
      <x:c r="AP59" s="37" t="str">
        <x:f>IF(AO59&gt;=70,"High",IF(AO59&gt;=40,"Moderate","Low"))</x:f>
        <x:v>Moderate</x:v>
      </x:c>
      <x:c r="AQ59" s="37" t="n">
        <x:f>ROUND(MAX(0,MIN(100,(O59/4*100*0.25)+(P59/4*100*0.20)+(Q59/4*100*0.15)+(Y59/5*100*0.20)+(100-AO59)*0.20)),1)</x:f>
        <x:v>69.8</x:v>
      </x:c>
      <x:c r="AR59" s="37" t="n">
        <x:f>ROUND((AI59*0.20+AJ59*0.15+AN59*0.18+AG59*0.12+Z59*0.15+AQ59*0.20),1)</x:f>
        <x:v>81.5</x:v>
      </x:c>
      <x:c r="AS59" s="39" t="n">
        <x:f>ROUND((AC59*AF59*120)+(AH59*350)+(MAX(0,AI59-75)*220)+(MAX(0,AQ59-60)*100),0)</x:f>
        <x:v>51778</x:v>
      </x:c>
    </x:row>
    <x:row r="60">
      <x:c r="A60" s="35" t="n">
        <x:v>59</x:v>
      </x:c>
      <x:c r="B60" s="35" t="n">
        <x:v>31</x:v>
      </x:c>
      <x:c r="C60" s="35" t="str">
        <x:v>Male</x:v>
      </x:c>
      <x:c r="D60" s="35" t="str">
        <x:v>Operations</x:v>
      </x:c>
      <x:c r="E60" s="35" t="str">
        <x:v>Operations Manager</x:v>
      </x:c>
      <x:c r="F60" s="35" t="str">
        <x:v>Human Resources</x:v>
      </x:c>
      <x:c r="G60" s="35" t="str">
        <x:v>Married</x:v>
      </x:c>
      <x:c r="H60" s="35" t="n">
        <x:v>1</x:v>
      </x:c>
      <x:c r="I60" s="36" t="n">
        <x:v>4100</x:v>
      </x:c>
      <x:c r="J60" s="35" t="n">
        <x:v>8</x:v>
      </x:c>
      <x:c r="K60" s="35" t="n">
        <x:v>6</x:v>
      </x:c>
      <x:c r="L60" s="35" t="n">
        <x:v>2</x:v>
      </x:c>
      <x:c r="M60" s="35" t="n">
        <x:v>10</x:v>
      </x:c>
      <x:c r="N60" s="35" t="str">
        <x:v>No</x:v>
      </x:c>
      <x:c r="O60" s="35" t="n">
        <x:v>3</x:v>
      </x:c>
      <x:c r="P60" s="35" t="n">
        <x:v>2</x:v>
      </x:c>
      <x:c r="Q60" s="35" t="n">
        <x:v>3</x:v>
      </x:c>
      <x:c r="R60" s="35" t="n">
        <x:v>3</x:v>
      </x:c>
      <x:c r="S60" s="35" t="n">
        <x:v>3</x:v>
      </x:c>
      <x:c r="T60" s="35" t="n">
        <x:v>3</x:v>
      </x:c>
      <x:c r="U60" s="35" t="n">
        <x:v>0</x:v>
      </x:c>
      <x:c r="V60" s="35" t="n">
        <x:v>8</x:v>
      </x:c>
      <x:c r="W60" s="35" t="n">
        <x:v>13</x:v>
      </x:c>
      <x:c r="X60" s="35" t="n">
        <x:v>63</x:v>
      </x:c>
      <x:c r="Y60" s="35" t="n">
        <x:v>5</x:v>
      </x:c>
      <x:c r="Z60" s="35" t="n">
        <x:v>100</x:v>
      </x:c>
      <x:c r="AA60" s="35" t="n">
        <x:v>2</x:v>
      </x:c>
      <x:c r="AB60" s="35" t="n">
        <x:v>2</x:v>
      </x:c>
      <x:c r="AC60" s="35" t="n">
        <x:v>1</x:v>
      </x:c>
      <x:c r="AD60" s="35" t="n">
        <x:v>60</x:v>
      </x:c>
      <x:c r="AE60" s="35" t="n">
        <x:v>68</x:v>
      </x:c>
      <x:c r="AF60" s="35" t="n">
        <x:v>76</x:v>
      </x:c>
      <x:c r="AG60" s="35" t="n">
        <x:v>87</x:v>
      </x:c>
      <x:c r="AH60" s="35" t="n">
        <x:v>5</x:v>
      </x:c>
      <x:c r="AI60" s="37" t="n">
        <x:v>92</x:v>
      </x:c>
      <x:c r="AJ60" s="37" t="n">
        <x:v>98.4</x:v>
      </x:c>
      <x:c r="AK60" s="35" t="str">
        <x:v>Yes</x:v>
      </x:c>
      <x:c r="AL60" s="38" t="n">
        <x:f>IF(AA60=0,0,AB60/AA60)</x:f>
        <x:v>1</x:v>
      </x:c>
      <x:c r="AM60" s="38" t="n">
        <x:f>IF(AB60=0,0,AC60/AB60)</x:f>
        <x:v>0.5</x:v>
      </x:c>
      <x:c r="AN60" s="37" t="n">
        <x:f>ROUND((AD60*0.20+AE60*0.20+AF60*0.25+AG60*0.15+MIN(100,AC60*12)*0.20),1)</x:f>
        <x:v>60.1</x:v>
      </x:c>
      <x:c r="AO60" s="37" t="n">
        <x:f>ROUND(MAX(0,MIN(100,(X60*0.35)+(W60/45*100*0.20)+((5-O60)/4*100*0.15)+((5-P60)/4*100*0.10)+((6-Y60)/5*100*0.10)+((100-Z60)*0.10))),1)</x:f>
        <x:v>44.8</x:v>
      </x:c>
      <x:c r="AP60" s="37" t="str">
        <x:f>IF(AO60&gt;=70,"High",IF(AO60&gt;=40,"Moderate","Low"))</x:f>
        <x:v>Moderate</x:v>
      </x:c>
      <x:c r="AQ60" s="37" t="n">
        <x:f>ROUND(MAX(0,MIN(100,(O60/4*100*0.25)+(P60/4*100*0.20)+(Q60/4*100*0.15)+(Y60/5*100*0.20)+(100-AO60)*0.20)),1)</x:f>
        <x:v>71</x:v>
      </x:c>
      <x:c r="AR60" s="37" t="n">
        <x:f>ROUND((AI60*0.20+AJ60*0.15+AN60*0.18+AG60*0.12+Z60*0.15+AQ60*0.20),1)</x:f>
        <x:v>83.6</x:v>
      </x:c>
      <x:c r="AS60" s="39" t="n">
        <x:f>ROUND((AC60*AF60*120)+(AH60*350)+(MAX(0,AI60-75)*220)+(MAX(0,AQ60-60)*100),0)</x:f>
        <x:v>15710</x:v>
      </x:c>
    </x:row>
    <x:row r="61">
      <x:c r="A61" s="35" t="n">
        <x:v>60</x:v>
      </x:c>
      <x:c r="B61" s="35" t="n">
        <x:v>48</x:v>
      </x:c>
      <x:c r="C61" s="35" t="str">
        <x:v>Female</x:v>
      </x:c>
      <x:c r="D61" s="35" t="str">
        <x:v>Marketing</x:v>
      </x:c>
      <x:c r="E61" s="35" t="str">
        <x:v>Marketing Specialist</x:v>
      </x:c>
      <x:c r="F61" s="35" t="str">
        <x:v>Computer Science</x:v>
      </x:c>
      <x:c r="G61" s="35" t="str">
        <x:v>Single</x:v>
      </x:c>
      <x:c r="H61" s="35" t="n">
        <x:v>4</x:v>
      </x:c>
      <x:c r="I61" s="36" t="n">
        <x:v>20370</x:v>
      </x:c>
      <x:c r="J61" s="35" t="n">
        <x:v>20</x:v>
      </x:c>
      <x:c r="K61" s="35" t="n">
        <x:v>7</x:v>
      </x:c>
      <x:c r="L61" s="35" t="n">
        <x:v>4</x:v>
      </x:c>
      <x:c r="M61" s="35" t="n">
        <x:v>2</x:v>
      </x:c>
      <x:c r="N61" s="35" t="str">
        <x:v>No</x:v>
      </x:c>
      <x:c r="O61" s="35" t="n">
        <x:v>3</x:v>
      </x:c>
      <x:c r="P61" s="35" t="n">
        <x:v>3</x:v>
      </x:c>
      <x:c r="Q61" s="35" t="n">
        <x:v>3</x:v>
      </x:c>
      <x:c r="R61" s="35" t="n">
        <x:v>3</x:v>
      </x:c>
      <x:c r="S61" s="35" t="n">
        <x:v>3</x:v>
      </x:c>
      <x:c r="T61" s="35" t="n">
        <x:v>4</x:v>
      </x:c>
      <x:c r="U61" s="35" t="n">
        <x:v>0</x:v>
      </x:c>
      <x:c r="V61" s="35" t="n">
        <x:v>4</x:v>
      </x:c>
      <x:c r="W61" s="35" t="n">
        <x:v>18</x:v>
      </x:c>
      <x:c r="X61" s="35" t="n">
        <x:v>55</x:v>
      </x:c>
      <x:c r="Y61" s="35" t="n">
        <x:v>5</x:v>
      </x:c>
      <x:c r="Z61" s="35" t="n">
        <x:v>100</x:v>
      </x:c>
      <x:c r="AA61" s="35" t="n">
        <x:v>4</x:v>
      </x:c>
      <x:c r="AB61" s="35" t="n">
        <x:v>4</x:v>
      </x:c>
      <x:c r="AC61" s="35" t="n">
        <x:v>3</x:v>
      </x:c>
      <x:c r="AD61" s="35" t="n">
        <x:v>56</x:v>
      </x:c>
      <x:c r="AE61" s="35" t="n">
        <x:v>66</x:v>
      </x:c>
      <x:c r="AF61" s="35" t="n">
        <x:v>62</x:v>
      </x:c>
      <x:c r="AG61" s="35" t="n">
        <x:v>90</x:v>
      </x:c>
      <x:c r="AH61" s="35" t="n">
        <x:v>6</x:v>
      </x:c>
      <x:c r="AI61" s="37" t="n">
        <x:v>90.4</x:v>
      </x:c>
      <x:c r="AJ61" s="37" t="n">
        <x:v>85.3</x:v>
      </x:c>
      <x:c r="AK61" s="35" t="str">
        <x:v>No</x:v>
      </x:c>
      <x:c r="AL61" s="38" t="n">
        <x:f>IF(AA61=0,0,AB61/AA61)</x:f>
        <x:v>1</x:v>
      </x:c>
      <x:c r="AM61" s="38" t="n">
        <x:f>IF(AB61=0,0,AC61/AB61)</x:f>
        <x:v>0.75</x:v>
      </x:c>
      <x:c r="AN61" s="37" t="n">
        <x:f>ROUND((AD61*0.20+AE61*0.20+AF61*0.25+AG61*0.15+MIN(100,AC61*12)*0.20),1)</x:f>
        <x:v>60.6</x:v>
      </x:c>
      <x:c r="AO61" s="37" t="n">
        <x:f>ROUND(MAX(0,MIN(100,(X61*0.35)+(W61/45*100*0.20)+((5-O61)/4*100*0.15)+((5-P61)/4*100*0.10)+((6-Y61)/5*100*0.10)+((100-Z61)*0.10))),1)</x:f>
        <x:v>41.8</x:v>
      </x:c>
      <x:c r="AP61" s="37" t="str">
        <x:f>IF(AO61&gt;=70,"High",IF(AO61&gt;=40,"Moderate","Low"))</x:f>
        <x:v>Moderate</x:v>
      </x:c>
      <x:c r="AQ61" s="37" t="n">
        <x:f>ROUND(MAX(0,MIN(100,(O61/4*100*0.25)+(P61/4*100*0.20)+(Q61/4*100*0.15)+(Y61/5*100*0.20)+(100-AO61)*0.20)),1)</x:f>
        <x:v>76.6</x:v>
      </x:c>
      <x:c r="AR61" s="37" t="n">
        <x:f>ROUND((AI61*0.20+AJ61*0.15+AN61*0.18+AG61*0.12+Z61*0.15+AQ61*0.20),1)</x:f>
        <x:v>82.9</x:v>
      </x:c>
      <x:c r="AS61" s="39" t="n">
        <x:f>ROUND((AC61*AF61*120)+(AH61*350)+(MAX(0,AI61-75)*220)+(MAX(0,AQ61-60)*100),0)</x:f>
        <x:v>29468</x:v>
      </x:c>
    </x:row>
    <x:row r="62">
      <x:c r="A62" s="35" t="n">
        <x:v>61</x:v>
      </x:c>
      <x:c r="B62" s="35" t="n">
        <x:v>47</x:v>
      </x:c>
      <x:c r="C62" s="35" t="str">
        <x:v>Male</x:v>
      </x:c>
      <x:c r="D62" s="35" t="str">
        <x:v>Sales</x:v>
      </x:c>
      <x:c r="E62" s="35" t="str">
        <x:v>Sales Executive</x:v>
      </x:c>
      <x:c r="F62" s="35" t="str">
        <x:v>Business</x:v>
      </x:c>
      <x:c r="G62" s="35" t="str">
        <x:v>Married</x:v>
      </x:c>
      <x:c r="H62" s="35" t="n">
        <x:v>3</x:v>
      </x:c>
      <x:c r="I62" s="36" t="n">
        <x:v>14000</x:v>
      </x:c>
      <x:c r="J62" s="35" t="n">
        <x:v>18</x:v>
      </x:c>
      <x:c r="K62" s="35" t="n">
        <x:v>9</x:v>
      </x:c>
      <x:c r="L62" s="35" t="n">
        <x:v>4</x:v>
      </x:c>
      <x:c r="M62" s="35" t="n">
        <x:v>30</x:v>
      </x:c>
      <x:c r="N62" s="35" t="str">
        <x:v>Yes</x:v>
      </x:c>
      <x:c r="O62" s="35" t="n">
        <x:v>3</x:v>
      </x:c>
      <x:c r="P62" s="35" t="n">
        <x:v>2</x:v>
      </x:c>
      <x:c r="Q62" s="35" t="n">
        <x:v>2</x:v>
      </x:c>
      <x:c r="R62" s="35" t="n">
        <x:v>3</x:v>
      </x:c>
      <x:c r="S62" s="35" t="n">
        <x:v>3</x:v>
      </x:c>
      <x:c r="T62" s="35" t="n">
        <x:v>1</x:v>
      </x:c>
      <x:c r="U62" s="35" t="n">
        <x:v>0</x:v>
      </x:c>
      <x:c r="V62" s="35" t="n">
        <x:v>8</x:v>
      </x:c>
      <x:c r="W62" s="35" t="n">
        <x:v>24</x:v>
      </x:c>
      <x:c r="X62" s="35" t="n">
        <x:v>89</x:v>
      </x:c>
      <x:c r="Y62" s="35" t="n">
        <x:v>3</x:v>
      </x:c>
      <x:c r="Z62" s="35" t="n">
        <x:v>88</x:v>
      </x:c>
      <x:c r="AA62" s="35" t="n">
        <x:v>3</x:v>
      </x:c>
      <x:c r="AB62" s="35" t="n">
        <x:v>2</x:v>
      </x:c>
      <x:c r="AC62" s="35" t="n">
        <x:v>2</x:v>
      </x:c>
      <x:c r="AD62" s="35" t="n">
        <x:v>91</x:v>
      </x:c>
      <x:c r="AE62" s="35" t="n">
        <x:v>65</x:v>
      </x:c>
      <x:c r="AF62" s="35" t="n">
        <x:v>80</x:v>
      </x:c>
      <x:c r="AG62" s="35" t="n">
        <x:v>100</x:v>
      </x:c>
      <x:c r="AH62" s="35" t="n">
        <x:v>3</x:v>
      </x:c>
      <x:c r="AI62" s="37" t="n">
        <x:v>90.7</x:v>
      </x:c>
      <x:c r="AJ62" s="37" t="n">
        <x:v>90.2</x:v>
      </x:c>
      <x:c r="AK62" s="35" t="str">
        <x:v>Yes</x:v>
      </x:c>
      <x:c r="AL62" s="38" t="n">
        <x:f>IF(AA62=0,0,AB62/AA62)</x:f>
        <x:v>0.6666666666666666</x:v>
      </x:c>
      <x:c r="AM62" s="38" t="n">
        <x:f>IF(AB62=0,0,AC62/AB62)</x:f>
        <x:v>1</x:v>
      </x:c>
      <x:c r="AN62" s="37" t="n">
        <x:f>ROUND((AD62*0.20+AE62*0.20+AF62*0.25+AG62*0.15+MIN(100,AC62*12)*0.20),1)</x:f>
        <x:v>71</x:v>
      </x:c>
      <x:c r="AO62" s="37" t="n">
        <x:f>ROUND(MAX(0,MIN(100,(X62*0.35)+(W62/45*100*0.20)+((5-O62)/4*100*0.15)+((5-P62)/4*100*0.10)+((6-Y62)/5*100*0.10)+((100-Z62)*0.10))),1)</x:f>
        <x:v>64</x:v>
      </x:c>
      <x:c r="AP62" s="37" t="str">
        <x:f>IF(AO62&gt;=70,"High",IF(AO62&gt;=40,"Moderate","Low"))</x:f>
        <x:v>Moderate</x:v>
      </x:c>
      <x:c r="AQ62" s="37" t="n">
        <x:f>ROUND(MAX(0,MIN(100,(O62/4*100*0.25)+(P62/4*100*0.20)+(Q62/4*100*0.15)+(Y62/5*100*0.20)+(100-AO62)*0.20)),1)</x:f>
        <x:v>55.5</x:v>
      </x:c>
      <x:c r="AR62" s="37" t="n">
        <x:f>ROUND((AI62*0.20+AJ62*0.15+AN62*0.18+AG62*0.12+Z62*0.15+AQ62*0.20),1)</x:f>
        <x:v>80.8</x:v>
      </x:c>
      <x:c r="AS62" s="39" t="n">
        <x:f>ROUND((AC62*AF62*120)+(AH62*350)+(MAX(0,AI62-75)*220)+(MAX(0,AQ62-60)*100),0)</x:f>
        <x:v>23704</x:v>
      </x:c>
    </x:row>
    <x:row r="63">
      <x:c r="A63" s="35" t="n">
        <x:v>62</x:v>
      </x:c>
      <x:c r="B63" s="35" t="n">
        <x:v>30</x:v>
      </x:c>
      <x:c r="C63" s="35" t="str">
        <x:v>Female</x:v>
      </x:c>
      <x:c r="D63" s="35" t="str">
        <x:v>Research &amp; Development</x:v>
      </x:c>
      <x:c r="E63" s="35" t="str">
        <x:v>Laboratory Technician</x:v>
      </x:c>
      <x:c r="F63" s="35" t="str">
        <x:v>Life Sciences</x:v>
      </x:c>
      <x:c r="G63" s="35" t="str">
        <x:v>Divorced</x:v>
      </x:c>
      <x:c r="H63" s="35" t="n">
        <x:v>1</x:v>
      </x:c>
      <x:c r="I63" s="36" t="n">
        <x:v>5190</x:v>
      </x:c>
      <x:c r="J63" s="35" t="n">
        <x:v>6</x:v>
      </x:c>
      <x:c r="K63" s="35" t="n">
        <x:v>3</x:v>
      </x:c>
      <x:c r="L63" s="35" t="n">
        <x:v>1</x:v>
      </x:c>
      <x:c r="M63" s="35" t="n">
        <x:v>9</x:v>
      </x:c>
      <x:c r="N63" s="35" t="str">
        <x:v>No</x:v>
      </x:c>
      <x:c r="O63" s="35" t="n">
        <x:v>4</x:v>
      </x:c>
      <x:c r="P63" s="35" t="n">
        <x:v>3</x:v>
      </x:c>
      <x:c r="Q63" s="35" t="n">
        <x:v>2</x:v>
      </x:c>
      <x:c r="R63" s="35" t="n">
        <x:v>2</x:v>
      </x:c>
      <x:c r="S63" s="35" t="n">
        <x:v>4</x:v>
      </x:c>
      <x:c r="T63" s="35" t="n">
        <x:v>3</x:v>
      </x:c>
      <x:c r="U63" s="35" t="n">
        <x:v>0</x:v>
      </x:c>
      <x:c r="V63" s="35" t="n">
        <x:v>3</x:v>
      </x:c>
      <x:c r="W63" s="35" t="n">
        <x:v>1</x:v>
      </x:c>
      <x:c r="X63" s="35" t="n">
        <x:v>68</x:v>
      </x:c>
      <x:c r="Y63" s="35" t="n">
        <x:v>4</x:v>
      </x:c>
      <x:c r="Z63" s="35" t="n">
        <x:v>93</x:v>
      </x:c>
      <x:c r="AA63" s="35" t="n">
        <x:v>3</x:v>
      </x:c>
      <x:c r="AB63" s="35" t="n">
        <x:v>2</x:v>
      </x:c>
      <x:c r="AC63" s="35" t="n">
        <x:v>2</x:v>
      </x:c>
      <x:c r="AD63" s="35" t="n">
        <x:v>82</x:v>
      </x:c>
      <x:c r="AE63" s="35" t="n">
        <x:v>85</x:v>
      </x:c>
      <x:c r="AF63" s="35" t="n">
        <x:v>64</x:v>
      </x:c>
      <x:c r="AG63" s="35" t="n">
        <x:v>75</x:v>
      </x:c>
      <x:c r="AH63" s="35" t="n">
        <x:v>8</x:v>
      </x:c>
      <x:c r="AI63" s="37" t="n">
        <x:v>100</x:v>
      </x:c>
      <x:c r="AJ63" s="37" t="n">
        <x:v>87.2</x:v>
      </x:c>
      <x:c r="AK63" s="35" t="str">
        <x:v>Yes</x:v>
      </x:c>
      <x:c r="AL63" s="38" t="n">
        <x:f>IF(AA63=0,0,AB63/AA63)</x:f>
        <x:v>0.6666666666666666</x:v>
      </x:c>
      <x:c r="AM63" s="38" t="n">
        <x:f>IF(AB63=0,0,AC63/AB63)</x:f>
        <x:v>1</x:v>
      </x:c>
      <x:c r="AN63" s="37" t="n">
        <x:f>ROUND((AD63*0.20+AE63*0.20+AF63*0.25+AG63*0.15+MIN(100,AC63*12)*0.20),1)</x:f>
        <x:v>65.5</x:v>
      </x:c>
      <x:c r="AO63" s="37" t="n">
        <x:f>ROUND(MAX(0,MIN(100,(X63*0.35)+(W63/45*100*0.20)+((5-O63)/4*100*0.15)+((5-P63)/4*100*0.10)+((6-Y63)/5*100*0.10)+((100-Z63)*0.10))),1)</x:f>
        <x:v>37.7</x:v>
      </x:c>
      <x:c r="AP63" s="37" t="str">
        <x:f>IF(AO63&gt;=70,"High",IF(AO63&gt;=40,"Moderate","Low"))</x:f>
        <x:v>Low</x:v>
      </x:c>
      <x:c r="AQ63" s="37" t="n">
        <x:f>ROUND(MAX(0,MIN(100,(O63/4*100*0.25)+(P63/4*100*0.20)+(Q63/4*100*0.15)+(Y63/5*100*0.20)+(100-AO63)*0.20)),1)</x:f>
        <x:v>76</x:v>
      </x:c>
      <x:c r="AR63" s="37" t="n">
        <x:f>ROUND((AI63*0.20+AJ63*0.15+AN63*0.18+AG63*0.12+Z63*0.15+AQ63*0.20),1)</x:f>
        <x:v>83</x:v>
      </x:c>
      <x:c r="AS63" s="39" t="n">
        <x:f>ROUND((AC63*AF63*120)+(AH63*350)+(MAX(0,AI63-75)*220)+(MAX(0,AQ63-60)*100),0)</x:f>
        <x:v>25260</x:v>
      </x:c>
    </x:row>
    <x:row r="64">
      <x:c r="A64" s="35" t="n">
        <x:v>63</x:v>
      </x:c>
      <x:c r="B64" s="35" t="n">
        <x:v>48</x:v>
      </x:c>
      <x:c r="C64" s="35" t="str">
        <x:v>Female</x:v>
      </x:c>
      <x:c r="D64" s="35" t="str">
        <x:v>Sales</x:v>
      </x:c>
      <x:c r="E64" s="35" t="str">
        <x:v>Sales Representative</x:v>
      </x:c>
      <x:c r="F64" s="35" t="str">
        <x:v>Technical Degree</x:v>
      </x:c>
      <x:c r="G64" s="35" t="str">
        <x:v>Married</x:v>
      </x:c>
      <x:c r="H64" s="35" t="n">
        <x:v>4</x:v>
      </x:c>
      <x:c r="I64" s="36" t="n">
        <x:v>20290</x:v>
      </x:c>
      <x:c r="J64" s="35" t="n">
        <x:v>24</x:v>
      </x:c>
      <x:c r="K64" s="35" t="n">
        <x:v>18</x:v>
      </x:c>
      <x:c r="L64" s="35" t="n">
        <x:v>13</x:v>
      </x:c>
      <x:c r="M64" s="35" t="n">
        <x:v>12</x:v>
      </x:c>
      <x:c r="N64" s="35" t="str">
        <x:v>No</x:v>
      </x:c>
      <x:c r="O64" s="35" t="n">
        <x:v>3</x:v>
      </x:c>
      <x:c r="P64" s="35" t="n">
        <x:v>4</x:v>
      </x:c>
      <x:c r="Q64" s="35" t="n">
        <x:v>3</x:v>
      </x:c>
      <x:c r="R64" s="35" t="n">
        <x:v>3</x:v>
      </x:c>
      <x:c r="S64" s="35" t="n">
        <x:v>3</x:v>
      </x:c>
      <x:c r="T64" s="35" t="n">
        <x:v>4</x:v>
      </x:c>
      <x:c r="U64" s="35" t="n">
        <x:v>1</x:v>
      </x:c>
      <x:c r="V64" s="35" t="n">
        <x:v>9</x:v>
      </x:c>
      <x:c r="W64" s="35" t="n">
        <x:v>12</x:v>
      </x:c>
      <x:c r="X64" s="35" t="n">
        <x:v>49</x:v>
      </x:c>
      <x:c r="Y64" s="35" t="n">
        <x:v>5</x:v>
      </x:c>
      <x:c r="Z64" s="35" t="n">
        <x:v>100</x:v>
      </x:c>
      <x:c r="AA64" s="35" t="n">
        <x:v>6</x:v>
      </x:c>
      <x:c r="AB64" s="35" t="n">
        <x:v>6</x:v>
      </x:c>
      <x:c r="AC64" s="35" t="n">
        <x:v>4</x:v>
      </x:c>
      <x:c r="AD64" s="35" t="n">
        <x:v>81</x:v>
      </x:c>
      <x:c r="AE64" s="35" t="n">
        <x:v>87</x:v>
      </x:c>
      <x:c r="AF64" s="35" t="n">
        <x:v>100</x:v>
      </x:c>
      <x:c r="AG64" s="35" t="n">
        <x:v>91</x:v>
      </x:c>
      <x:c r="AH64" s="35" t="n">
        <x:v>7</x:v>
      </x:c>
      <x:c r="AI64" s="37" t="n">
        <x:v>91.6</x:v>
      </x:c>
      <x:c r="AJ64" s="37" t="n">
        <x:v>91</x:v>
      </x:c>
      <x:c r="AK64" s="35" t="str">
        <x:v>No</x:v>
      </x:c>
      <x:c r="AL64" s="38" t="n">
        <x:f>IF(AA64=0,0,AB64/AA64)</x:f>
        <x:v>1</x:v>
      </x:c>
      <x:c r="AM64" s="38" t="n">
        <x:f>IF(AB64=0,0,AC64/AB64)</x:f>
        <x:v>0.6666666666666666</x:v>
      </x:c>
      <x:c r="AN64" s="37" t="n">
        <x:f>ROUND((AD64*0.20+AE64*0.20+AF64*0.25+AG64*0.15+MIN(100,AC64*12)*0.20),1)</x:f>
        <x:v>81.9</x:v>
      </x:c>
      <x:c r="AO64" s="37" t="n">
        <x:f>ROUND(MAX(0,MIN(100,(X64*0.35)+(W64/45*100*0.20)+((5-O64)/4*100*0.15)+((5-P64)/4*100*0.10)+((6-Y64)/5*100*0.10)+((100-Z64)*0.10))),1)</x:f>
        <x:v>34.5</x:v>
      </x:c>
      <x:c r="AP64" s="37" t="str">
        <x:f>IF(AO64&gt;=70,"High",IF(AO64&gt;=40,"Moderate","Low"))</x:f>
        <x:v>Low</x:v>
      </x:c>
      <x:c r="AQ64" s="37" t="n">
        <x:f>ROUND(MAX(0,MIN(100,(O64/4*100*0.25)+(P64/4*100*0.20)+(Q64/4*100*0.15)+(Y64/5*100*0.20)+(100-AO64)*0.20)),1)</x:f>
        <x:v>83.1</x:v>
      </x:c>
      <x:c r="AR64" s="37" t="n">
        <x:f>ROUND((AI64*0.20+AJ64*0.15+AN64*0.18+AG64*0.12+Z64*0.15+AQ64*0.20),1)</x:f>
        <x:v>89.3</x:v>
      </x:c>
      <x:c r="AS64" s="39" t="n">
        <x:f>ROUND((AC64*AF64*120)+(AH64*350)+(MAX(0,AI64-75)*220)+(MAX(0,AQ64-60)*100),0)</x:f>
        <x:v>56412</x:v>
      </x:c>
    </x:row>
    <x:row r="65">
      <x:c r="A65" s="35" t="n">
        <x:v>64</x:v>
      </x:c>
      <x:c r="B65" s="35" t="n">
        <x:v>40</x:v>
      </x:c>
      <x:c r="C65" s="35" t="str">
        <x:v>Female</x:v>
      </x:c>
      <x:c r="D65" s="35" t="str">
        <x:v>Marketing</x:v>
      </x:c>
      <x:c r="E65" s="35" t="str">
        <x:v>Marketing Manager</x:v>
      </x:c>
      <x:c r="F65" s="35" t="str">
        <x:v>Medical</x:v>
      </x:c>
      <x:c r="G65" s="35" t="str">
        <x:v>Divorced</x:v>
      </x:c>
      <x:c r="H65" s="35" t="n">
        <x:v>2</x:v>
      </x:c>
      <x:c r="I65" s="36" t="n">
        <x:v>10190</x:v>
      </x:c>
      <x:c r="J65" s="35" t="n">
        <x:v>14</x:v>
      </x:c>
      <x:c r="K65" s="35" t="n">
        <x:v>7</x:v>
      </x:c>
      <x:c r="L65" s="35" t="n">
        <x:v>2</x:v>
      </x:c>
      <x:c r="M65" s="35" t="n">
        <x:v>6</x:v>
      </x:c>
      <x:c r="N65" s="35" t="str">
        <x:v>No</x:v>
      </x:c>
      <x:c r="O65" s="35" t="n">
        <x:v>2</x:v>
      </x:c>
      <x:c r="P65" s="35" t="n">
        <x:v>3</x:v>
      </x:c>
      <x:c r="Q65" s="35" t="n">
        <x:v>3</x:v>
      </x:c>
      <x:c r="R65" s="35" t="n">
        <x:v>2</x:v>
      </x:c>
      <x:c r="S65" s="35" t="n">
        <x:v>4</x:v>
      </x:c>
      <x:c r="T65" s="35" t="n">
        <x:v>3</x:v>
      </x:c>
      <x:c r="U65" s="35" t="n">
        <x:v>0</x:v>
      </x:c>
      <x:c r="V65" s="35" t="n">
        <x:v>6</x:v>
      </x:c>
      <x:c r="W65" s="35" t="n">
        <x:v>8</x:v>
      </x:c>
      <x:c r="X65" s="35" t="n">
        <x:v>73</x:v>
      </x:c>
      <x:c r="Y65" s="35" t="n">
        <x:v>4</x:v>
      </x:c>
      <x:c r="Z65" s="35" t="n">
        <x:v>85</x:v>
      </x:c>
      <x:c r="AA65" s="35" t="n">
        <x:v>7</x:v>
      </x:c>
      <x:c r="AB65" s="35" t="n">
        <x:v>3</x:v>
      </x:c>
      <x:c r="AC65" s="35" t="n">
        <x:v>3</x:v>
      </x:c>
      <x:c r="AD65" s="35" t="n">
        <x:v>89</x:v>
      </x:c>
      <x:c r="AE65" s="35" t="n">
        <x:v>70</x:v>
      </x:c>
      <x:c r="AF65" s="35" t="n">
        <x:v>76</x:v>
      </x:c>
      <x:c r="AG65" s="35" t="n">
        <x:v>69</x:v>
      </x:c>
      <x:c r="AH65" s="35" t="n">
        <x:v>8</x:v>
      </x:c>
      <x:c r="AI65" s="37" t="n">
        <x:v>100</x:v>
      </x:c>
      <x:c r="AJ65" s="37" t="n">
        <x:v>98.9</x:v>
      </x:c>
      <x:c r="AK65" s="35" t="str">
        <x:v>Yes</x:v>
      </x:c>
      <x:c r="AL65" s="38" t="n">
        <x:f>IF(AA65=0,0,AB65/AA65)</x:f>
        <x:v>0.42857142857142855</x:v>
      </x:c>
      <x:c r="AM65" s="38" t="n">
        <x:f>IF(AB65=0,0,AC65/AB65)</x:f>
        <x:v>1</x:v>
      </x:c>
      <x:c r="AN65" s="37" t="n">
        <x:f>ROUND((AD65*0.20+AE65*0.20+AF65*0.25+AG65*0.15+MIN(100,AC65*12)*0.20),1)</x:f>
        <x:v>68.4</x:v>
      </x:c>
      <x:c r="AO65" s="37" t="n">
        <x:f>ROUND(MAX(0,MIN(100,(X65*0.35)+(W65/45*100*0.20)+((5-O65)/4*100*0.15)+((5-P65)/4*100*0.10)+((6-Y65)/5*100*0.10)+((100-Z65)*0.10))),1)</x:f>
        <x:v>50.9</x:v>
      </x:c>
      <x:c r="AP65" s="37" t="str">
        <x:f>IF(AO65&gt;=70,"High",IF(AO65&gt;=40,"Moderate","Low"))</x:f>
        <x:v>Moderate</x:v>
      </x:c>
      <x:c r="AQ65" s="37" t="n">
        <x:f>ROUND(MAX(0,MIN(100,(O65/4*100*0.25)+(P65/4*100*0.20)+(Q65/4*100*0.15)+(Y65/5*100*0.20)+(100-AO65)*0.20)),1)</x:f>
        <x:v>64.6</x:v>
      </x:c>
      <x:c r="AR65" s="37" t="n">
        <x:f>ROUND((AI65*0.20+AJ65*0.15+AN65*0.18+AG65*0.12+Z65*0.15+AQ65*0.20),1)</x:f>
        <x:v>81.1</x:v>
      </x:c>
      <x:c r="AS65" s="39" t="n">
        <x:f>ROUND((AC65*AF65*120)+(AH65*350)+(MAX(0,AI65-75)*220)+(MAX(0,AQ65-60)*100),0)</x:f>
        <x:v>36120</x:v>
      </x:c>
    </x:row>
    <x:row r="66">
      <x:c r="A66" s="35" t="n">
        <x:v>65</x:v>
      </x:c>
      <x:c r="B66" s="35" t="n">
        <x:v>30</x:v>
      </x:c>
      <x:c r="C66" s="35" t="str">
        <x:v>Female</x:v>
      </x:c>
      <x:c r="D66" s="35" t="str">
        <x:v>Information Technology</x:v>
      </x:c>
      <x:c r="E66" s="35" t="str">
        <x:v>Software Engineer</x:v>
      </x:c>
      <x:c r="F66" s="35" t="str">
        <x:v>Computer Science</x:v>
      </x:c>
      <x:c r="G66" s="35" t="str">
        <x:v>Single</x:v>
      </x:c>
      <x:c r="H66" s="35" t="n">
        <x:v>1</x:v>
      </x:c>
      <x:c r="I66" s="36" t="n">
        <x:v>6060</x:v>
      </x:c>
      <x:c r="J66" s="35" t="n">
        <x:v>8</x:v>
      </x:c>
      <x:c r="K66" s="35" t="n">
        <x:v>6</x:v>
      </x:c>
      <x:c r="L66" s="35" t="n">
        <x:v>3</x:v>
      </x:c>
      <x:c r="M66" s="35" t="n">
        <x:v>2</x:v>
      </x:c>
      <x:c r="N66" s="35" t="str">
        <x:v>Yes</x:v>
      </x:c>
      <x:c r="O66" s="35" t="n">
        <x:v>3</x:v>
      </x:c>
      <x:c r="P66" s="35" t="n">
        <x:v>3</x:v>
      </x:c>
      <x:c r="Q66" s="35" t="n">
        <x:v>4</x:v>
      </x:c>
      <x:c r="R66" s="35" t="n">
        <x:v>3</x:v>
      </x:c>
      <x:c r="S66" s="35" t="n">
        <x:v>3</x:v>
      </x:c>
      <x:c r="T66" s="35" t="n">
        <x:v>1</x:v>
      </x:c>
      <x:c r="U66" s="35" t="n">
        <x:v>0</x:v>
      </x:c>
      <x:c r="V66" s="35" t="n">
        <x:v>3</x:v>
      </x:c>
      <x:c r="W66" s="35" t="n">
        <x:v>32</x:v>
      </x:c>
      <x:c r="X66" s="35" t="n">
        <x:v>73</x:v>
      </x:c>
      <x:c r="Y66" s="35" t="n">
        <x:v>4</x:v>
      </x:c>
      <x:c r="Z66" s="35" t="n">
        <x:v>95</x:v>
      </x:c>
      <x:c r="AA66" s="35" t="n">
        <x:v>13</x:v>
      </x:c>
      <x:c r="AB66" s="35" t="n">
        <x:v>12</x:v>
      </x:c>
      <x:c r="AC66" s="35" t="n">
        <x:v>10</x:v>
      </x:c>
      <x:c r="AD66" s="35" t="n">
        <x:v>95</x:v>
      </x:c>
      <x:c r="AE66" s="35" t="n">
        <x:v>84</x:v>
      </x:c>
      <x:c r="AF66" s="35" t="n">
        <x:v>90</x:v>
      </x:c>
      <x:c r="AG66" s="35" t="n">
        <x:v>99</x:v>
      </x:c>
      <x:c r="AH66" s="35" t="n">
        <x:v>12</x:v>
      </x:c>
      <x:c r="AI66" s="37" t="n">
        <x:v>87</x:v>
      </x:c>
      <x:c r="AJ66" s="37" t="n">
        <x:v>97.3</x:v>
      </x:c>
      <x:c r="AK66" s="35" t="str">
        <x:v>No</x:v>
      </x:c>
      <x:c r="AL66" s="38" t="n">
        <x:f>IF(AA66=0,0,AB66/AA66)</x:f>
        <x:v>0.9230769230769231</x:v>
      </x:c>
      <x:c r="AM66" s="38" t="n">
        <x:f>IF(AB66=0,0,AC66/AB66)</x:f>
        <x:v>0.8333333333333334</x:v>
      </x:c>
      <x:c r="AN66" s="37" t="n">
        <x:f>ROUND((AD66*0.20+AE66*0.20+AF66*0.25+AG66*0.15+MIN(100,AC66*12)*0.20),1)</x:f>
        <x:v>93.1</x:v>
      </x:c>
      <x:c r="AO66" s="37" t="n">
        <x:f>ROUND(MAX(0,MIN(100,(X66*0.35)+(W66/45*100*0.20)+((5-O66)/4*100*0.15)+((5-P66)/4*100*0.10)+((6-Y66)/5*100*0.10)+((100-Z66)*0.10))),1)</x:f>
        <x:v>56.8</x:v>
      </x:c>
      <x:c r="AP66" s="37" t="str">
        <x:f>IF(AO66&gt;=70,"High",IF(AO66&gt;=40,"Moderate","Low"))</x:f>
        <x:v>Moderate</x:v>
      </x:c>
      <x:c r="AQ66" s="37" t="n">
        <x:f>ROUND(MAX(0,MIN(100,(O66/4*100*0.25)+(P66/4*100*0.20)+(Q66/4*100*0.15)+(Y66/5*100*0.20)+(100-AO66)*0.20)),1)</x:f>
        <x:v>73.4</x:v>
      </x:c>
      <x:c r="AR66" s="37" t="n">
        <x:f>ROUND((AI66*0.20+AJ66*0.15+AN66*0.18+AG66*0.12+Z66*0.15+AQ66*0.20),1)</x:f>
        <x:v>89.6</x:v>
      </x:c>
      <x:c r="AS66" s="39" t="n">
        <x:f>ROUND((AC66*AF66*120)+(AH66*350)+(MAX(0,AI66-75)*220)+(MAX(0,AQ66-60)*100),0)</x:f>
        <x:v>116180</x:v>
      </x:c>
    </x:row>
    <x:row r="67">
      <x:c r="A67" s="35" t="n">
        <x:v>66</x:v>
      </x:c>
      <x:c r="B67" s="35" t="n">
        <x:v>39</x:v>
      </x:c>
      <x:c r="C67" s="35" t="str">
        <x:v>Male</x:v>
      </x:c>
      <x:c r="D67" s="35" t="str">
        <x:v>Sales</x:v>
      </x:c>
      <x:c r="E67" s="35" t="str">
        <x:v>Sales Executive</x:v>
      </x:c>
      <x:c r="F67" s="35" t="str">
        <x:v>Life Sciences</x:v>
      </x:c>
      <x:c r="G67" s="35" t="str">
        <x:v>Divorced</x:v>
      </x:c>
      <x:c r="H67" s="35" t="n">
        <x:v>2</x:v>
      </x:c>
      <x:c r="I67" s="36" t="n">
        <x:v>6350</x:v>
      </x:c>
      <x:c r="J67" s="35" t="n">
        <x:v>11</x:v>
      </x:c>
      <x:c r="K67" s="35" t="n">
        <x:v>7</x:v>
      </x:c>
      <x:c r="L67" s="35" t="n">
        <x:v>3</x:v>
      </x:c>
      <x:c r="M67" s="35" t="n">
        <x:v>4</x:v>
      </x:c>
      <x:c r="N67" s="35" t="str">
        <x:v>No</x:v>
      </x:c>
      <x:c r="O67" s="35" t="n">
        <x:v>3</x:v>
      </x:c>
      <x:c r="P67" s="35" t="n">
        <x:v>3</x:v>
      </x:c>
      <x:c r="Q67" s="35" t="n">
        <x:v>3</x:v>
      </x:c>
      <x:c r="R67" s="35" t="n">
        <x:v>3</x:v>
      </x:c>
      <x:c r="S67" s="35" t="n">
        <x:v>3</x:v>
      </x:c>
      <x:c r="T67" s="35" t="n">
        <x:v>2</x:v>
      </x:c>
      <x:c r="U67" s="35" t="n">
        <x:v>1</x:v>
      </x:c>
      <x:c r="V67" s="35" t="n">
        <x:v>16</x:v>
      </x:c>
      <x:c r="W67" s="35" t="n">
        <x:v>0</x:v>
      </x:c>
      <x:c r="X67" s="35" t="n">
        <x:v>56</x:v>
      </x:c>
      <x:c r="Y67" s="35" t="n">
        <x:v>4</x:v>
      </x:c>
      <x:c r="Z67" s="35" t="n">
        <x:v>100</x:v>
      </x:c>
      <x:c r="AA67" s="35" t="n">
        <x:v>4</x:v>
      </x:c>
      <x:c r="AB67" s="35" t="n">
        <x:v>2</x:v>
      </x:c>
      <x:c r="AC67" s="35" t="n">
        <x:v>1</x:v>
      </x:c>
      <x:c r="AD67" s="35" t="n">
        <x:v>53</x:v>
      </x:c>
      <x:c r="AE67" s="35" t="n">
        <x:v>76</x:v>
      </x:c>
      <x:c r="AF67" s="35" t="n">
        <x:v>80</x:v>
      </x:c>
      <x:c r="AG67" s="35" t="n">
        <x:v>99</x:v>
      </x:c>
      <x:c r="AH67" s="35" t="n">
        <x:v>6</x:v>
      </x:c>
      <x:c r="AI67" s="37" t="n">
        <x:v>100</x:v>
      </x:c>
      <x:c r="AJ67" s="37" t="n">
        <x:v>100</x:v>
      </x:c>
      <x:c r="AK67" s="35" t="str">
        <x:v>No</x:v>
      </x:c>
      <x:c r="AL67" s="38" t="n">
        <x:f>IF(AA67=0,0,AB67/AA67)</x:f>
        <x:v>0.5</x:v>
      </x:c>
      <x:c r="AM67" s="38" t="n">
        <x:f>IF(AB67=0,0,AC67/AB67)</x:f>
        <x:v>0.5</x:v>
      </x:c>
      <x:c r="AN67" s="37" t="n">
        <x:f>ROUND((AD67*0.20+AE67*0.20+AF67*0.25+AG67*0.15+MIN(100,AC67*12)*0.20),1)</x:f>
        <x:v>63.1</x:v>
      </x:c>
      <x:c r="AO67" s="37" t="n">
        <x:f>ROUND(MAX(0,MIN(100,(X67*0.35)+(W67/45*100*0.20)+((5-O67)/4*100*0.15)+((5-P67)/4*100*0.10)+((6-Y67)/5*100*0.10)+((100-Z67)*0.10))),1)</x:f>
        <x:v>36.1</x:v>
      </x:c>
      <x:c r="AP67" s="37" t="str">
        <x:f>IF(AO67&gt;=70,"High",IF(AO67&gt;=40,"Moderate","Low"))</x:f>
        <x:v>Low</x:v>
      </x:c>
      <x:c r="AQ67" s="37" t="n">
        <x:f>ROUND(MAX(0,MIN(100,(O67/4*100*0.25)+(P67/4*100*0.20)+(Q67/4*100*0.15)+(Y67/5*100*0.20)+(100-AO67)*0.20)),1)</x:f>
        <x:v>73.8</x:v>
      </x:c>
      <x:c r="AR67" s="37" t="n">
        <x:f>ROUND((AI67*0.20+AJ67*0.15+AN67*0.18+AG67*0.12+Z67*0.15+AQ67*0.20),1)</x:f>
        <x:v>88</x:v>
      </x:c>
      <x:c r="AS67" s="39" t="n">
        <x:f>ROUND((AC67*AF67*120)+(AH67*350)+(MAX(0,AI67-75)*220)+(MAX(0,AQ67-60)*100),0)</x:f>
        <x:v>18580</x:v>
      </x:c>
    </x:row>
    <x:row r="68">
      <x:c r="A68" s="35" t="n">
        <x:v>67</x:v>
      </x:c>
      <x:c r="B68" s="35" t="n">
        <x:v>35</x:v>
      </x:c>
      <x:c r="C68" s="35" t="str">
        <x:v>Male</x:v>
      </x:c>
      <x:c r="D68" s="35" t="str">
        <x:v>Human Resources</x:v>
      </x:c>
      <x:c r="E68" s="35" t="str">
        <x:v>Talent Development Specialist</x:v>
      </x:c>
      <x:c r="F68" s="35" t="str">
        <x:v>Computer Science</x:v>
      </x:c>
      <x:c r="G68" s="35" t="str">
        <x:v>Married</x:v>
      </x:c>
      <x:c r="H68" s="35" t="n">
        <x:v>2</x:v>
      </x:c>
      <x:c r="I68" s="36" t="n">
        <x:v>7010</x:v>
      </x:c>
      <x:c r="J68" s="35" t="n">
        <x:v>8</x:v>
      </x:c>
      <x:c r="K68" s="35" t="n">
        <x:v>6</x:v>
      </x:c>
      <x:c r="L68" s="35" t="n">
        <x:v>4</x:v>
      </x:c>
      <x:c r="M68" s="35" t="n">
        <x:v>7</x:v>
      </x:c>
      <x:c r="N68" s="35" t="str">
        <x:v>No</x:v>
      </x:c>
      <x:c r="O68" s="35" t="n">
        <x:v>3</x:v>
      </x:c>
      <x:c r="P68" s="35" t="n">
        <x:v>3</x:v>
      </x:c>
      <x:c r="Q68" s="35" t="n">
        <x:v>4</x:v>
      </x:c>
      <x:c r="R68" s="35" t="n">
        <x:v>3</x:v>
      </x:c>
      <x:c r="S68" s="35" t="n">
        <x:v>3</x:v>
      </x:c>
      <x:c r="T68" s="35" t="n">
        <x:v>3</x:v>
      </x:c>
      <x:c r="U68" s="35" t="n">
        <x:v>1</x:v>
      </x:c>
      <x:c r="V68" s="35" t="n">
        <x:v>9</x:v>
      </x:c>
      <x:c r="W68" s="35" t="n">
        <x:v>3</x:v>
      </x:c>
      <x:c r="X68" s="35" t="n">
        <x:v>51</x:v>
      </x:c>
      <x:c r="Y68" s="35" t="n">
        <x:v>5</x:v>
      </x:c>
      <x:c r="Z68" s="35" t="n">
        <x:v>100</x:v>
      </x:c>
      <x:c r="AA68" s="35" t="n">
        <x:v>4</x:v>
      </x:c>
      <x:c r="AB68" s="35" t="n">
        <x:v>3</x:v>
      </x:c>
      <x:c r="AC68" s="35" t="n">
        <x:v>3</x:v>
      </x:c>
      <x:c r="AD68" s="35" t="n">
        <x:v>72</x:v>
      </x:c>
      <x:c r="AE68" s="35" t="n">
        <x:v>60</x:v>
      </x:c>
      <x:c r="AF68" s="35" t="n">
        <x:v>85</x:v>
      </x:c>
      <x:c r="AG68" s="35" t="n">
        <x:v>93</x:v>
      </x:c>
      <x:c r="AH68" s="35" t="n">
        <x:v>5</x:v>
      </x:c>
      <x:c r="AI68" s="37" t="n">
        <x:v>100</x:v>
      </x:c>
      <x:c r="AJ68" s="37" t="n">
        <x:v>83.7</x:v>
      </x:c>
      <x:c r="AK68" s="35" t="str">
        <x:v>No</x:v>
      </x:c>
      <x:c r="AL68" s="38" t="n">
        <x:f>IF(AA68=0,0,AB68/AA68)</x:f>
        <x:v>0.75</x:v>
      </x:c>
      <x:c r="AM68" s="38" t="n">
        <x:f>IF(AB68=0,0,AC68/AB68)</x:f>
        <x:v>1</x:v>
      </x:c>
      <x:c r="AN68" s="37" t="n">
        <x:f>ROUND((AD68*0.20+AE68*0.20+AF68*0.25+AG68*0.15+MIN(100,AC68*12)*0.20),1)</x:f>
        <x:v>68.8</x:v>
      </x:c>
      <x:c r="AO68" s="37" t="n">
        <x:f>ROUND(MAX(0,MIN(100,(X68*0.35)+(W68/45*100*0.20)+((5-O68)/4*100*0.15)+((5-P68)/4*100*0.10)+((6-Y68)/5*100*0.10)+((100-Z68)*0.10))),1)</x:f>
        <x:v>33.7</x:v>
      </x:c>
      <x:c r="AP68" s="37" t="str">
        <x:f>IF(AO68&gt;=70,"High",IF(AO68&gt;=40,"Moderate","Low"))</x:f>
        <x:v>Low</x:v>
      </x:c>
      <x:c r="AQ68" s="37" t="n">
        <x:f>ROUND(MAX(0,MIN(100,(O68/4*100*0.25)+(P68/4*100*0.20)+(Q68/4*100*0.15)+(Y68/5*100*0.20)+(100-AO68)*0.20)),1)</x:f>
        <x:v>82</x:v>
      </x:c>
      <x:c r="AR68" s="37" t="n">
        <x:f>ROUND((AI68*0.20+AJ68*0.15+AN68*0.18+AG68*0.12+Z68*0.15+AQ68*0.20),1)</x:f>
        <x:v>87.5</x:v>
      </x:c>
      <x:c r="AS68" s="39" t="n">
        <x:f>ROUND((AC68*AF68*120)+(AH68*350)+(MAX(0,AI68-75)*220)+(MAX(0,AQ68-60)*100),0)</x:f>
        <x:v>40050</x:v>
      </x:c>
    </x:row>
    <x:row r="69">
      <x:c r="A69" s="35" t="n">
        <x:v>68</x:v>
      </x:c>
      <x:c r="B69" s="35" t="n">
        <x:v>21</x:v>
      </x:c>
      <x:c r="C69" s="35" t="str">
        <x:v>Female</x:v>
      </x:c>
      <x:c r="D69" s="35" t="str">
        <x:v>Sales</x:v>
      </x:c>
      <x:c r="E69" s="35" t="str">
        <x:v>Sales Representative</x:v>
      </x:c>
      <x:c r="F69" s="35" t="str">
        <x:v>Technical Degree</x:v>
      </x:c>
      <x:c r="G69" s="35" t="str">
        <x:v>Married</x:v>
      </x:c>
      <x:c r="H69" s="35" t="n">
        <x:v>1</x:v>
      </x:c>
      <x:c r="I69" s="36" t="n">
        <x:v>4450</x:v>
      </x:c>
      <x:c r="J69" s="35" t="n">
        <x:v>0</x:v>
      </x:c>
      <x:c r="K69" s="35" t="n">
        <x:v>0</x:v>
      </x:c>
      <x:c r="L69" s="35" t="n">
        <x:v>0</x:v>
      </x:c>
      <x:c r="M69" s="35" t="n">
        <x:v>23</x:v>
      </x:c>
      <x:c r="N69" s="35" t="str">
        <x:v>No</x:v>
      </x:c>
      <x:c r="O69" s="35" t="n">
        <x:v>3</x:v>
      </x:c>
      <x:c r="P69" s="35" t="n">
        <x:v>3</x:v>
      </x:c>
      <x:c r="Q69" s="35" t="n">
        <x:v>3</x:v>
      </x:c>
      <x:c r="R69" s="35" t="n">
        <x:v>3</x:v>
      </x:c>
      <x:c r="S69" s="35" t="n">
        <x:v>4</x:v>
      </x:c>
      <x:c r="T69" s="35" t="n">
        <x:v>4</x:v>
      </x:c>
      <x:c r="U69" s="35" t="n">
        <x:v>0</x:v>
      </x:c>
      <x:c r="V69" s="35" t="n">
        <x:v>9</x:v>
      </x:c>
      <x:c r="W69" s="35" t="n">
        <x:v>12</x:v>
      </x:c>
      <x:c r="X69" s="35" t="n">
        <x:v>56</x:v>
      </x:c>
      <x:c r="Y69" s="35" t="n">
        <x:v>5</x:v>
      </x:c>
      <x:c r="Z69" s="35" t="n">
        <x:v>100</x:v>
      </x:c>
      <x:c r="AA69" s="35" t="n">
        <x:v>9</x:v>
      </x:c>
      <x:c r="AB69" s="35" t="n">
        <x:v>7</x:v>
      </x:c>
      <x:c r="AC69" s="35" t="n">
        <x:v>4</x:v>
      </x:c>
      <x:c r="AD69" s="35" t="n">
        <x:v>83</x:v>
      </x:c>
      <x:c r="AE69" s="35" t="n">
        <x:v>92</x:v>
      </x:c>
      <x:c r="AF69" s="35" t="n">
        <x:v>72</x:v>
      </x:c>
      <x:c r="AG69" s="35" t="n">
        <x:v>89</x:v>
      </x:c>
      <x:c r="AH69" s="35" t="n">
        <x:v>8</x:v>
      </x:c>
      <x:c r="AI69" s="37" t="n">
        <x:v>100</x:v>
      </x:c>
      <x:c r="AJ69" s="37" t="n">
        <x:v>100</x:v>
      </x:c>
      <x:c r="AK69" s="35" t="str">
        <x:v>No</x:v>
      </x:c>
      <x:c r="AL69" s="38" t="n">
        <x:f>IF(AA69=0,0,AB69/AA69)</x:f>
        <x:v>0.7777777777777778</x:v>
      </x:c>
      <x:c r="AM69" s="38" t="n">
        <x:f>IF(AB69=0,0,AC69/AB69)</x:f>
        <x:v>0.5714285714285714</x:v>
      </x:c>
      <x:c r="AN69" s="37" t="n">
        <x:f>ROUND((AD69*0.20+AE69*0.20+AF69*0.25+AG69*0.15+MIN(100,AC69*12)*0.20),1)</x:f>
        <x:v>75.9</x:v>
      </x:c>
      <x:c r="AO69" s="37" t="n">
        <x:f>ROUND(MAX(0,MIN(100,(X69*0.35)+(W69/45*100*0.20)+((5-O69)/4*100*0.15)+((5-P69)/4*100*0.10)+((6-Y69)/5*100*0.10)+((100-Z69)*0.10))),1)</x:f>
        <x:v>39.4</x:v>
      </x:c>
      <x:c r="AP69" s="37" t="str">
        <x:f>IF(AO69&gt;=70,"High",IF(AO69&gt;=40,"Moderate","Low"))</x:f>
        <x:v>Low</x:v>
      </x:c>
      <x:c r="AQ69" s="37" t="n">
        <x:f>ROUND(MAX(0,MIN(100,(O69/4*100*0.25)+(P69/4*100*0.20)+(Q69/4*100*0.15)+(Y69/5*100*0.20)+(100-AO69)*0.20)),1)</x:f>
        <x:v>77.1</x:v>
      </x:c>
      <x:c r="AR69" s="37" t="n">
        <x:f>ROUND((AI69*0.20+AJ69*0.15+AN69*0.18+AG69*0.12+Z69*0.15+AQ69*0.20),1)</x:f>
        <x:v>89.8</x:v>
      </x:c>
      <x:c r="AS69" s="39" t="n">
        <x:f>ROUND((AC69*AF69*120)+(AH69*350)+(MAX(0,AI69-75)*220)+(MAX(0,AQ69-60)*100),0)</x:f>
        <x:v>44570</x:v>
      </x:c>
    </x:row>
    <x:row r="70">
      <x:c r="A70" s="35" t="n">
        <x:v>69</x:v>
      </x:c>
      <x:c r="B70" s="35" t="n">
        <x:v>35</x:v>
      </x:c>
      <x:c r="C70" s="35" t="str">
        <x:v>Male</x:v>
      </x:c>
      <x:c r="D70" s="35" t="str">
        <x:v>Research &amp; Development</x:v>
      </x:c>
      <x:c r="E70" s="35" t="str">
        <x:v>R&amp;D Manager</x:v>
      </x:c>
      <x:c r="F70" s="35" t="str">
        <x:v>Technical Degree</x:v>
      </x:c>
      <x:c r="G70" s="35" t="str">
        <x:v>Single</x:v>
      </x:c>
      <x:c r="H70" s="35" t="n">
        <x:v>2</x:v>
      </x:c>
      <x:c r="I70" s="36" t="n">
        <x:v>8460</x:v>
      </x:c>
      <x:c r="J70" s="35" t="n">
        <x:v>9</x:v>
      </x:c>
      <x:c r="K70" s="35" t="n">
        <x:v>3</x:v>
      </x:c>
      <x:c r="L70" s="35" t="n">
        <x:v>1</x:v>
      </x:c>
      <x:c r="M70" s="35" t="n">
        <x:v>6</x:v>
      </x:c>
      <x:c r="N70" s="35" t="str">
        <x:v>No</x:v>
      </x:c>
      <x:c r="O70" s="35" t="n">
        <x:v>3</x:v>
      </x:c>
      <x:c r="P70" s="35" t="n">
        <x:v>3</x:v>
      </x:c>
      <x:c r="Q70" s="35" t="n">
        <x:v>4</x:v>
      </x:c>
      <x:c r="R70" s="35" t="n">
        <x:v>4</x:v>
      </x:c>
      <x:c r="S70" s="35" t="n">
        <x:v>3</x:v>
      </x:c>
      <x:c r="T70" s="35" t="n">
        <x:v>3</x:v>
      </x:c>
      <x:c r="U70" s="35" t="n">
        <x:v>0</x:v>
      </x:c>
      <x:c r="V70" s="35" t="n">
        <x:v>13</x:v>
      </x:c>
      <x:c r="W70" s="35" t="n">
        <x:v>14</x:v>
      </x:c>
      <x:c r="X70" s="35" t="n">
        <x:v>70</x:v>
      </x:c>
      <x:c r="Y70" s="35" t="n">
        <x:v>5</x:v>
      </x:c>
      <x:c r="Z70" s="35" t="n">
        <x:v>100</x:v>
      </x:c>
      <x:c r="AA70" s="35" t="n">
        <x:v>10</x:v>
      </x:c>
      <x:c r="AB70" s="35" t="n">
        <x:v>9</x:v>
      </x:c>
      <x:c r="AC70" s="35" t="n">
        <x:v>6</x:v>
      </x:c>
      <x:c r="AD70" s="35" t="n">
        <x:v>97</x:v>
      </x:c>
      <x:c r="AE70" s="35" t="n">
        <x:v>73</x:v>
      </x:c>
      <x:c r="AF70" s="35" t="n">
        <x:v>100</x:v>
      </x:c>
      <x:c r="AG70" s="35" t="n">
        <x:v>92</x:v>
      </x:c>
      <x:c r="AH70" s="35" t="n">
        <x:v>9</x:v>
      </x:c>
      <x:c r="AI70" s="37" t="n">
        <x:v>100</x:v>
      </x:c>
      <x:c r="AJ70" s="37" t="n">
        <x:v>95.1</x:v>
      </x:c>
      <x:c r="AK70" s="35" t="str">
        <x:v>No</x:v>
      </x:c>
      <x:c r="AL70" s="38" t="n">
        <x:f>IF(AA70=0,0,AB70/AA70)</x:f>
        <x:v>0.9</x:v>
      </x:c>
      <x:c r="AM70" s="38" t="n">
        <x:f>IF(AB70=0,0,AC70/AB70)</x:f>
        <x:v>0.6666666666666666</x:v>
      </x:c>
      <x:c r="AN70" s="37" t="n">
        <x:f>ROUND((AD70*0.20+AE70*0.20+AF70*0.25+AG70*0.15+MIN(100,AC70*12)*0.20),1)</x:f>
        <x:v>87.2</x:v>
      </x:c>
      <x:c r="AO70" s="37" t="n">
        <x:f>ROUND(MAX(0,MIN(100,(X70*0.35)+(W70/45*100*0.20)+((5-O70)/4*100*0.15)+((5-P70)/4*100*0.10)+((6-Y70)/5*100*0.10)+((100-Z70)*0.10))),1)</x:f>
        <x:v>45.2</x:v>
      </x:c>
      <x:c r="AP70" s="37" t="str">
        <x:f>IF(AO70&gt;=70,"High",IF(AO70&gt;=40,"Moderate","Low"))</x:f>
        <x:v>Moderate</x:v>
      </x:c>
      <x:c r="AQ70" s="37" t="n">
        <x:f>ROUND(MAX(0,MIN(100,(O70/4*100*0.25)+(P70/4*100*0.20)+(Q70/4*100*0.15)+(Y70/5*100*0.20)+(100-AO70)*0.20)),1)</x:f>
        <x:v>79.7</x:v>
      </x:c>
      <x:c r="AR70" s="37" t="n">
        <x:f>ROUND((AI70*0.20+AJ70*0.15+AN70*0.18+AG70*0.12+Z70*0.15+AQ70*0.20),1)</x:f>
        <x:v>91.9</x:v>
      </x:c>
      <x:c r="AS70" s="39" t="n">
        <x:f>ROUND((AC70*AF70*120)+(AH70*350)+(MAX(0,AI70-75)*220)+(MAX(0,AQ70-60)*100),0)</x:f>
        <x:v>82620</x:v>
      </x:c>
    </x:row>
    <x:row r="71">
      <x:c r="A71" s="35" t="n">
        <x:v>70</x:v>
      </x:c>
      <x:c r="B71" s="35" t="n">
        <x:v>47</x:v>
      </x:c>
      <x:c r="C71" s="35" t="str">
        <x:v>Male</x:v>
      </x:c>
      <x:c r="D71" s="35" t="str">
        <x:v>Finance</x:v>
      </x:c>
      <x:c r="E71" s="35" t="str">
        <x:v>Accountant</x:v>
      </x:c>
      <x:c r="F71" s="35" t="str">
        <x:v>Medical</x:v>
      </x:c>
      <x:c r="G71" s="35" t="str">
        <x:v>Married</x:v>
      </x:c>
      <x:c r="H71" s="35" t="n">
        <x:v>3</x:v>
      </x:c>
      <x:c r="I71" s="36" t="n">
        <x:v>13810</x:v>
      </x:c>
      <x:c r="J71" s="35" t="n">
        <x:v>19</x:v>
      </x:c>
      <x:c r="K71" s="35" t="n">
        <x:v>6</x:v>
      </x:c>
      <x:c r="L71" s="35" t="n">
        <x:v>3</x:v>
      </x:c>
      <x:c r="M71" s="35" t="n">
        <x:v>2</x:v>
      </x:c>
      <x:c r="N71" s="35" t="str">
        <x:v>No</x:v>
      </x:c>
      <x:c r="O71" s="35" t="n">
        <x:v>3</x:v>
      </x:c>
      <x:c r="P71" s="35" t="n">
        <x:v>2</x:v>
      </x:c>
      <x:c r="Q71" s="35" t="n">
        <x:v>2</x:v>
      </x:c>
      <x:c r="R71" s="35" t="n">
        <x:v>3</x:v>
      </x:c>
      <x:c r="S71" s="35" t="n">
        <x:v>3</x:v>
      </x:c>
      <x:c r="T71" s="35" t="n">
        <x:v>4</x:v>
      </x:c>
      <x:c r="U71" s="35" t="n">
        <x:v>1</x:v>
      </x:c>
      <x:c r="V71" s="35" t="n">
        <x:v>10</x:v>
      </x:c>
      <x:c r="W71" s="35" t="n">
        <x:v>7</x:v>
      </x:c>
      <x:c r="X71" s="35" t="n">
        <x:v>64</x:v>
      </x:c>
      <x:c r="Y71" s="35" t="n">
        <x:v>5</x:v>
      </x:c>
      <x:c r="Z71" s="35" t="n">
        <x:v>100</x:v>
      </x:c>
      <x:c r="AA71" s="35" t="n">
        <x:v>4</x:v>
      </x:c>
      <x:c r="AB71" s="35" t="n">
        <x:v>2</x:v>
      </x:c>
      <x:c r="AC71" s="35" t="n">
        <x:v>1</x:v>
      </x:c>
      <x:c r="AD71" s="35" t="n">
        <x:v>61</x:v>
      </x:c>
      <x:c r="AE71" s="35" t="n">
        <x:v>59</x:v>
      </x:c>
      <x:c r="AF71" s="35" t="n">
        <x:v>97</x:v>
      </x:c>
      <x:c r="AG71" s="35" t="n">
        <x:v>100</x:v>
      </x:c>
      <x:c r="AH71" s="35" t="n">
        <x:v>6</x:v>
      </x:c>
      <x:c r="AI71" s="37" t="n">
        <x:v>99.8</x:v>
      </x:c>
      <x:c r="AJ71" s="37" t="n">
        <x:v>95.9</x:v>
      </x:c>
      <x:c r="AK71" s="35" t="str">
        <x:v>No</x:v>
      </x:c>
      <x:c r="AL71" s="38" t="n">
        <x:f>IF(AA71=0,0,AB71/AA71)</x:f>
        <x:v>0.5</x:v>
      </x:c>
      <x:c r="AM71" s="38" t="n">
        <x:f>IF(AB71=0,0,AC71/AB71)</x:f>
        <x:v>0.5</x:v>
      </x:c>
      <x:c r="AN71" s="37" t="n">
        <x:f>ROUND((AD71*0.20+AE71*0.20+AF71*0.25+AG71*0.15+MIN(100,AC71*12)*0.20),1)</x:f>
        <x:v>65.7</x:v>
      </x:c>
      <x:c r="AO71" s="37" t="n">
        <x:f>ROUND(MAX(0,MIN(100,(X71*0.35)+(W71/45*100*0.20)+((5-O71)/4*100*0.15)+((5-P71)/4*100*0.10)+((6-Y71)/5*100*0.10)+((100-Z71)*0.10))),1)</x:f>
        <x:v>42.5</x:v>
      </x:c>
      <x:c r="AP71" s="37" t="str">
        <x:f>IF(AO71&gt;=70,"High",IF(AO71&gt;=40,"Moderate","Low"))</x:f>
        <x:v>Moderate</x:v>
      </x:c>
      <x:c r="AQ71" s="37" t="n">
        <x:f>ROUND(MAX(0,MIN(100,(O71/4*100*0.25)+(P71/4*100*0.20)+(Q71/4*100*0.15)+(Y71/5*100*0.20)+(100-AO71)*0.20)),1)</x:f>
        <x:v>67.8</x:v>
      </x:c>
      <x:c r="AR71" s="37" t="n">
        <x:f>ROUND((AI71*0.20+AJ71*0.15+AN71*0.18+AG71*0.12+Z71*0.15+AQ71*0.20),1)</x:f>
        <x:v>86.7</x:v>
      </x:c>
      <x:c r="AS71" s="39" t="n">
        <x:f>ROUND((AC71*AF71*120)+(AH71*350)+(MAX(0,AI71-75)*220)+(MAX(0,AQ71-60)*100),0)</x:f>
        <x:v>19976</x:v>
      </x:c>
    </x:row>
    <x:row r="72">
      <x:c r="A72" s="35" t="n">
        <x:v>71</x:v>
      </x:c>
      <x:c r="B72" s="35" t="n">
        <x:v>24</x:v>
      </x:c>
      <x:c r="C72" s="35" t="str">
        <x:v>Male</x:v>
      </x:c>
      <x:c r="D72" s="35" t="str">
        <x:v>Finance</x:v>
      </x:c>
      <x:c r="E72" s="35" t="str">
        <x:v>Financial Analyst</x:v>
      </x:c>
      <x:c r="F72" s="35" t="str">
        <x:v>Medical</x:v>
      </x:c>
      <x:c r="G72" s="35" t="str">
        <x:v>Married</x:v>
      </x:c>
      <x:c r="H72" s="35" t="n">
        <x:v>1</x:v>
      </x:c>
      <x:c r="I72" s="36" t="n">
        <x:v>5700</x:v>
      </x:c>
      <x:c r="J72" s="35" t="n">
        <x:v>1</x:v>
      </x:c>
      <x:c r="K72" s="35" t="n">
        <x:v>0</x:v>
      </x:c>
      <x:c r="L72" s="35" t="n">
        <x:v>0</x:v>
      </x:c>
      <x:c r="M72" s="35" t="n">
        <x:v>11</x:v>
      </x:c>
      <x:c r="N72" s="35" t="str">
        <x:v>Yes</x:v>
      </x:c>
      <x:c r="O72" s="35" t="n">
        <x:v>2</x:v>
      </x:c>
      <x:c r="P72" s="35" t="n">
        <x:v>2</x:v>
      </x:c>
      <x:c r="Q72" s="35" t="n">
        <x:v>2</x:v>
      </x:c>
      <x:c r="R72" s="35" t="n">
        <x:v>4</x:v>
      </x:c>
      <x:c r="S72" s="35" t="n">
        <x:v>3</x:v>
      </x:c>
      <x:c r="T72" s="35" t="n">
        <x:v>6</x:v>
      </x:c>
      <x:c r="U72" s="35" t="n">
        <x:v>0</x:v>
      </x:c>
      <x:c r="V72" s="35" t="n">
        <x:v>4</x:v>
      </x:c>
      <x:c r="W72" s="35" t="n">
        <x:v>20</x:v>
      </x:c>
      <x:c r="X72" s="35" t="n">
        <x:v>88</x:v>
      </x:c>
      <x:c r="Y72" s="35" t="n">
        <x:v>3</x:v>
      </x:c>
      <x:c r="Z72" s="35" t="n">
        <x:v>97</x:v>
      </x:c>
      <x:c r="AA72" s="35" t="n">
        <x:v>8</x:v>
      </x:c>
      <x:c r="AB72" s="35" t="n">
        <x:v>5</x:v>
      </x:c>
      <x:c r="AC72" s="35" t="n">
        <x:v>3</x:v>
      </x:c>
      <x:c r="AD72" s="35" t="n">
        <x:v>73</x:v>
      </x:c>
      <x:c r="AE72" s="35" t="n">
        <x:v>66</x:v>
      </x:c>
      <x:c r="AF72" s="35" t="n">
        <x:v>69</x:v>
      </x:c>
      <x:c r="AG72" s="35" t="n">
        <x:v>100</x:v>
      </x:c>
      <x:c r="AH72" s="35" t="n">
        <x:v>3</x:v>
      </x:c>
      <x:c r="AI72" s="37" t="n">
        <x:v>100</x:v>
      </x:c>
      <x:c r="AJ72" s="37" t="n">
        <x:v>95.1</x:v>
      </x:c>
      <x:c r="AK72" s="35" t="str">
        <x:v>No</x:v>
      </x:c>
      <x:c r="AL72" s="38" t="n">
        <x:f>IF(AA72=0,0,AB72/AA72)</x:f>
        <x:v>0.625</x:v>
      </x:c>
      <x:c r="AM72" s="38" t="n">
        <x:f>IF(AB72=0,0,AC72/AB72)</x:f>
        <x:v>0.6</x:v>
      </x:c>
      <x:c r="AN72" s="37" t="n">
        <x:f>ROUND((AD72*0.20+AE72*0.20+AF72*0.25+AG72*0.15+MIN(100,AC72*12)*0.20),1)</x:f>
        <x:v>67.3</x:v>
      </x:c>
      <x:c r="AO72" s="37" t="n">
        <x:f>ROUND(MAX(0,MIN(100,(X72*0.35)+(W72/45*100*0.20)+((5-O72)/4*100*0.15)+((5-P72)/4*100*0.10)+((6-Y72)/5*100*0.10)+((100-Z72)*0.10))),1)</x:f>
        <x:v>64.7</x:v>
      </x:c>
      <x:c r="AP72" s="37" t="str">
        <x:f>IF(AO72&gt;=70,"High",IF(AO72&gt;=40,"Moderate","Low"))</x:f>
        <x:v>Moderate</x:v>
      </x:c>
      <x:c r="AQ72" s="37" t="n">
        <x:f>ROUND(MAX(0,MIN(100,(O72/4*100*0.25)+(P72/4*100*0.20)+(Q72/4*100*0.15)+(Y72/5*100*0.20)+(100-AO72)*0.20)),1)</x:f>
        <x:v>49.1</x:v>
      </x:c>
      <x:c r="AR72" s="37" t="n">
        <x:f>ROUND((AI72*0.20+AJ72*0.15+AN72*0.18+AG72*0.12+Z72*0.15+AQ72*0.20),1)</x:f>
        <x:v>82.7</x:v>
      </x:c>
      <x:c r="AS72" s="39" t="n">
        <x:f>ROUND((AC72*AF72*120)+(AH72*350)+(MAX(0,AI72-75)*220)+(MAX(0,AQ72-60)*100),0)</x:f>
        <x:v>31390</x:v>
      </x:c>
    </x:row>
    <x:row r="73">
      <x:c r="A73" s="35" t="n">
        <x:v>72</x:v>
      </x:c>
      <x:c r="B73" s="35" t="n">
        <x:v>31</x:v>
      </x:c>
      <x:c r="C73" s="35" t="str">
        <x:v>Female</x:v>
      </x:c>
      <x:c r="D73" s="35" t="str">
        <x:v>Information Technology</x:v>
      </x:c>
      <x:c r="E73" s="35" t="str">
        <x:v>IT Support</x:v>
      </x:c>
      <x:c r="F73" s="35" t="str">
        <x:v>Life Sciences</x:v>
      </x:c>
      <x:c r="G73" s="35" t="str">
        <x:v>Married</x:v>
      </x:c>
      <x:c r="H73" s="35" t="n">
        <x:v>1</x:v>
      </x:c>
      <x:c r="I73" s="36" t="n">
        <x:v>4940</x:v>
      </x:c>
      <x:c r="J73" s="35" t="n">
        <x:v>6</x:v>
      </x:c>
      <x:c r="K73" s="35" t="n">
        <x:v>3</x:v>
      </x:c>
      <x:c r="L73" s="35" t="n">
        <x:v>2</x:v>
      </x:c>
      <x:c r="M73" s="35" t="n">
        <x:v>4</x:v>
      </x:c>
      <x:c r="N73" s="35" t="str">
        <x:v>No</x:v>
      </x:c>
      <x:c r="O73" s="35" t="n">
        <x:v>3</x:v>
      </x:c>
      <x:c r="P73" s="35" t="n">
        <x:v>3</x:v>
      </x:c>
      <x:c r="Q73" s="35" t="n">
        <x:v>2</x:v>
      </x:c>
      <x:c r="R73" s="35" t="n">
        <x:v>2</x:v>
      </x:c>
      <x:c r="S73" s="35" t="n">
        <x:v>3</x:v>
      </x:c>
      <x:c r="T73" s="35" t="n">
        <x:v>4</x:v>
      </x:c>
      <x:c r="U73" s="35" t="n">
        <x:v>0</x:v>
      </x:c>
      <x:c r="V73" s="35" t="n">
        <x:v>6</x:v>
      </x:c>
      <x:c r="W73" s="35" t="n">
        <x:v>6</x:v>
      </x:c>
      <x:c r="X73" s="35" t="n">
        <x:v>60</x:v>
      </x:c>
      <x:c r="Y73" s="35" t="n">
        <x:v>5</x:v>
      </x:c>
      <x:c r="Z73" s="35" t="n">
        <x:v>87</x:v>
      </x:c>
      <x:c r="AA73" s="35" t="n">
        <x:v>6</x:v>
      </x:c>
      <x:c r="AB73" s="35" t="n">
        <x:v>3</x:v>
      </x:c>
      <x:c r="AC73" s="35" t="n">
        <x:v>3</x:v>
      </x:c>
      <x:c r="AD73" s="35" t="n">
        <x:v>86</x:v>
      </x:c>
      <x:c r="AE73" s="35" t="n">
        <x:v>88</x:v>
      </x:c>
      <x:c r="AF73" s="35" t="n">
        <x:v>82</x:v>
      </x:c>
      <x:c r="AG73" s="35" t="n">
        <x:v>70</x:v>
      </x:c>
      <x:c r="AH73" s="35" t="n">
        <x:v>7</x:v>
      </x:c>
      <x:c r="AI73" s="37" t="n">
        <x:v>100</x:v>
      </x:c>
      <x:c r="AJ73" s="37" t="n">
        <x:v>96.9</x:v>
      </x:c>
      <x:c r="AK73" s="35" t="str">
        <x:v>No</x:v>
      </x:c>
      <x:c r="AL73" s="38" t="n">
        <x:f>IF(AA73=0,0,AB73/AA73)</x:f>
        <x:v>0.5</x:v>
      </x:c>
      <x:c r="AM73" s="38" t="n">
        <x:f>IF(AB73=0,0,AC73/AB73)</x:f>
        <x:v>1</x:v>
      </x:c>
      <x:c r="AN73" s="37" t="n">
        <x:f>ROUND((AD73*0.20+AE73*0.20+AF73*0.25+AG73*0.15+MIN(100,AC73*12)*0.20),1)</x:f>
        <x:v>73</x:v>
      </x:c>
      <x:c r="AO73" s="37" t="n">
        <x:f>ROUND(MAX(0,MIN(100,(X73*0.35)+(W73/45*100*0.20)+((5-O73)/4*100*0.15)+((5-P73)/4*100*0.10)+((6-Y73)/5*100*0.10)+((100-Z73)*0.10))),1)</x:f>
        <x:v>39.5</x:v>
      </x:c>
      <x:c r="AP73" s="37" t="str">
        <x:f>IF(AO73&gt;=70,"High",IF(AO73&gt;=40,"Moderate","Low"))</x:f>
        <x:v>Low</x:v>
      </x:c>
      <x:c r="AQ73" s="37" t="n">
        <x:f>ROUND(MAX(0,MIN(100,(O73/4*100*0.25)+(P73/4*100*0.20)+(Q73/4*100*0.15)+(Y73/5*100*0.20)+(100-AO73)*0.20)),1)</x:f>
        <x:v>73.4</x:v>
      </x:c>
      <x:c r="AR73" s="37" t="n">
        <x:f>ROUND((AI73*0.20+AJ73*0.15+AN73*0.18+AG73*0.12+Z73*0.15+AQ73*0.20),1)</x:f>
        <x:v>83.8</x:v>
      </x:c>
      <x:c r="AS73" s="39" t="n">
        <x:f>ROUND((AC73*AF73*120)+(AH73*350)+(MAX(0,AI73-75)*220)+(MAX(0,AQ73-60)*100),0)</x:f>
        <x:v>38810</x:v>
      </x:c>
    </x:row>
    <x:row r="74">
      <x:c r="A74" s="35" t="n">
        <x:v>73</x:v>
      </x:c>
      <x:c r="B74" s="35" t="n">
        <x:v>40</x:v>
      </x:c>
      <x:c r="C74" s="35" t="str">
        <x:v>Male</x:v>
      </x:c>
      <x:c r="D74" s="35" t="str">
        <x:v>Finance</x:v>
      </x:c>
      <x:c r="E74" s="35" t="str">
        <x:v>Accountant</x:v>
      </x:c>
      <x:c r="F74" s="35" t="str">
        <x:v>Computer Science</x:v>
      </x:c>
      <x:c r="G74" s="35" t="str">
        <x:v>Married</x:v>
      </x:c>
      <x:c r="H74" s="35" t="n">
        <x:v>3</x:v>
      </x:c>
      <x:c r="I74" s="36" t="n">
        <x:v>14190</x:v>
      </x:c>
      <x:c r="J74" s="35" t="n">
        <x:v>10</x:v>
      </x:c>
      <x:c r="K74" s="35" t="n">
        <x:v>4</x:v>
      </x:c>
      <x:c r="L74" s="35" t="n">
        <x:v>3</x:v>
      </x:c>
      <x:c r="M74" s="35" t="n">
        <x:v>7</x:v>
      </x:c>
      <x:c r="N74" s="35" t="str">
        <x:v>No</x:v>
      </x:c>
      <x:c r="O74" s="35" t="n">
        <x:v>3</x:v>
      </x:c>
      <x:c r="P74" s="35" t="n">
        <x:v>3</x:v>
      </x:c>
      <x:c r="Q74" s="35" t="n">
        <x:v>4</x:v>
      </x:c>
      <x:c r="R74" s="35" t="n">
        <x:v>3</x:v>
      </x:c>
      <x:c r="S74" s="35" t="n">
        <x:v>3</x:v>
      </x:c>
      <x:c r="T74" s="35" t="n">
        <x:v>2</x:v>
      </x:c>
      <x:c r="U74" s="35" t="n">
        <x:v>2</x:v>
      </x:c>
      <x:c r="V74" s="35" t="n">
        <x:v>10</x:v>
      </x:c>
      <x:c r="W74" s="35" t="n">
        <x:v>14</x:v>
      </x:c>
      <x:c r="X74" s="35" t="n">
        <x:v>55</x:v>
      </x:c>
      <x:c r="Y74" s="35" t="n">
        <x:v>4</x:v>
      </x:c>
      <x:c r="Z74" s="35" t="n">
        <x:v>96</x:v>
      </x:c>
      <x:c r="AA74" s="35" t="n">
        <x:v>2</x:v>
      </x:c>
      <x:c r="AB74" s="35" t="n">
        <x:v>1</x:v>
      </x:c>
      <x:c r="AC74" s="35" t="n">
        <x:v>0</x:v>
      </x:c>
      <x:c r="AD74" s="35" t="n">
        <x:v>50</x:v>
      </x:c>
      <x:c r="AE74" s="35" t="n">
        <x:v>65</x:v>
      </x:c>
      <x:c r="AF74" s="35" t="n">
        <x:v>66</x:v>
      </x:c>
      <x:c r="AG74" s="35" t="n">
        <x:v>83</x:v>
      </x:c>
      <x:c r="AH74" s="35" t="n">
        <x:v>8</x:v>
      </x:c>
      <x:c r="AI74" s="37" t="n">
        <x:v>98.5</x:v>
      </x:c>
      <x:c r="AJ74" s="37" t="n">
        <x:v>95.9</x:v>
      </x:c>
      <x:c r="AK74" s="35" t="str">
        <x:v>No</x:v>
      </x:c>
      <x:c r="AL74" s="38" t="n">
        <x:f>IF(AA74=0,0,AB74/AA74)</x:f>
        <x:v>0.5</x:v>
      </x:c>
      <x:c r="AM74" s="38" t="n">
        <x:f>IF(AB74=0,0,AC74/AB74)</x:f>
        <x:v>0</x:v>
      </x:c>
      <x:c r="AN74" s="37" t="n">
        <x:f>ROUND((AD74*0.20+AE74*0.20+AF74*0.25+AG74*0.15+MIN(100,AC74*12)*0.20),1)</x:f>
        <x:v>52</x:v>
      </x:c>
      <x:c r="AO74" s="37" t="n">
        <x:f>ROUND(MAX(0,MIN(100,(X74*0.35)+(W74/45*100*0.20)+((5-O74)/4*100*0.15)+((5-P74)/4*100*0.10)+((6-Y74)/5*100*0.10)+((100-Z74)*0.10))),1)</x:f>
        <x:v>42.4</x:v>
      </x:c>
      <x:c r="AP74" s="37" t="str">
        <x:f>IF(AO74&gt;=70,"High",IF(AO74&gt;=40,"Moderate","Low"))</x:f>
        <x:v>Moderate</x:v>
      </x:c>
      <x:c r="AQ74" s="37" t="n">
        <x:f>ROUND(MAX(0,MIN(100,(O74/4*100*0.25)+(P74/4*100*0.20)+(Q74/4*100*0.15)+(Y74/5*100*0.20)+(100-AO74)*0.20)),1)</x:f>
        <x:v>76.3</x:v>
      </x:c>
      <x:c r="AR74" s="37" t="n">
        <x:f>ROUND((AI74*0.20+AJ74*0.15+AN74*0.18+AG74*0.12+Z74*0.15+AQ74*0.20),1)</x:f>
        <x:v>83.1</x:v>
      </x:c>
      <x:c r="AS74" s="39" t="n">
        <x:f>ROUND((AC74*AF74*120)+(AH74*350)+(MAX(0,AI74-75)*220)+(MAX(0,AQ74-60)*100),0)</x:f>
        <x:v>9600</x:v>
      </x:c>
    </x:row>
    <x:row r="75">
      <x:c r="A75" s="35" t="n">
        <x:v>74</x:v>
      </x:c>
      <x:c r="B75" s="35" t="n">
        <x:v>31</x:v>
      </x:c>
      <x:c r="C75" s="35" t="str">
        <x:v>Male</x:v>
      </x:c>
      <x:c r="D75" s="35" t="str">
        <x:v>Human Resources</x:v>
      </x:c>
      <x:c r="E75" s="35" t="str">
        <x:v>HR Specialist</x:v>
      </x:c>
      <x:c r="F75" s="35" t="str">
        <x:v>Medical</x:v>
      </x:c>
      <x:c r="G75" s="35" t="str">
        <x:v>Single</x:v>
      </x:c>
      <x:c r="H75" s="35" t="n">
        <x:v>1</x:v>
      </x:c>
      <x:c r="I75" s="36" t="n">
        <x:v>5360</x:v>
      </x:c>
      <x:c r="J75" s="35" t="n">
        <x:v>7</x:v>
      </x:c>
      <x:c r="K75" s="35" t="n">
        <x:v>5</x:v>
      </x:c>
      <x:c r="L75" s="35" t="n">
        <x:v>3</x:v>
      </x:c>
      <x:c r="M75" s="35" t="n">
        <x:v>3</x:v>
      </x:c>
      <x:c r="N75" s="35" t="str">
        <x:v>Yes</x:v>
      </x:c>
      <x:c r="O75" s="35" t="n">
        <x:v>3</x:v>
      </x:c>
      <x:c r="P75" s="35" t="n">
        <x:v>4</x:v>
      </x:c>
      <x:c r="Q75" s="35" t="n">
        <x:v>4</x:v>
      </x:c>
      <x:c r="R75" s="35" t="n">
        <x:v>3</x:v>
      </x:c>
      <x:c r="S75" s="35" t="n">
        <x:v>3</x:v>
      </x:c>
      <x:c r="T75" s="35" t="n">
        <x:v>2</x:v>
      </x:c>
      <x:c r="U75" s="35" t="n">
        <x:v>0</x:v>
      </x:c>
      <x:c r="V75" s="35" t="n">
        <x:v>6</x:v>
      </x:c>
      <x:c r="W75" s="35" t="n">
        <x:v>16</x:v>
      </x:c>
      <x:c r="X75" s="35" t="n">
        <x:v>54</x:v>
      </x:c>
      <x:c r="Y75" s="35" t="n">
        <x:v>5</x:v>
      </x:c>
      <x:c r="Z75" s="35" t="n">
        <x:v>100</x:v>
      </x:c>
      <x:c r="AA75" s="35" t="n">
        <x:v>4</x:v>
      </x:c>
      <x:c r="AB75" s="35" t="n">
        <x:v>3</x:v>
      </x:c>
      <x:c r="AC75" s="35" t="n">
        <x:v>3</x:v>
      </x:c>
      <x:c r="AD75" s="35" t="n">
        <x:v>77</x:v>
      </x:c>
      <x:c r="AE75" s="35" t="n">
        <x:v>72</x:v>
      </x:c>
      <x:c r="AF75" s="35" t="n">
        <x:v>55</x:v>
      </x:c>
      <x:c r="AG75" s="35" t="n">
        <x:v>95</x:v>
      </x:c>
      <x:c r="AH75" s="35" t="n">
        <x:v>6</x:v>
      </x:c>
      <x:c r="AI75" s="37" t="n">
        <x:v>86.1</x:v>
      </x:c>
      <x:c r="AJ75" s="37" t="n">
        <x:v>100</x:v>
      </x:c>
      <x:c r="AK75" s="35" t="str">
        <x:v>No</x:v>
      </x:c>
      <x:c r="AL75" s="38" t="n">
        <x:f>IF(AA75=0,0,AB75/AA75)</x:f>
        <x:v>0.75</x:v>
      </x:c>
      <x:c r="AM75" s="38" t="n">
        <x:f>IF(AB75=0,0,AC75/AB75)</x:f>
        <x:v>1</x:v>
      </x:c>
      <x:c r="AN75" s="37" t="n">
        <x:f>ROUND((AD75*0.20+AE75*0.20+AF75*0.25+AG75*0.15+MIN(100,AC75*12)*0.20),1)</x:f>
        <x:v>65</x:v>
      </x:c>
      <x:c r="AO75" s="37" t="n">
        <x:f>ROUND(MAX(0,MIN(100,(X75*0.35)+(W75/45*100*0.20)+((5-O75)/4*100*0.15)+((5-P75)/4*100*0.10)+((6-Y75)/5*100*0.10)+((100-Z75)*0.10))),1)</x:f>
        <x:v>38</x:v>
      </x:c>
      <x:c r="AP75" s="37" t="str">
        <x:f>IF(AO75&gt;=70,"High",IF(AO75&gt;=40,"Moderate","Low"))</x:f>
        <x:v>Low</x:v>
      </x:c>
      <x:c r="AQ75" s="37" t="n">
        <x:f>ROUND(MAX(0,MIN(100,(O75/4*100*0.25)+(P75/4*100*0.20)+(Q75/4*100*0.15)+(Y75/5*100*0.20)+(100-AO75)*0.20)),1)</x:f>
        <x:v>86.2</x:v>
      </x:c>
      <x:c r="AR75" s="37" t="n">
        <x:f>ROUND((AI75*0.20+AJ75*0.15+AN75*0.18+AG75*0.12+Z75*0.15+AQ75*0.20),1)</x:f>
        <x:v>87.6</x:v>
      </x:c>
      <x:c r="AS75" s="39" t="n">
        <x:f>ROUND((AC75*AF75*120)+(AH75*350)+(MAX(0,AI75-75)*220)+(MAX(0,AQ75-60)*100),0)</x:f>
        <x:v>26962</x:v>
      </x:c>
    </x:row>
    <x:row r="76">
      <x:c r="A76" s="35" t="n">
        <x:v>75</x:v>
      </x:c>
      <x:c r="B76" s="35" t="n">
        <x:v>35</x:v>
      </x:c>
      <x:c r="C76" s="35" t="str">
        <x:v>Male</x:v>
      </x:c>
      <x:c r="D76" s="35" t="str">
        <x:v>Research &amp; Development</x:v>
      </x:c>
      <x:c r="E76" s="35" t="str">
        <x:v>Laboratory Technician</x:v>
      </x:c>
      <x:c r="F76" s="35" t="str">
        <x:v>Marketing</x:v>
      </x:c>
      <x:c r="G76" s="35" t="str">
        <x:v>Married</x:v>
      </x:c>
      <x:c r="H76" s="35" t="n">
        <x:v>2</x:v>
      </x:c>
      <x:c r="I76" s="36" t="n">
        <x:v>9410</x:v>
      </x:c>
      <x:c r="J76" s="35" t="n">
        <x:v>12</x:v>
      </x:c>
      <x:c r="K76" s="35" t="n">
        <x:v>8</x:v>
      </x:c>
      <x:c r="L76" s="35" t="n">
        <x:v>5</x:v>
      </x:c>
      <x:c r="M76" s="35" t="n">
        <x:v>10</x:v>
      </x:c>
      <x:c r="N76" s="35" t="str">
        <x:v>No</x:v>
      </x:c>
      <x:c r="O76" s="35" t="n">
        <x:v>2</x:v>
      </x:c>
      <x:c r="P76" s="35" t="n">
        <x:v>2</x:v>
      </x:c>
      <x:c r="Q76" s="35" t="n">
        <x:v>2</x:v>
      </x:c>
      <x:c r="R76" s="35" t="n">
        <x:v>3</x:v>
      </x:c>
      <x:c r="S76" s="35" t="n">
        <x:v>3</x:v>
      </x:c>
      <x:c r="T76" s="35" t="n">
        <x:v>3</x:v>
      </x:c>
      <x:c r="U76" s="35" t="n">
        <x:v>0</x:v>
      </x:c>
      <x:c r="V76" s="35" t="n">
        <x:v>9</x:v>
      </x:c>
      <x:c r="W76" s="35" t="n">
        <x:v>6</x:v>
      </x:c>
      <x:c r="X76" s="35" t="n">
        <x:v>94</x:v>
      </x:c>
      <x:c r="Y76" s="35" t="n">
        <x:v>5</x:v>
      </x:c>
      <x:c r="Z76" s="35" t="n">
        <x:v>100</x:v>
      </x:c>
      <x:c r="AA76" s="35" t="n">
        <x:v>1</x:v>
      </x:c>
      <x:c r="AB76" s="35" t="n">
        <x:v>1</x:v>
      </x:c>
      <x:c r="AC76" s="35" t="n">
        <x:v>0</x:v>
      </x:c>
      <x:c r="AD76" s="35" t="n">
        <x:v>66</x:v>
      </x:c>
      <x:c r="AE76" s="35" t="n">
        <x:v>59</x:v>
      </x:c>
      <x:c r="AF76" s="35" t="n">
        <x:v>70</x:v>
      </x:c>
      <x:c r="AG76" s="35" t="n">
        <x:v>71</x:v>
      </x:c>
      <x:c r="AH76" s="35" t="n">
        <x:v>1</x:v>
      </x:c>
      <x:c r="AI76" s="37" t="n">
        <x:v>91</x:v>
      </x:c>
      <x:c r="AJ76" s="37" t="n">
        <x:v>98</x:v>
      </x:c>
      <x:c r="AK76" s="35" t="str">
        <x:v>No</x:v>
      </x:c>
      <x:c r="AL76" s="38" t="n">
        <x:f>IF(AA76=0,0,AB76/AA76)</x:f>
        <x:v>1</x:v>
      </x:c>
      <x:c r="AM76" s="38" t="n">
        <x:f>IF(AB76=0,0,AC76/AB76)</x:f>
        <x:v>0</x:v>
      </x:c>
      <x:c r="AN76" s="37" t="n">
        <x:f>ROUND((AD76*0.20+AE76*0.20+AF76*0.25+AG76*0.15+MIN(100,AC76*12)*0.20),1)</x:f>
        <x:v>53.2</x:v>
      </x:c>
      <x:c r="AO76" s="37" t="n">
        <x:f>ROUND(MAX(0,MIN(100,(X76*0.35)+(W76/45*100*0.20)+((5-O76)/4*100*0.15)+((5-P76)/4*100*0.10)+((6-Y76)/5*100*0.10)+((100-Z76)*0.10))),1)</x:f>
        <x:v>56.3</x:v>
      </x:c>
      <x:c r="AP76" s="37" t="str">
        <x:f>IF(AO76&gt;=70,"High",IF(AO76&gt;=40,"Moderate","Low"))</x:f>
        <x:v>Moderate</x:v>
      </x:c>
      <x:c r="AQ76" s="37" t="n">
        <x:f>ROUND(MAX(0,MIN(100,(O76/4*100*0.25)+(P76/4*100*0.20)+(Q76/4*100*0.15)+(Y76/5*100*0.20)+(100-AO76)*0.20)),1)</x:f>
        <x:v>58.7</x:v>
      </x:c>
      <x:c r="AR76" s="37" t="n">
        <x:f>ROUND((AI76*0.20+AJ76*0.15+AN76*0.18+AG76*0.12+Z76*0.15+AQ76*0.20),1)</x:f>
        <x:v>77.7</x:v>
      </x:c>
      <x:c r="AS76" s="39" t="n">
        <x:f>ROUND((AC76*AF76*120)+(AH76*350)+(MAX(0,AI76-75)*220)+(MAX(0,AQ76-60)*100),0)</x:f>
        <x:v>3870</x:v>
      </x:c>
    </x:row>
    <x:row r="77">
      <x:c r="A77" s="35" t="n">
        <x:v>76</x:v>
      </x:c>
      <x:c r="B77" s="35" t="n">
        <x:v>27</x:v>
      </x:c>
      <x:c r="C77" s="35" t="str">
        <x:v>Male</x:v>
      </x:c>
      <x:c r="D77" s="35" t="str">
        <x:v>Research &amp; Development</x:v>
      </x:c>
      <x:c r="E77" s="35" t="str">
        <x:v>R&amp;D Manager</x:v>
      </x:c>
      <x:c r="F77" s="35" t="str">
        <x:v>Technical Degree</x:v>
      </x:c>
      <x:c r="G77" s="35" t="str">
        <x:v>Married</x:v>
      </x:c>
      <x:c r="H77" s="35" t="n">
        <x:v>1</x:v>
      </x:c>
      <x:c r="I77" s="36" t="n">
        <x:v>5920</x:v>
      </x:c>
      <x:c r="J77" s="35" t="n">
        <x:v>3</x:v>
      </x:c>
      <x:c r="K77" s="35" t="n">
        <x:v>2</x:v>
      </x:c>
      <x:c r="L77" s="35" t="n">
        <x:v>1</x:v>
      </x:c>
      <x:c r="M77" s="35" t="n">
        <x:v>10</x:v>
      </x:c>
      <x:c r="N77" s="35" t="str">
        <x:v>Yes</x:v>
      </x:c>
      <x:c r="O77" s="35" t="n">
        <x:v>4</x:v>
      </x:c>
      <x:c r="P77" s="35" t="n">
        <x:v>3</x:v>
      </x:c>
      <x:c r="Q77" s="35" t="n">
        <x:v>3</x:v>
      </x:c>
      <x:c r="R77" s="35" t="n">
        <x:v>2</x:v>
      </x:c>
      <x:c r="S77" s="35" t="n">
        <x:v>4</x:v>
      </x:c>
      <x:c r="T77" s="35" t="n">
        <x:v>6</x:v>
      </x:c>
      <x:c r="U77" s="35" t="n">
        <x:v>0</x:v>
      </x:c>
      <x:c r="V77" s="35" t="n">
        <x:v>3</x:v>
      </x:c>
      <x:c r="W77" s="35" t="n">
        <x:v>27</x:v>
      </x:c>
      <x:c r="X77" s="35" t="n">
        <x:v>79</x:v>
      </x:c>
      <x:c r="Y77" s="35" t="n">
        <x:v>5</x:v>
      </x:c>
      <x:c r="Z77" s="35" t="n">
        <x:v>99</x:v>
      </x:c>
      <x:c r="AA77" s="35" t="n">
        <x:v>11</x:v>
      </x:c>
      <x:c r="AB77" s="35" t="n">
        <x:v>11</x:v>
      </x:c>
      <x:c r="AC77" s="35" t="n">
        <x:v>10</x:v>
      </x:c>
      <x:c r="AD77" s="35" t="n">
        <x:v>100</x:v>
      </x:c>
      <x:c r="AE77" s="35" t="n">
        <x:v>100</x:v>
      </x:c>
      <x:c r="AF77" s="35" t="n">
        <x:v>83</x:v>
      </x:c>
      <x:c r="AG77" s="35" t="n">
        <x:v>75</x:v>
      </x:c>
      <x:c r="AH77" s="35" t="n">
        <x:v>12</x:v>
      </x:c>
      <x:c r="AI77" s="37" t="n">
        <x:v>99.3</x:v>
      </x:c>
      <x:c r="AJ77" s="37" t="n">
        <x:v>95.5</x:v>
      </x:c>
      <x:c r="AK77" s="35" t="str">
        <x:v>Yes</x:v>
      </x:c>
      <x:c r="AL77" s="38" t="n">
        <x:f>IF(AA77=0,0,AB77/AA77)</x:f>
        <x:v>1</x:v>
      </x:c>
      <x:c r="AM77" s="38" t="n">
        <x:f>IF(AB77=0,0,AC77/AB77)</x:f>
        <x:v>0.9090909090909091</x:v>
      </x:c>
      <x:c r="AN77" s="37" t="n">
        <x:f>ROUND((AD77*0.20+AE77*0.20+AF77*0.25+AG77*0.15+MIN(100,AC77*12)*0.20),1)</x:f>
        <x:v>92</x:v>
      </x:c>
      <x:c r="AO77" s="37" t="n">
        <x:f>ROUND(MAX(0,MIN(100,(X77*0.35)+(W77/45*100*0.20)+((5-O77)/4*100*0.15)+((5-P77)/4*100*0.10)+((6-Y77)/5*100*0.10)+((100-Z77)*0.10))),1)</x:f>
        <x:v>50.5</x:v>
      </x:c>
      <x:c r="AP77" s="37" t="str">
        <x:f>IF(AO77&gt;=70,"High",IF(AO77&gt;=40,"Moderate","Low"))</x:f>
        <x:v>Moderate</x:v>
      </x:c>
      <x:c r="AQ77" s="37" t="n">
        <x:f>ROUND(MAX(0,MIN(100,(O77/4*100*0.25)+(P77/4*100*0.20)+(Q77/4*100*0.15)+(Y77/5*100*0.20)+(100-AO77)*0.20)),1)</x:f>
        <x:v>81.2</x:v>
      </x:c>
      <x:c r="AR77" s="37" t="n">
        <x:f>ROUND((AI77*0.20+AJ77*0.15+AN77*0.18+AG77*0.12+Z77*0.15+AQ77*0.20),1)</x:f>
        <x:v>90.8</x:v>
      </x:c>
      <x:c r="AS77" s="39" t="n">
        <x:f>ROUND((AC77*AF77*120)+(AH77*350)+(MAX(0,AI77-75)*220)+(MAX(0,AQ77-60)*100),0)</x:f>
        <x:v>111266</x:v>
      </x:c>
    </x:row>
    <x:row r="78">
      <x:c r="A78" s="35" t="n">
        <x:v>77</x:v>
      </x:c>
      <x:c r="B78" s="35" t="n">
        <x:v>36</x:v>
      </x:c>
      <x:c r="C78" s="35" t="str">
        <x:v>Male</x:v>
      </x:c>
      <x:c r="D78" s="35" t="str">
        <x:v>Sales</x:v>
      </x:c>
      <x:c r="E78" s="35" t="str">
        <x:v>Account Manager</x:v>
      </x:c>
      <x:c r="F78" s="35" t="str">
        <x:v>Computer Science</x:v>
      </x:c>
      <x:c r="G78" s="35" t="str">
        <x:v>Married</x:v>
      </x:c>
      <x:c r="H78" s="35" t="n">
        <x:v>2</x:v>
      </x:c>
      <x:c r="I78" s="36" t="n">
        <x:v>8080</x:v>
      </x:c>
      <x:c r="J78" s="35" t="n">
        <x:v>7</x:v>
      </x:c>
      <x:c r="K78" s="35" t="n">
        <x:v>5</x:v>
      </x:c>
      <x:c r="L78" s="35" t="n">
        <x:v>2</x:v>
      </x:c>
      <x:c r="M78" s="35" t="n">
        <x:v>27</x:v>
      </x:c>
      <x:c r="N78" s="35" t="str">
        <x:v>No</x:v>
      </x:c>
      <x:c r="O78" s="35" t="n">
        <x:v>4</x:v>
      </x:c>
      <x:c r="P78" s="35" t="n">
        <x:v>4</x:v>
      </x:c>
      <x:c r="Q78" s="35" t="n">
        <x:v>3</x:v>
      </x:c>
      <x:c r="R78" s="35" t="n">
        <x:v>3</x:v>
      </x:c>
      <x:c r="S78" s="35" t="n">
        <x:v>3</x:v>
      </x:c>
      <x:c r="T78" s="35" t="n">
        <x:v>3</x:v>
      </x:c>
      <x:c r="U78" s="35" t="n">
        <x:v>0</x:v>
      </x:c>
      <x:c r="V78" s="35" t="n">
        <x:v>9</x:v>
      </x:c>
      <x:c r="W78" s="35" t="n">
        <x:v>0</x:v>
      </x:c>
      <x:c r="X78" s="35" t="n">
        <x:v>77</x:v>
      </x:c>
      <x:c r="Y78" s="35" t="n">
        <x:v>5</x:v>
      </x:c>
      <x:c r="Z78" s="35" t="n">
        <x:v>100</x:v>
      </x:c>
      <x:c r="AA78" s="35" t="n">
        <x:v>6</x:v>
      </x:c>
      <x:c r="AB78" s="35" t="n">
        <x:v>4</x:v>
      </x:c>
      <x:c r="AC78" s="35" t="n">
        <x:v>2</x:v>
      </x:c>
      <x:c r="AD78" s="35" t="n">
        <x:v>70</x:v>
      </x:c>
      <x:c r="AE78" s="35" t="n">
        <x:v>77</x:v>
      </x:c>
      <x:c r="AF78" s="35" t="n">
        <x:v>82</x:v>
      </x:c>
      <x:c r="AG78" s="35" t="n">
        <x:v>100</x:v>
      </x:c>
      <x:c r="AH78" s="35" t="n">
        <x:v>6</x:v>
      </x:c>
      <x:c r="AI78" s="37" t="n">
        <x:v>93.2</x:v>
      </x:c>
      <x:c r="AJ78" s="37" t="n">
        <x:v>93.9</x:v>
      </x:c>
      <x:c r="AK78" s="35" t="str">
        <x:v>No</x:v>
      </x:c>
      <x:c r="AL78" s="38" t="n">
        <x:f>IF(AA78=0,0,AB78/AA78)</x:f>
        <x:v>0.6666666666666666</x:v>
      </x:c>
      <x:c r="AM78" s="38" t="n">
        <x:f>IF(AB78=0,0,AC78/AB78)</x:f>
        <x:v>0.5</x:v>
      </x:c>
      <x:c r="AN78" s="37" t="n">
        <x:f>ROUND((AD78*0.20+AE78*0.20+AF78*0.25+AG78*0.15+MIN(100,AC78*12)*0.20),1)</x:f>
        <x:v>69.7</x:v>
      </x:c>
      <x:c r="AO78" s="37" t="n">
        <x:f>ROUND(MAX(0,MIN(100,(X78*0.35)+(W78/45*100*0.20)+((5-O78)/4*100*0.15)+((5-P78)/4*100*0.10)+((6-Y78)/5*100*0.10)+((100-Z78)*0.10))),1)</x:f>
        <x:v>35.2</x:v>
      </x:c>
      <x:c r="AP78" s="37" t="str">
        <x:f>IF(AO78&gt;=70,"High",IF(AO78&gt;=40,"Moderate","Low"))</x:f>
        <x:v>Low</x:v>
      </x:c>
      <x:c r="AQ78" s="37" t="n">
        <x:f>ROUND(MAX(0,MIN(100,(O78/4*100*0.25)+(P78/4*100*0.20)+(Q78/4*100*0.15)+(Y78/5*100*0.20)+(100-AO78)*0.20)),1)</x:f>
        <x:v>89.2</x:v>
      </x:c>
      <x:c r="AR78" s="37" t="n">
        <x:f>ROUND((AI78*0.20+AJ78*0.15+AN78*0.18+AG78*0.12+Z78*0.15+AQ78*0.20),1)</x:f>
        <x:v>90.1</x:v>
      </x:c>
      <x:c r="AS78" s="39" t="n">
        <x:f>ROUND((AC78*AF78*120)+(AH78*350)+(MAX(0,AI78-75)*220)+(MAX(0,AQ78-60)*100),0)</x:f>
        <x:v>28704</x:v>
      </x:c>
    </x:row>
    <x:row r="79">
      <x:c r="A79" s="35" t="n">
        <x:v>78</x:v>
      </x:c>
      <x:c r="B79" s="35" t="n">
        <x:v>43</x:v>
      </x:c>
      <x:c r="C79" s="35" t="str">
        <x:v>Female</x:v>
      </x:c>
      <x:c r="D79" s="35" t="str">
        <x:v>Sales</x:v>
      </x:c>
      <x:c r="E79" s="35" t="str">
        <x:v>Sales Executive</x:v>
      </x:c>
      <x:c r="F79" s="35" t="str">
        <x:v>Computer Science</x:v>
      </x:c>
      <x:c r="G79" s="35" t="str">
        <x:v>Married</x:v>
      </x:c>
      <x:c r="H79" s="35" t="n">
        <x:v>3</x:v>
      </x:c>
      <x:c r="I79" s="36" t="n">
        <x:v>10910</x:v>
      </x:c>
      <x:c r="J79" s="35" t="n">
        <x:v>11</x:v>
      </x:c>
      <x:c r="K79" s="35" t="n">
        <x:v>4</x:v>
      </x:c>
      <x:c r="L79" s="35" t="n">
        <x:v>1</x:v>
      </x:c>
      <x:c r="M79" s="35" t="n">
        <x:v>1</x:v>
      </x:c>
      <x:c r="N79" s="35" t="str">
        <x:v>No</x:v>
      </x:c>
      <x:c r="O79" s="35" t="n">
        <x:v>2</x:v>
      </x:c>
      <x:c r="P79" s="35" t="n">
        <x:v>2</x:v>
      </x:c>
      <x:c r="Q79" s="35" t="n">
        <x:v>3</x:v>
      </x:c>
      <x:c r="R79" s="35" t="n">
        <x:v>4</x:v>
      </x:c>
      <x:c r="S79" s="35" t="n">
        <x:v>4</x:v>
      </x:c>
      <x:c r="T79" s="35" t="n">
        <x:v>1</x:v>
      </x:c>
      <x:c r="U79" s="35" t="n">
        <x:v>1</x:v>
      </x:c>
      <x:c r="V79" s="35" t="n">
        <x:v>9</x:v>
      </x:c>
      <x:c r="W79" s="35" t="n">
        <x:v>0</x:v>
      </x:c>
      <x:c r="X79" s="35" t="n">
        <x:v>58</x:v>
      </x:c>
      <x:c r="Y79" s="35" t="n">
        <x:v>3</x:v>
      </x:c>
      <x:c r="Z79" s="35" t="n">
        <x:v>100</x:v>
      </x:c>
      <x:c r="AA79" s="35" t="n">
        <x:v>2</x:v>
      </x:c>
      <x:c r="AB79" s="35" t="n">
        <x:v>2</x:v>
      </x:c>
      <x:c r="AC79" s="35" t="n">
        <x:v>2</x:v>
      </x:c>
      <x:c r="AD79" s="35" t="n">
        <x:v>70</x:v>
      </x:c>
      <x:c r="AE79" s="35" t="n">
        <x:v>82</x:v>
      </x:c>
      <x:c r="AF79" s="35" t="n">
        <x:v>65</x:v>
      </x:c>
      <x:c r="AG79" s="35" t="n">
        <x:v>100</x:v>
      </x:c>
      <x:c r="AH79" s="35" t="n">
        <x:v>9</x:v>
      </x:c>
      <x:c r="AI79" s="37" t="n">
        <x:v>98.5</x:v>
      </x:c>
      <x:c r="AJ79" s="37" t="n">
        <x:v>99</x:v>
      </x:c>
      <x:c r="AK79" s="35" t="str">
        <x:v>No</x:v>
      </x:c>
      <x:c r="AL79" s="38" t="n">
        <x:f>IF(AA79=0,0,AB79/AA79)</x:f>
        <x:v>1</x:v>
      </x:c>
      <x:c r="AM79" s="38" t="n">
        <x:f>IF(AB79=0,0,AC79/AB79)</x:f>
        <x:v>1</x:v>
      </x:c>
      <x:c r="AN79" s="37" t="n">
        <x:f>ROUND((AD79*0.20+AE79*0.20+AF79*0.25+AG79*0.15+MIN(100,AC79*12)*0.20),1)</x:f>
        <x:v>66.5</x:v>
      </x:c>
      <x:c r="AO79" s="37" t="n">
        <x:f>ROUND(MAX(0,MIN(100,(X79*0.35)+(W79/45*100*0.20)+((5-O79)/4*100*0.15)+((5-P79)/4*100*0.10)+((6-Y79)/5*100*0.10)+((100-Z79)*0.10))),1)</x:f>
        <x:v>45.1</x:v>
      </x:c>
      <x:c r="AP79" s="37" t="str">
        <x:f>IF(AO79&gt;=70,"High",IF(AO79&gt;=40,"Moderate","Low"))</x:f>
        <x:v>Moderate</x:v>
      </x:c>
      <x:c r="AQ79" s="37" t="n">
        <x:f>ROUND(MAX(0,MIN(100,(O79/4*100*0.25)+(P79/4*100*0.20)+(Q79/4*100*0.15)+(Y79/5*100*0.20)+(100-AO79)*0.20)),1)</x:f>
        <x:v>56.7</x:v>
      </x:c>
      <x:c r="AR79" s="37" t="n">
        <x:f>ROUND((AI79*0.20+AJ79*0.15+AN79*0.18+AG79*0.12+Z79*0.15+AQ79*0.20),1)</x:f>
        <x:v>84.9</x:v>
      </x:c>
      <x:c r="AS79" s="39" t="n">
        <x:f>ROUND((AC79*AF79*120)+(AH79*350)+(MAX(0,AI79-75)*220)+(MAX(0,AQ79-60)*100),0)</x:f>
        <x:v>23920</x:v>
      </x:c>
    </x:row>
    <x:row r="80">
      <x:c r="A80" s="35" t="n">
        <x:v>79</x:v>
      </x:c>
      <x:c r="B80" s="35" t="n">
        <x:v>21</x:v>
      </x:c>
      <x:c r="C80" s="35" t="str">
        <x:v>Female</x:v>
      </x:c>
      <x:c r="D80" s="35" t="str">
        <x:v>Research &amp; Development</x:v>
      </x:c>
      <x:c r="E80" s="35" t="str">
        <x:v>Data Scientist</x:v>
      </x:c>
      <x:c r="F80" s="35" t="str">
        <x:v>Human Resources</x:v>
      </x:c>
      <x:c r="G80" s="35" t="str">
        <x:v>Married</x:v>
      </x:c>
      <x:c r="H80" s="35" t="n">
        <x:v>1</x:v>
      </x:c>
      <x:c r="I80" s="36" t="n">
        <x:v>6110</x:v>
      </x:c>
      <x:c r="J80" s="35" t="n">
        <x:v>0</x:v>
      </x:c>
      <x:c r="K80" s="35" t="n">
        <x:v>0</x:v>
      </x:c>
      <x:c r="L80" s="35" t="n">
        <x:v>0</x:v>
      </x:c>
      <x:c r="M80" s="35" t="n">
        <x:v>6</x:v>
      </x:c>
      <x:c r="N80" s="35" t="str">
        <x:v>Yes</x:v>
      </x:c>
      <x:c r="O80" s="35" t="n">
        <x:v>2</x:v>
      </x:c>
      <x:c r="P80" s="35" t="n">
        <x:v>2</x:v>
      </x:c>
      <x:c r="Q80" s="35" t="n">
        <x:v>3</x:v>
      </x:c>
      <x:c r="R80" s="35" t="n">
        <x:v>3</x:v>
      </x:c>
      <x:c r="S80" s="35" t="n">
        <x:v>3</x:v>
      </x:c>
      <x:c r="T80" s="35" t="n">
        <x:v>4</x:v>
      </x:c>
      <x:c r="U80" s="35" t="n">
        <x:v>0</x:v>
      </x:c>
      <x:c r="V80" s="35" t="n">
        <x:v>3</x:v>
      </x:c>
      <x:c r="W80" s="35" t="n">
        <x:v>23</x:v>
      </x:c>
      <x:c r="X80" s="35" t="n">
        <x:v>73</x:v>
      </x:c>
      <x:c r="Y80" s="35" t="n">
        <x:v>3</x:v>
      </x:c>
      <x:c r="Z80" s="35" t="n">
        <x:v>92</x:v>
      </x:c>
      <x:c r="AA80" s="35" t="n">
        <x:v>3</x:v>
      </x:c>
      <x:c r="AB80" s="35" t="n">
        <x:v>2</x:v>
      </x:c>
      <x:c r="AC80" s="35" t="n">
        <x:v>1</x:v>
      </x:c>
      <x:c r="AD80" s="35" t="n">
        <x:v>82</x:v>
      </x:c>
      <x:c r="AE80" s="35" t="n">
        <x:v>85</x:v>
      </x:c>
      <x:c r="AF80" s="35" t="n">
        <x:v>77</x:v>
      </x:c>
      <x:c r="AG80" s="35" t="n">
        <x:v>83</x:v>
      </x:c>
      <x:c r="AH80" s="35" t="n">
        <x:v>5</x:v>
      </x:c>
      <x:c r="AI80" s="37" t="n">
        <x:v>92.4</x:v>
      </x:c>
      <x:c r="AJ80" s="37" t="n">
        <x:v>95.6</x:v>
      </x:c>
      <x:c r="AK80" s="35" t="str">
        <x:v>No</x:v>
      </x:c>
      <x:c r="AL80" s="38" t="n">
        <x:f>IF(AA80=0,0,AB80/AA80)</x:f>
        <x:v>0.6666666666666666</x:v>
      </x:c>
      <x:c r="AM80" s="38" t="n">
        <x:f>IF(AB80=0,0,AC80/AB80)</x:f>
        <x:v>0.5</x:v>
      </x:c>
      <x:c r="AN80" s="37" t="n">
        <x:f>ROUND((AD80*0.20+AE80*0.20+AF80*0.25+AG80*0.15+MIN(100,AC80*12)*0.20),1)</x:f>
        <x:v>67.5</x:v>
      </x:c>
      <x:c r="AO80" s="37" t="n">
        <x:f>ROUND(MAX(0,MIN(100,(X80*0.35)+(W80/45*100*0.20)+((5-O80)/4*100*0.15)+((5-P80)/4*100*0.10)+((6-Y80)/5*100*0.10)+((100-Z80)*0.10))),1)</x:f>
        <x:v>61.3</x:v>
      </x:c>
      <x:c r="AP80" s="37" t="str">
        <x:f>IF(AO80&gt;=70,"High",IF(AO80&gt;=40,"Moderate","Low"))</x:f>
        <x:v>Moderate</x:v>
      </x:c>
      <x:c r="AQ80" s="37" t="n">
        <x:f>ROUND(MAX(0,MIN(100,(O80/4*100*0.25)+(P80/4*100*0.20)+(Q80/4*100*0.15)+(Y80/5*100*0.20)+(100-AO80)*0.20)),1)</x:f>
        <x:v>53.5</x:v>
      </x:c>
      <x:c r="AR80" s="37" t="n">
        <x:f>ROUND((AI80*0.20+AJ80*0.15+AN80*0.18+AG80*0.12+Z80*0.15+AQ80*0.20),1)</x:f>
        <x:v>79.4</x:v>
      </x:c>
      <x:c r="AS80" s="39" t="n">
        <x:f>ROUND((AC80*AF80*120)+(AH80*350)+(MAX(0,AI80-75)*220)+(MAX(0,AQ80-60)*100),0)</x:f>
        <x:v>14818</x:v>
      </x:c>
    </x:row>
    <x:row r="81">
      <x:c r="A81" s="35" t="n">
        <x:v>80</x:v>
      </x:c>
      <x:c r="B81" s="35" t="n">
        <x:v>30</x:v>
      </x:c>
      <x:c r="C81" s="35" t="str">
        <x:v>Male</x:v>
      </x:c>
      <x:c r="D81" s="35" t="str">
        <x:v>Operations</x:v>
      </x:c>
      <x:c r="E81" s="35" t="str">
        <x:v>Operations Manager</x:v>
      </x:c>
      <x:c r="F81" s="35" t="str">
        <x:v>Marketing</x:v>
      </x:c>
      <x:c r="G81" s="35" t="str">
        <x:v>Single</x:v>
      </x:c>
      <x:c r="H81" s="35" t="n">
        <x:v>1</x:v>
      </x:c>
      <x:c r="I81" s="36" t="n">
        <x:v>5110</x:v>
      </x:c>
      <x:c r="J81" s="35" t="n">
        <x:v>6</x:v>
      </x:c>
      <x:c r="K81" s="35" t="n">
        <x:v>5</x:v>
      </x:c>
      <x:c r="L81" s="35" t="n">
        <x:v>4</x:v>
      </x:c>
      <x:c r="M81" s="35" t="n">
        <x:v>9</x:v>
      </x:c>
      <x:c r="N81" s="35" t="str">
        <x:v>No</x:v>
      </x:c>
      <x:c r="O81" s="35" t="n">
        <x:v>3</x:v>
      </x:c>
      <x:c r="P81" s="35" t="n">
        <x:v>3</x:v>
      </x:c>
      <x:c r="Q81" s="35" t="n">
        <x:v>3</x:v>
      </x:c>
      <x:c r="R81" s="35" t="n">
        <x:v>4</x:v>
      </x:c>
      <x:c r="S81" s="35" t="n">
        <x:v>3</x:v>
      </x:c>
      <x:c r="T81" s="35" t="n">
        <x:v>2</x:v>
      </x:c>
      <x:c r="U81" s="35" t="n">
        <x:v>0</x:v>
      </x:c>
      <x:c r="V81" s="35" t="n">
        <x:v>4</x:v>
      </x:c>
      <x:c r="W81" s="35" t="n">
        <x:v>0</x:v>
      </x:c>
      <x:c r="X81" s="35" t="n">
        <x:v>73</x:v>
      </x:c>
      <x:c r="Y81" s="35" t="n">
        <x:v>5</x:v>
      </x:c>
      <x:c r="Z81" s="35" t="n">
        <x:v>100</x:v>
      </x:c>
      <x:c r="AA81" s="35" t="n">
        <x:v>6</x:v>
      </x:c>
      <x:c r="AB81" s="35" t="n">
        <x:v>6</x:v>
      </x:c>
      <x:c r="AC81" s="35" t="n">
        <x:v>6</x:v>
      </x:c>
      <x:c r="AD81" s="35" t="n">
        <x:v>74</x:v>
      </x:c>
      <x:c r="AE81" s="35" t="n">
        <x:v>83</x:v>
      </x:c>
      <x:c r="AF81" s="35" t="n">
        <x:v>85</x:v>
      </x:c>
      <x:c r="AG81" s="35" t="n">
        <x:v>100</x:v>
      </x:c>
      <x:c r="AH81" s="35" t="n">
        <x:v>8</x:v>
      </x:c>
      <x:c r="AI81" s="37" t="n">
        <x:v>90.5</x:v>
      </x:c>
      <x:c r="AJ81" s="37" t="n">
        <x:v>97.3</x:v>
      </x:c>
      <x:c r="AK81" s="35" t="str">
        <x:v>No</x:v>
      </x:c>
      <x:c r="AL81" s="38" t="n">
        <x:f>IF(AA81=0,0,AB81/AA81)</x:f>
        <x:v>1</x:v>
      </x:c>
      <x:c r="AM81" s="38" t="n">
        <x:f>IF(AB81=0,0,AC81/AB81)</x:f>
        <x:v>1</x:v>
      </x:c>
      <x:c r="AN81" s="37" t="n">
        <x:f>ROUND((AD81*0.20+AE81*0.20+AF81*0.25+AG81*0.15+MIN(100,AC81*12)*0.20),1)</x:f>
        <x:v>82.1</x:v>
      </x:c>
      <x:c r="AO81" s="37" t="n">
        <x:f>ROUND(MAX(0,MIN(100,(X81*0.35)+(W81/45*100*0.20)+((5-O81)/4*100*0.15)+((5-P81)/4*100*0.10)+((6-Y81)/5*100*0.10)+((100-Z81)*0.10))),1)</x:f>
        <x:v>40.1</x:v>
      </x:c>
      <x:c r="AP81" s="37" t="str">
        <x:f>IF(AO81&gt;=70,"High",IF(AO81&gt;=40,"Moderate","Low"))</x:f>
        <x:v>Moderate</x:v>
      </x:c>
      <x:c r="AQ81" s="37" t="n">
        <x:f>ROUND(MAX(0,MIN(100,(O81/4*100*0.25)+(P81/4*100*0.20)+(Q81/4*100*0.15)+(Y81/5*100*0.20)+(100-AO81)*0.20)),1)</x:f>
        <x:v>77</x:v>
      </x:c>
      <x:c r="AR81" s="37" t="n">
        <x:f>ROUND((AI81*0.20+AJ81*0.15+AN81*0.18+AG81*0.12+Z81*0.15+AQ81*0.20),1)</x:f>
        <x:v>89.9</x:v>
      </x:c>
      <x:c r="AS81" s="39" t="n">
        <x:f>ROUND((AC81*AF81*120)+(AH81*350)+(MAX(0,AI81-75)*220)+(MAX(0,AQ81-60)*100),0)</x:f>
        <x:v>69110</x:v>
      </x:c>
    </x:row>
    <x:row r="82">
      <x:c r="A82" s="35" t="n">
        <x:v>81</x:v>
      </x:c>
      <x:c r="B82" s="35" t="n">
        <x:v>35</x:v>
      </x:c>
      <x:c r="C82" s="35" t="str">
        <x:v>Male</x:v>
      </x:c>
      <x:c r="D82" s="35" t="str">
        <x:v>Human Resources</x:v>
      </x:c>
      <x:c r="E82" s="35" t="str">
        <x:v>HR Manager</x:v>
      </x:c>
      <x:c r="F82" s="35" t="str">
        <x:v>Technical Degree</x:v>
      </x:c>
      <x:c r="G82" s="35" t="str">
        <x:v>Single</x:v>
      </x:c>
      <x:c r="H82" s="35" t="n">
        <x:v>1</x:v>
      </x:c>
      <x:c r="I82" s="36" t="n">
        <x:v>5560</x:v>
      </x:c>
      <x:c r="J82" s="35" t="n">
        <x:v>8</x:v>
      </x:c>
      <x:c r="K82" s="35" t="n">
        <x:v>4</x:v>
      </x:c>
      <x:c r="L82" s="35" t="n">
        <x:v>3</x:v>
      </x:c>
      <x:c r="M82" s="35" t="n">
        <x:v>2</x:v>
      </x:c>
      <x:c r="N82" s="35" t="str">
        <x:v>Yes</x:v>
      </x:c>
      <x:c r="O82" s="35" t="n">
        <x:v>1</x:v>
      </x:c>
      <x:c r="P82" s="35" t="n">
        <x:v>3</x:v>
      </x:c>
      <x:c r="Q82" s="35" t="n">
        <x:v>4</x:v>
      </x:c>
      <x:c r="R82" s="35" t="n">
        <x:v>4</x:v>
      </x:c>
      <x:c r="S82" s="35" t="n">
        <x:v>3</x:v>
      </x:c>
      <x:c r="T82" s="35" t="n">
        <x:v>3</x:v>
      </x:c>
      <x:c r="U82" s="35" t="n">
        <x:v>0</x:v>
      </x:c>
      <x:c r="V82" s="35" t="n">
        <x:v>3</x:v>
      </x:c>
      <x:c r="W82" s="35" t="n">
        <x:v>25</x:v>
      </x:c>
      <x:c r="X82" s="35" t="n">
        <x:v>90</x:v>
      </x:c>
      <x:c r="Y82" s="35" t="n">
        <x:v>3</x:v>
      </x:c>
      <x:c r="Z82" s="35" t="n">
        <x:v>100</x:v>
      </x:c>
      <x:c r="AA82" s="35" t="n">
        <x:v>8</x:v>
      </x:c>
      <x:c r="AB82" s="35" t="n">
        <x:v>5</x:v>
      </x:c>
      <x:c r="AC82" s="35" t="n">
        <x:v>5</x:v>
      </x:c>
      <x:c r="AD82" s="35" t="n">
        <x:v>82</x:v>
      </x:c>
      <x:c r="AE82" s="35" t="n">
        <x:v>98</x:v>
      </x:c>
      <x:c r="AF82" s="35" t="n">
        <x:v>93</x:v>
      </x:c>
      <x:c r="AG82" s="35" t="n">
        <x:v>100</x:v>
      </x:c>
      <x:c r="AH82" s="35" t="n">
        <x:v>8</x:v>
      </x:c>
      <x:c r="AI82" s="37" t="n">
        <x:v>94.4</x:v>
      </x:c>
      <x:c r="AJ82" s="37" t="n">
        <x:v>97.6</x:v>
      </x:c>
      <x:c r="AK82" s="35" t="str">
        <x:v>No</x:v>
      </x:c>
      <x:c r="AL82" s="38" t="n">
        <x:f>IF(AA82=0,0,AB82/AA82)</x:f>
        <x:v>0.625</x:v>
      </x:c>
      <x:c r="AM82" s="38" t="n">
        <x:f>IF(AB82=0,0,AC82/AB82)</x:f>
        <x:v>1</x:v>
      </x:c>
      <x:c r="AN82" s="37" t="n">
        <x:f>ROUND((AD82*0.20+AE82*0.20+AF82*0.25+AG82*0.15+MIN(100,AC82*12)*0.20),1)</x:f>
        <x:v>86.3</x:v>
      </x:c>
      <x:c r="AO82" s="37" t="n">
        <x:f>ROUND(MAX(0,MIN(100,(X82*0.35)+(W82/45*100*0.20)+((5-O82)/4*100*0.15)+((5-P82)/4*100*0.10)+((6-Y82)/5*100*0.10)+((100-Z82)*0.10))),1)</x:f>
        <x:v>68.6</x:v>
      </x:c>
      <x:c r="AP82" s="37" t="str">
        <x:f>IF(AO82&gt;=70,"High",IF(AO82&gt;=40,"Moderate","Low"))</x:f>
        <x:v>Moderate</x:v>
      </x:c>
      <x:c r="AQ82" s="37" t="n">
        <x:f>ROUND(MAX(0,MIN(100,(O82/4*100*0.25)+(P82/4*100*0.20)+(Q82/4*100*0.15)+(Y82/5*100*0.20)+(100-AO82)*0.20)),1)</x:f>
        <x:v>54.5</x:v>
      </x:c>
      <x:c r="AR82" s="37" t="n">
        <x:f>ROUND((AI82*0.20+AJ82*0.15+AN82*0.18+AG82*0.12+Z82*0.15+AQ82*0.20),1)</x:f>
        <x:v>87</x:v>
      </x:c>
      <x:c r="AS82" s="39" t="n">
        <x:f>ROUND((AC82*AF82*120)+(AH82*350)+(MAX(0,AI82-75)*220)+(MAX(0,AQ82-60)*100),0)</x:f>
        <x:v>62868</x:v>
      </x:c>
    </x:row>
    <x:row r="83">
      <x:c r="A83" s="35" t="n">
        <x:v>82</x:v>
      </x:c>
      <x:c r="B83" s="35" t="n">
        <x:v>38</x:v>
      </x:c>
      <x:c r="C83" s="35" t="str">
        <x:v>Female</x:v>
      </x:c>
      <x:c r="D83" s="35" t="str">
        <x:v>Sales</x:v>
      </x:c>
      <x:c r="E83" s="35" t="str">
        <x:v>Account Manager</x:v>
      </x:c>
      <x:c r="F83" s="35" t="str">
        <x:v>Computer Science</x:v>
      </x:c>
      <x:c r="G83" s="35" t="str">
        <x:v>Divorced</x:v>
      </x:c>
      <x:c r="H83" s="35" t="n">
        <x:v>1</x:v>
      </x:c>
      <x:c r="I83" s="36" t="n">
        <x:v>4700</x:v>
      </x:c>
      <x:c r="J83" s="35" t="n">
        <x:v>12</x:v>
      </x:c>
      <x:c r="K83" s="35" t="n">
        <x:v>8</x:v>
      </x:c>
      <x:c r="L83" s="35" t="n">
        <x:v>5</x:v>
      </x:c>
      <x:c r="M83" s="35" t="n">
        <x:v>2</x:v>
      </x:c>
      <x:c r="N83" s="35" t="str">
        <x:v>Yes</x:v>
      </x:c>
      <x:c r="O83" s="35" t="n">
        <x:v>3</x:v>
      </x:c>
      <x:c r="P83" s="35" t="n">
        <x:v>3</x:v>
      </x:c>
      <x:c r="Q83" s="35" t="n">
        <x:v>4</x:v>
      </x:c>
      <x:c r="R83" s="35" t="n">
        <x:v>3</x:v>
      </x:c>
      <x:c r="S83" s="35" t="n">
        <x:v>3</x:v>
      </x:c>
      <x:c r="T83" s="35" t="n">
        <x:v>4</x:v>
      </x:c>
      <x:c r="U83" s="35" t="n">
        <x:v>1</x:v>
      </x:c>
      <x:c r="V83" s="35" t="n">
        <x:v>0</x:v>
      </x:c>
      <x:c r="W83" s="35" t="n">
        <x:v>13</x:v>
      </x:c>
      <x:c r="X83" s="35" t="n">
        <x:v>98</x:v>
      </x:c>
      <x:c r="Y83" s="35" t="n">
        <x:v>4</x:v>
      </x:c>
      <x:c r="Z83" s="35" t="n">
        <x:v>97</x:v>
      </x:c>
      <x:c r="AA83" s="35" t="n">
        <x:v>4</x:v>
      </x:c>
      <x:c r="AB83" s="35" t="n">
        <x:v>4</x:v>
      </x:c>
      <x:c r="AC83" s="35" t="n">
        <x:v>2</x:v>
      </x:c>
      <x:c r="AD83" s="35" t="n">
        <x:v>55</x:v>
      </x:c>
      <x:c r="AE83" s="35" t="n">
        <x:v>91</x:v>
      </x:c>
      <x:c r="AF83" s="35" t="n">
        <x:v>65</x:v>
      </x:c>
      <x:c r="AG83" s="35" t="n">
        <x:v>96</x:v>
      </x:c>
      <x:c r="AH83" s="35" t="n">
        <x:v>9</x:v>
      </x:c>
      <x:c r="AI83" s="37" t="n">
        <x:v>100</x:v>
      </x:c>
      <x:c r="AJ83" s="37" t="n">
        <x:v>95.8</x:v>
      </x:c>
      <x:c r="AK83" s="35" t="str">
        <x:v>No</x:v>
      </x:c>
      <x:c r="AL83" s="38" t="n">
        <x:f>IF(AA83=0,0,AB83/AA83)</x:f>
        <x:v>1</x:v>
      </x:c>
      <x:c r="AM83" s="38" t="n">
        <x:f>IF(AB83=0,0,AC83/AB83)</x:f>
        <x:v>0.5</x:v>
      </x:c>
      <x:c r="AN83" s="37" t="n">
        <x:f>ROUND((AD83*0.20+AE83*0.20+AF83*0.25+AG83*0.15+MIN(100,AC83*12)*0.20),1)</x:f>
        <x:v>64.7</x:v>
      </x:c>
      <x:c r="AO83" s="37" t="n">
        <x:f>ROUND(MAX(0,MIN(100,(X83*0.35)+(W83/45*100*0.20)+((5-O83)/4*100*0.15)+((5-P83)/4*100*0.10)+((6-Y83)/5*100*0.10)+((100-Z83)*0.10))),1)</x:f>
        <x:v>56.9</x:v>
      </x:c>
      <x:c r="AP83" s="37" t="str">
        <x:f>IF(AO83&gt;=70,"High",IF(AO83&gt;=40,"Moderate","Low"))</x:f>
        <x:v>Moderate</x:v>
      </x:c>
      <x:c r="AQ83" s="37" t="n">
        <x:f>ROUND(MAX(0,MIN(100,(O83/4*100*0.25)+(P83/4*100*0.20)+(Q83/4*100*0.15)+(Y83/5*100*0.20)+(100-AO83)*0.20)),1)</x:f>
        <x:v>73.4</x:v>
      </x:c>
      <x:c r="AR83" s="37" t="n">
        <x:f>ROUND((AI83*0.20+AJ83*0.15+AN83*0.18+AG83*0.12+Z83*0.15+AQ83*0.20),1)</x:f>
        <x:v>86.8</x:v>
      </x:c>
      <x:c r="AS83" s="39" t="n">
        <x:f>ROUND((AC83*AF83*120)+(AH83*350)+(MAX(0,AI83-75)*220)+(MAX(0,AQ83-60)*100),0)</x:f>
        <x:v>25590</x:v>
      </x:c>
    </x:row>
    <x:row r="84">
      <x:c r="A84" s="35" t="n">
        <x:v>83</x:v>
      </x:c>
      <x:c r="B84" s="35" t="n">
        <x:v>35</x:v>
      </x:c>
      <x:c r="C84" s="35" t="str">
        <x:v>Male</x:v>
      </x:c>
      <x:c r="D84" s="35" t="str">
        <x:v>Research &amp; Development</x:v>
      </x:c>
      <x:c r="E84" s="35" t="str">
        <x:v>Laboratory Technician</x:v>
      </x:c>
      <x:c r="F84" s="35" t="str">
        <x:v>Medical</x:v>
      </x:c>
      <x:c r="G84" s="35" t="str">
        <x:v>Married</x:v>
      </x:c>
      <x:c r="H84" s="35" t="n">
        <x:v>2</x:v>
      </x:c>
      <x:c r="I84" s="36" t="n">
        <x:v>8130</x:v>
      </x:c>
      <x:c r="J84" s="35" t="n">
        <x:v>8</x:v>
      </x:c>
      <x:c r="K84" s="35" t="n">
        <x:v>5</x:v>
      </x:c>
      <x:c r="L84" s="35" t="n">
        <x:v>2</x:v>
      </x:c>
      <x:c r="M84" s="35" t="n">
        <x:v>11</x:v>
      </x:c>
      <x:c r="N84" s="35" t="str">
        <x:v>Yes</x:v>
      </x:c>
      <x:c r="O84" s="35" t="n">
        <x:v>3</x:v>
      </x:c>
      <x:c r="P84" s="35" t="n">
        <x:v>3</x:v>
      </x:c>
      <x:c r="Q84" s="35" t="n">
        <x:v>4</x:v>
      </x:c>
      <x:c r="R84" s="35" t="n">
        <x:v>3</x:v>
      </x:c>
      <x:c r="S84" s="35" t="n">
        <x:v>3</x:v>
      </x:c>
      <x:c r="T84" s="35" t="n">
        <x:v>3</x:v>
      </x:c>
      <x:c r="U84" s="35" t="n">
        <x:v>2</x:v>
      </x:c>
      <x:c r="V84" s="35" t="n">
        <x:v>3</x:v>
      </x:c>
      <x:c r="W84" s="35" t="n">
        <x:v>26</x:v>
      </x:c>
      <x:c r="X84" s="35" t="n">
        <x:v>76</x:v>
      </x:c>
      <x:c r="Y84" s="35" t="n">
        <x:v>3</x:v>
      </x:c>
      <x:c r="Z84" s="35" t="n">
        <x:v>94</x:v>
      </x:c>
      <x:c r="AA84" s="35" t="n">
        <x:v>12</x:v>
      </x:c>
      <x:c r="AB84" s="35" t="n">
        <x:v>8</x:v>
      </x:c>
      <x:c r="AC84" s="35" t="n">
        <x:v>7</x:v>
      </x:c>
      <x:c r="AD84" s="35" t="n">
        <x:v>89</x:v>
      </x:c>
      <x:c r="AE84" s="35" t="n">
        <x:v>92</x:v>
      </x:c>
      <x:c r="AF84" s="35" t="n">
        <x:v>92</x:v>
      </x:c>
      <x:c r="AG84" s="35" t="n">
        <x:v>85</x:v>
      </x:c>
      <x:c r="AH84" s="35" t="n">
        <x:v>12</x:v>
      </x:c>
      <x:c r="AI84" s="37" t="n">
        <x:v>98.2</x:v>
      </x:c>
      <x:c r="AJ84" s="37" t="n">
        <x:v>97.3</x:v>
      </x:c>
      <x:c r="AK84" s="35" t="str">
        <x:v>No</x:v>
      </x:c>
      <x:c r="AL84" s="38" t="n">
        <x:f>IF(AA84=0,0,AB84/AA84)</x:f>
        <x:v>0.6666666666666666</x:v>
      </x:c>
      <x:c r="AM84" s="38" t="n">
        <x:f>IF(AB84=0,0,AC84/AB84)</x:f>
        <x:v>0.875</x:v>
      </x:c>
      <x:c r="AN84" s="37" t="n">
        <x:f>ROUND((AD84*0.20+AE84*0.20+AF84*0.25+AG84*0.15+MIN(100,AC84*12)*0.20),1)</x:f>
        <x:v>88.8</x:v>
      </x:c>
      <x:c r="AO84" s="37" t="n">
        <x:f>ROUND(MAX(0,MIN(100,(X84*0.35)+(W84/45*100*0.20)+((5-O84)/4*100*0.15)+((5-P84)/4*100*0.10)+((6-Y84)/5*100*0.10)+((100-Z84)*0.10))),1)</x:f>
        <x:v>57.3</x:v>
      </x:c>
      <x:c r="AP84" s="37" t="str">
        <x:f>IF(AO84&gt;=70,"High",IF(AO84&gt;=40,"Moderate","Low"))</x:f>
        <x:v>Moderate</x:v>
      </x:c>
      <x:c r="AQ84" s="37" t="n">
        <x:f>ROUND(MAX(0,MIN(100,(O84/4*100*0.25)+(P84/4*100*0.20)+(Q84/4*100*0.15)+(Y84/5*100*0.20)+(100-AO84)*0.20)),1)</x:f>
        <x:v>69.3</x:v>
      </x:c>
      <x:c r="AR84" s="37" t="n">
        <x:f>ROUND((AI84*0.20+AJ84*0.15+AN84*0.18+AG84*0.12+Z84*0.15+AQ84*0.20),1)</x:f>
        <x:v>88.4</x:v>
      </x:c>
      <x:c r="AS84" s="39" t="n">
        <x:f>ROUND((AC84*AF84*120)+(AH84*350)+(MAX(0,AI84-75)*220)+(MAX(0,AQ84-60)*100),0)</x:f>
        <x:v>87514</x:v>
      </x:c>
    </x:row>
    <x:row r="85">
      <x:c r="A85" s="35" t="n">
        <x:v>84</x:v>
      </x:c>
      <x:c r="B85" s="35" t="n">
        <x:v>33</x:v>
      </x:c>
      <x:c r="C85" s="35" t="str">
        <x:v>Male</x:v>
      </x:c>
      <x:c r="D85" s="35" t="str">
        <x:v>Sales</x:v>
      </x:c>
      <x:c r="E85" s="35" t="str">
        <x:v>Sales Representative</x:v>
      </x:c>
      <x:c r="F85" s="35" t="str">
        <x:v>Business</x:v>
      </x:c>
      <x:c r="G85" s="35" t="str">
        <x:v>Single</x:v>
      </x:c>
      <x:c r="H85" s="35" t="n">
        <x:v>2</x:v>
      </x:c>
      <x:c r="I85" s="36" t="n">
        <x:v>6310</x:v>
      </x:c>
      <x:c r="J85" s="35" t="n">
        <x:v>6</x:v>
      </x:c>
      <x:c r="K85" s="35" t="n">
        <x:v>4</x:v>
      </x:c>
      <x:c r="L85" s="35" t="n">
        <x:v>3</x:v>
      </x:c>
      <x:c r="M85" s="35" t="n">
        <x:v>5</x:v>
      </x:c>
      <x:c r="N85" s="35" t="str">
        <x:v>No</x:v>
      </x:c>
      <x:c r="O85" s="35" t="n">
        <x:v>4</x:v>
      </x:c>
      <x:c r="P85" s="35" t="n">
        <x:v>2</x:v>
      </x:c>
      <x:c r="Q85" s="35" t="n">
        <x:v>3</x:v>
      </x:c>
      <x:c r="R85" s="35" t="n">
        <x:v>3</x:v>
      </x:c>
      <x:c r="S85" s="35" t="n">
        <x:v>3</x:v>
      </x:c>
      <x:c r="T85" s="35" t="n">
        <x:v>3</x:v>
      </x:c>
      <x:c r="U85" s="35" t="n">
        <x:v>0</x:v>
      </x:c>
      <x:c r="V85" s="35" t="n">
        <x:v>4</x:v>
      </x:c>
      <x:c r="W85" s="35" t="n">
        <x:v>10</x:v>
      </x:c>
      <x:c r="X85" s="35" t="n">
        <x:v>76</x:v>
      </x:c>
      <x:c r="Y85" s="35" t="n">
        <x:v>3</x:v>
      </x:c>
      <x:c r="Z85" s="35" t="n">
        <x:v>100</x:v>
      </x:c>
      <x:c r="AA85" s="35" t="n">
        <x:v>3</x:v>
      </x:c>
      <x:c r="AB85" s="35" t="n">
        <x:v>3</x:v>
      </x:c>
      <x:c r="AC85" s="35" t="n">
        <x:v>3</x:v>
      </x:c>
      <x:c r="AD85" s="35" t="n">
        <x:v>76</x:v>
      </x:c>
      <x:c r="AE85" s="35" t="n">
        <x:v>88</x:v>
      </x:c>
      <x:c r="AF85" s="35" t="n">
        <x:v>51</x:v>
      </x:c>
      <x:c r="AG85" s="35" t="n">
        <x:v>85</x:v>
      </x:c>
      <x:c r="AH85" s="35" t="n">
        <x:v>7</x:v>
      </x:c>
      <x:c r="AI85" s="37" t="n">
        <x:v>93.6</x:v>
      </x:c>
      <x:c r="AJ85" s="37" t="n">
        <x:v>100</x:v>
      </x:c>
      <x:c r="AK85" s="35" t="str">
        <x:v>Yes</x:v>
      </x:c>
      <x:c r="AL85" s="38" t="n">
        <x:f>IF(AA85=0,0,AB85/AA85)</x:f>
        <x:v>1</x:v>
      </x:c>
      <x:c r="AM85" s="38" t="n">
        <x:f>IF(AB85=0,0,AC85/AB85)</x:f>
        <x:v>1</x:v>
      </x:c>
      <x:c r="AN85" s="37" t="n">
        <x:f>ROUND((AD85*0.20+AE85*0.20+AF85*0.25+AG85*0.15+MIN(100,AC85*12)*0.20),1)</x:f>
        <x:v>65.5</x:v>
      </x:c>
      <x:c r="AO85" s="37" t="n">
        <x:f>ROUND(MAX(0,MIN(100,(X85*0.35)+(W85/45*100*0.20)+((5-O85)/4*100*0.15)+((5-P85)/4*100*0.10)+((6-Y85)/5*100*0.10)+((100-Z85)*0.10))),1)</x:f>
        <x:v>48.3</x:v>
      </x:c>
      <x:c r="AP85" s="37" t="str">
        <x:f>IF(AO85&gt;=70,"High",IF(AO85&gt;=40,"Moderate","Low"))</x:f>
        <x:v>Moderate</x:v>
      </x:c>
      <x:c r="AQ85" s="37" t="n">
        <x:f>ROUND(MAX(0,MIN(100,(O85/4*100*0.25)+(P85/4*100*0.20)+(Q85/4*100*0.15)+(Y85/5*100*0.20)+(100-AO85)*0.20)),1)</x:f>
        <x:v>68.6</x:v>
      </x:c>
      <x:c r="AR85" s="37" t="n">
        <x:f>ROUND((AI85*0.20+AJ85*0.15+AN85*0.18+AG85*0.12+Z85*0.15+AQ85*0.20),1)</x:f>
        <x:v>84.4</x:v>
      </x:c>
      <x:c r="AS85" s="39" t="n">
        <x:f>ROUND((AC85*AF85*120)+(AH85*350)+(MAX(0,AI85-75)*220)+(MAX(0,AQ85-60)*100),0)</x:f>
        <x:v>25762</x:v>
      </x:c>
    </x:row>
    <x:row r="86">
      <x:c r="A86" s="35" t="n">
        <x:v>85</x:v>
      </x:c>
      <x:c r="B86" s="35" t="n">
        <x:v>41</x:v>
      </x:c>
      <x:c r="C86" s="35" t="str">
        <x:v>Female</x:v>
      </x:c>
      <x:c r="D86" s="35" t="str">
        <x:v>Finance</x:v>
      </x:c>
      <x:c r="E86" s="35" t="str">
        <x:v>Accountant</x:v>
      </x:c>
      <x:c r="F86" s="35" t="str">
        <x:v>Business</x:v>
      </x:c>
      <x:c r="G86" s="35" t="str">
        <x:v>Divorced</x:v>
      </x:c>
      <x:c r="H86" s="35" t="n">
        <x:v>3</x:v>
      </x:c>
      <x:c r="I86" s="36" t="n">
        <x:v>17350</x:v>
      </x:c>
      <x:c r="J86" s="35" t="n">
        <x:v>15</x:v>
      </x:c>
      <x:c r="K86" s="35" t="n">
        <x:v>5</x:v>
      </x:c>
      <x:c r="L86" s="35" t="n">
        <x:v>2</x:v>
      </x:c>
      <x:c r="M86" s="35" t="n">
        <x:v>10</x:v>
      </x:c>
      <x:c r="N86" s="35" t="str">
        <x:v>No</x:v>
      </x:c>
      <x:c r="O86" s="35" t="n">
        <x:v>2</x:v>
      </x:c>
      <x:c r="P86" s="35" t="n">
        <x:v>4</x:v>
      </x:c>
      <x:c r="Q86" s="35" t="n">
        <x:v>3</x:v>
      </x:c>
      <x:c r="R86" s="35" t="n">
        <x:v>4</x:v>
      </x:c>
      <x:c r="S86" s="35" t="n">
        <x:v>3</x:v>
      </x:c>
      <x:c r="T86" s="35" t="n">
        <x:v>1</x:v>
      </x:c>
      <x:c r="U86" s="35" t="n">
        <x:v>3</x:v>
      </x:c>
      <x:c r="V86" s="35" t="n">
        <x:v>0</x:v>
      </x:c>
      <x:c r="W86" s="35" t="n">
        <x:v>0</x:v>
      </x:c>
      <x:c r="X86" s="35" t="n">
        <x:v>70</x:v>
      </x:c>
      <x:c r="Y86" s="35" t="n">
        <x:v>4</x:v>
      </x:c>
      <x:c r="Z86" s="35" t="n">
        <x:v>100</x:v>
      </x:c>
      <x:c r="AA86" s="35" t="n">
        <x:v>2</x:v>
      </x:c>
      <x:c r="AB86" s="35" t="n">
        <x:v>2</x:v>
      </x:c>
      <x:c r="AC86" s="35" t="n">
        <x:v>2</x:v>
      </x:c>
      <x:c r="AD86" s="35" t="n">
        <x:v>53</x:v>
      </x:c>
      <x:c r="AE86" s="35" t="n">
        <x:v>73</x:v>
      </x:c>
      <x:c r="AF86" s="35" t="n">
        <x:v>79</x:v>
      </x:c>
      <x:c r="AG86" s="35" t="n">
        <x:v>100</x:v>
      </x:c>
      <x:c r="AH86" s="35" t="n">
        <x:v>6</x:v>
      </x:c>
      <x:c r="AI86" s="37" t="n">
        <x:v>100</x:v>
      </x:c>
      <x:c r="AJ86" s="37" t="n">
        <x:v>100</x:v>
      </x:c>
      <x:c r="AK86" s="35" t="str">
        <x:v>No</x:v>
      </x:c>
      <x:c r="AL86" s="38" t="n">
        <x:f>IF(AA86=0,0,AB86/AA86)</x:f>
        <x:v>1</x:v>
      </x:c>
      <x:c r="AM86" s="38" t="n">
        <x:f>IF(AB86=0,0,AC86/AB86)</x:f>
        <x:v>1</x:v>
      </x:c>
      <x:c r="AN86" s="37" t="n">
        <x:f>ROUND((AD86*0.20+AE86*0.20+AF86*0.25+AG86*0.15+MIN(100,AC86*12)*0.20),1)</x:f>
        <x:v>64.8</x:v>
      </x:c>
      <x:c r="AO86" s="37" t="n">
        <x:f>ROUND(MAX(0,MIN(100,(X86*0.35)+(W86/45*100*0.20)+((5-O86)/4*100*0.15)+((5-P86)/4*100*0.10)+((6-Y86)/5*100*0.10)+((100-Z86)*0.10))),1)</x:f>
        <x:v>42.3</x:v>
      </x:c>
      <x:c r="AP86" s="37" t="str">
        <x:f>IF(AO86&gt;=70,"High",IF(AO86&gt;=40,"Moderate","Low"))</x:f>
        <x:v>Moderate</x:v>
      </x:c>
      <x:c r="AQ86" s="37" t="n">
        <x:f>ROUND(MAX(0,MIN(100,(O86/4*100*0.25)+(P86/4*100*0.20)+(Q86/4*100*0.15)+(Y86/5*100*0.20)+(100-AO86)*0.20)),1)</x:f>
        <x:v>71.3</x:v>
      </x:c>
      <x:c r="AR86" s="37" t="n">
        <x:f>ROUND((AI86*0.20+AJ86*0.15+AN86*0.18+AG86*0.12+Z86*0.15+AQ86*0.20),1)</x:f>
        <x:v>87.9</x:v>
      </x:c>
      <x:c r="AS86" s="39" t="n">
        <x:f>ROUND((AC86*AF86*120)+(AH86*350)+(MAX(0,AI86-75)*220)+(MAX(0,AQ86-60)*100),0)</x:f>
        <x:v>27690</x:v>
      </x:c>
    </x:row>
    <x:row r="87">
      <x:c r="A87" s="35" t="n">
        <x:v>86</x:v>
      </x:c>
      <x:c r="B87" s="35" t="n">
        <x:v>38</x:v>
      </x:c>
      <x:c r="C87" s="35" t="str">
        <x:v>Male</x:v>
      </x:c>
      <x:c r="D87" s="35" t="str">
        <x:v>Human Resources</x:v>
      </x:c>
      <x:c r="E87" s="35" t="str">
        <x:v>Talent Development Specialist</x:v>
      </x:c>
      <x:c r="F87" s="35" t="str">
        <x:v>Computer Science</x:v>
      </x:c>
      <x:c r="G87" s="35" t="str">
        <x:v>Married</x:v>
      </x:c>
      <x:c r="H87" s="35" t="n">
        <x:v>2</x:v>
      </x:c>
      <x:c r="I87" s="36" t="n">
        <x:v>8010</x:v>
      </x:c>
      <x:c r="J87" s="35" t="n">
        <x:v>15</x:v>
      </x:c>
      <x:c r="K87" s="35" t="n">
        <x:v>11</x:v>
      </x:c>
      <x:c r="L87" s="35" t="n">
        <x:v>4</x:v>
      </x:c>
      <x:c r="M87" s="35" t="n">
        <x:v>5</x:v>
      </x:c>
      <x:c r="N87" s="35" t="str">
        <x:v>No</x:v>
      </x:c>
      <x:c r="O87" s="35" t="n">
        <x:v>3</x:v>
      </x:c>
      <x:c r="P87" s="35" t="n">
        <x:v>2</x:v>
      </x:c>
      <x:c r="Q87" s="35" t="n">
        <x:v>4</x:v>
      </x:c>
      <x:c r="R87" s="35" t="n">
        <x:v>3</x:v>
      </x:c>
      <x:c r="S87" s="35" t="n">
        <x:v>3</x:v>
      </x:c>
      <x:c r="T87" s="35" t="n">
        <x:v>5</x:v>
      </x:c>
      <x:c r="U87" s="35" t="n">
        <x:v>2</x:v>
      </x:c>
      <x:c r="V87" s="35" t="n">
        <x:v>5</x:v>
      </x:c>
      <x:c r="W87" s="35" t="n">
        <x:v>4</x:v>
      </x:c>
      <x:c r="X87" s="35" t="n">
        <x:v>48</x:v>
      </x:c>
      <x:c r="Y87" s="35" t="n">
        <x:v>4</x:v>
      </x:c>
      <x:c r="Z87" s="35" t="n">
        <x:v>100</x:v>
      </x:c>
      <x:c r="AA87" s="35" t="n">
        <x:v>7</x:v>
      </x:c>
      <x:c r="AB87" s="35" t="n">
        <x:v>7</x:v>
      </x:c>
      <x:c r="AC87" s="35" t="n">
        <x:v>6</x:v>
      </x:c>
      <x:c r="AD87" s="35" t="n">
        <x:v>58</x:v>
      </x:c>
      <x:c r="AE87" s="35" t="n">
        <x:v>82</x:v>
      </x:c>
      <x:c r="AF87" s="35" t="n">
        <x:v>83</x:v>
      </x:c>
      <x:c r="AG87" s="35" t="n">
        <x:v>90</x:v>
      </x:c>
      <x:c r="AH87" s="35" t="n">
        <x:v>10</x:v>
      </x:c>
      <x:c r="AI87" s="37" t="n">
        <x:v>86.6</x:v>
      </x:c>
      <x:c r="AJ87" s="37" t="n">
        <x:v>87.2</x:v>
      </x:c>
      <x:c r="AK87" s="35" t="str">
        <x:v>Yes</x:v>
      </x:c>
      <x:c r="AL87" s="38" t="n">
        <x:f>IF(AA87=0,0,AB87/AA87)</x:f>
        <x:v>1</x:v>
      </x:c>
      <x:c r="AM87" s="38" t="n">
        <x:f>IF(AB87=0,0,AC87/AB87)</x:f>
        <x:v>0.8571428571428571</x:v>
      </x:c>
      <x:c r="AN87" s="37" t="n">
        <x:f>ROUND((AD87*0.20+AE87*0.20+AF87*0.25+AG87*0.15+MIN(100,AC87*12)*0.20),1)</x:f>
        <x:v>76.7</x:v>
      </x:c>
      <x:c r="AO87" s="37" t="n">
        <x:f>ROUND(MAX(0,MIN(100,(X87*0.35)+(W87/45*100*0.20)+((5-O87)/4*100*0.15)+((5-P87)/4*100*0.10)+((6-Y87)/5*100*0.10)+((100-Z87)*0.10))),1)</x:f>
        <x:v>37.6</x:v>
      </x:c>
      <x:c r="AP87" s="37" t="str">
        <x:f>IF(AO87&gt;=70,"High",IF(AO87&gt;=40,"Moderate","Low"))</x:f>
        <x:v>Low</x:v>
      </x:c>
      <x:c r="AQ87" s="37" t="n">
        <x:f>ROUND(MAX(0,MIN(100,(O87/4*100*0.25)+(P87/4*100*0.20)+(Q87/4*100*0.15)+(Y87/5*100*0.20)+(100-AO87)*0.20)),1)</x:f>
        <x:v>72.2</x:v>
      </x:c>
      <x:c r="AR87" s="37" t="n">
        <x:f>ROUND((AI87*0.20+AJ87*0.15+AN87*0.18+AG87*0.12+Z87*0.15+AQ87*0.20),1)</x:f>
        <x:v>84.4</x:v>
      </x:c>
      <x:c r="AS87" s="39" t="n">
        <x:f>ROUND((AC87*AF87*120)+(AH87*350)+(MAX(0,AI87-75)*220)+(MAX(0,AQ87-60)*100),0)</x:f>
        <x:v>67032</x:v>
      </x:c>
    </x:row>
    <x:row r="88">
      <x:c r="A88" s="35" t="n">
        <x:v>87</x:v>
      </x:c>
      <x:c r="B88" s="35" t="n">
        <x:v>35</x:v>
      </x:c>
      <x:c r="C88" s="35" t="str">
        <x:v>Male</x:v>
      </x:c>
      <x:c r="D88" s="35" t="str">
        <x:v>Research &amp; Development</x:v>
      </x:c>
      <x:c r="E88" s="35" t="str">
        <x:v>Research Scientist</x:v>
      </x:c>
      <x:c r="F88" s="35" t="str">
        <x:v>Life Sciences</x:v>
      </x:c>
      <x:c r="G88" s="35" t="str">
        <x:v>Married</x:v>
      </x:c>
      <x:c r="H88" s="35" t="n">
        <x:v>2</x:v>
      </x:c>
      <x:c r="I88" s="36" t="n">
        <x:v>11100</x:v>
      </x:c>
      <x:c r="J88" s="35" t="n">
        <x:v>7</x:v>
      </x:c>
      <x:c r="K88" s="35" t="n">
        <x:v>2</x:v>
      </x:c>
      <x:c r="L88" s="35" t="n">
        <x:v>1</x:v>
      </x:c>
      <x:c r="M88" s="35" t="n">
        <x:v>28</x:v>
      </x:c>
      <x:c r="N88" s="35" t="str">
        <x:v>No</x:v>
      </x:c>
      <x:c r="O88" s="35" t="n">
        <x:v>2</x:v>
      </x:c>
      <x:c r="P88" s="35" t="n">
        <x:v>4</x:v>
      </x:c>
      <x:c r="Q88" s="35" t="n">
        <x:v>2</x:v>
      </x:c>
      <x:c r="R88" s="35" t="n">
        <x:v>3</x:v>
      </x:c>
      <x:c r="S88" s="35" t="n">
        <x:v>3</x:v>
      </x:c>
      <x:c r="T88" s="35" t="n">
        <x:v>2</x:v>
      </x:c>
      <x:c r="U88" s="35" t="n">
        <x:v>3</x:v>
      </x:c>
      <x:c r="V88" s="35" t="n">
        <x:v>3</x:v>
      </x:c>
      <x:c r="W88" s="35" t="n">
        <x:v>0</x:v>
      </x:c>
      <x:c r="X88" s="35" t="n">
        <x:v>41</x:v>
      </x:c>
      <x:c r="Y88" s="35" t="n">
        <x:v>5</x:v>
      </x:c>
      <x:c r="Z88" s="35" t="n">
        <x:v>100</x:v>
      </x:c>
      <x:c r="AA88" s="35" t="n">
        <x:v>6</x:v>
      </x:c>
      <x:c r="AB88" s="35" t="n">
        <x:v>4</x:v>
      </x:c>
      <x:c r="AC88" s="35" t="n">
        <x:v>4</x:v>
      </x:c>
      <x:c r="AD88" s="35" t="n">
        <x:v>71</x:v>
      </x:c>
      <x:c r="AE88" s="35" t="n">
        <x:v>75</x:v>
      </x:c>
      <x:c r="AF88" s="35" t="n">
        <x:v>53</x:v>
      </x:c>
      <x:c r="AG88" s="35" t="n">
        <x:v>88</x:v>
      </x:c>
      <x:c r="AH88" s="35" t="n">
        <x:v>9</x:v>
      </x:c>
      <x:c r="AI88" s="37" t="n">
        <x:v>95.7</x:v>
      </x:c>
      <x:c r="AJ88" s="37" t="n">
        <x:v>96.2</x:v>
      </x:c>
      <x:c r="AK88" s="35" t="str">
        <x:v>No</x:v>
      </x:c>
      <x:c r="AL88" s="38" t="n">
        <x:f>IF(AA88=0,0,AB88/AA88)</x:f>
        <x:v>0.6666666666666666</x:v>
      </x:c>
      <x:c r="AM88" s="38" t="n">
        <x:f>IF(AB88=0,0,AC88/AB88)</x:f>
        <x:v>1</x:v>
      </x:c>
      <x:c r="AN88" s="37" t="n">
        <x:f>ROUND((AD88*0.20+AE88*0.20+AF88*0.25+AG88*0.15+MIN(100,AC88*12)*0.20),1)</x:f>
        <x:v>65.3</x:v>
      </x:c>
      <x:c r="AO88" s="37" t="n">
        <x:f>ROUND(MAX(0,MIN(100,(X88*0.35)+(W88/45*100*0.20)+((5-O88)/4*100*0.15)+((5-P88)/4*100*0.10)+((6-Y88)/5*100*0.10)+((100-Z88)*0.10))),1)</x:f>
        <x:v>30.1</x:v>
      </x:c>
      <x:c r="AP88" s="37" t="str">
        <x:f>IF(AO88&gt;=70,"High",IF(AO88&gt;=40,"Moderate","Low"))</x:f>
        <x:v>Low</x:v>
      </x:c>
      <x:c r="AQ88" s="37" t="n">
        <x:f>ROUND(MAX(0,MIN(100,(O88/4*100*0.25)+(P88/4*100*0.20)+(Q88/4*100*0.15)+(Y88/5*100*0.20)+(100-AO88)*0.20)),1)</x:f>
        <x:v>74</x:v>
      </x:c>
      <x:c r="AR88" s="37" t="n">
        <x:f>ROUND((AI88*0.20+AJ88*0.15+AN88*0.18+AG88*0.12+Z88*0.15+AQ88*0.20),1)</x:f>
        <x:v>85.7</x:v>
      </x:c>
      <x:c r="AS88" s="39" t="n">
        <x:f>ROUND((AC88*AF88*120)+(AH88*350)+(MAX(0,AI88-75)*220)+(MAX(0,AQ88-60)*100),0)</x:f>
        <x:v>34544</x:v>
      </x:c>
    </x:row>
    <x:row r="89">
      <x:c r="A89" s="35" t="n">
        <x:v>88</x:v>
      </x:c>
      <x:c r="B89" s="35" t="n">
        <x:v>21</x:v>
      </x:c>
      <x:c r="C89" s="35" t="str">
        <x:v>Female</x:v>
      </x:c>
      <x:c r="D89" s="35" t="str">
        <x:v>Operations</x:v>
      </x:c>
      <x:c r="E89" s="35" t="str">
        <x:v>Operations Manager</x:v>
      </x:c>
      <x:c r="F89" s="35" t="str">
        <x:v>Computer Science</x:v>
      </x:c>
      <x:c r="G89" s="35" t="str">
        <x:v>Married</x:v>
      </x:c>
      <x:c r="H89" s="35" t="n">
        <x:v>1</x:v>
      </x:c>
      <x:c r="I89" s="36" t="n">
        <x:v>6510</x:v>
      </x:c>
      <x:c r="J89" s="35" t="n">
        <x:v>0</x:v>
      </x:c>
      <x:c r="K89" s="35" t="n">
        <x:v>0</x:v>
      </x:c>
      <x:c r="L89" s="35" t="n">
        <x:v>0</x:v>
      </x:c>
      <x:c r="M89" s="35" t="n">
        <x:v>3</x:v>
      </x:c>
      <x:c r="N89" s="35" t="str">
        <x:v>No</x:v>
      </x:c>
      <x:c r="O89" s="35" t="n">
        <x:v>4</x:v>
      </x:c>
      <x:c r="P89" s="35" t="n">
        <x:v>4</x:v>
      </x:c>
      <x:c r="Q89" s="35" t="n">
        <x:v>4</x:v>
      </x:c>
      <x:c r="R89" s="35" t="n">
        <x:v>3</x:v>
      </x:c>
      <x:c r="S89" s="35" t="n">
        <x:v>3</x:v>
      </x:c>
      <x:c r="T89" s="35" t="n">
        <x:v>3</x:v>
      </x:c>
      <x:c r="U89" s="35" t="n">
        <x:v>2</x:v>
      </x:c>
      <x:c r="V89" s="35" t="n">
        <x:v>0</x:v>
      </x:c>
      <x:c r="W89" s="35" t="n">
        <x:v>0</x:v>
      </x:c>
      <x:c r="X89" s="35" t="n">
        <x:v>49</x:v>
      </x:c>
      <x:c r="Y89" s="35" t="n">
        <x:v>5</x:v>
      </x:c>
      <x:c r="Z89" s="35" t="n">
        <x:v>100</x:v>
      </x:c>
      <x:c r="AA89" s="35" t="n">
        <x:v>3</x:v>
      </x:c>
      <x:c r="AB89" s="35" t="n">
        <x:v>3</x:v>
      </x:c>
      <x:c r="AC89" s="35" t="n">
        <x:v>2</x:v>
      </x:c>
      <x:c r="AD89" s="35" t="n">
        <x:v>64</x:v>
      </x:c>
      <x:c r="AE89" s="35" t="n">
        <x:v>68</x:v>
      </x:c>
      <x:c r="AF89" s="35" t="n">
        <x:v>51</x:v>
      </x:c>
      <x:c r="AG89" s="35" t="n">
        <x:v>87</x:v>
      </x:c>
      <x:c r="AH89" s="35" t="n">
        <x:v>8</x:v>
      </x:c>
      <x:c r="AI89" s="37" t="n">
        <x:v>91.4</x:v>
      </x:c>
      <x:c r="AJ89" s="37" t="n">
        <x:v>100</x:v>
      </x:c>
      <x:c r="AK89" s="35" t="str">
        <x:v>No</x:v>
      </x:c>
      <x:c r="AL89" s="38" t="n">
        <x:f>IF(AA89=0,0,AB89/AA89)</x:f>
        <x:v>1</x:v>
      </x:c>
      <x:c r="AM89" s="38" t="n">
        <x:f>IF(AB89=0,0,AC89/AB89)</x:f>
        <x:v>0.6666666666666666</x:v>
      </x:c>
      <x:c r="AN89" s="37" t="n">
        <x:f>ROUND((AD89*0.20+AE89*0.20+AF89*0.25+AG89*0.15+MIN(100,AC89*12)*0.20),1)</x:f>
        <x:v>57</x:v>
      </x:c>
      <x:c r="AO89" s="37" t="n">
        <x:f>ROUND(MAX(0,MIN(100,(X89*0.35)+(W89/45*100*0.20)+((5-O89)/4*100*0.15)+((5-P89)/4*100*0.10)+((6-Y89)/5*100*0.10)+((100-Z89)*0.10))),1)</x:f>
        <x:v>25.4</x:v>
      </x:c>
      <x:c r="AP89" s="37" t="str">
        <x:f>IF(AO89&gt;=70,"High",IF(AO89&gt;=40,"Moderate","Low"))</x:f>
        <x:v>Low</x:v>
      </x:c>
      <x:c r="AQ89" s="37" t="n">
        <x:f>ROUND(MAX(0,MIN(100,(O89/4*100*0.25)+(P89/4*100*0.20)+(Q89/4*100*0.15)+(Y89/5*100*0.20)+(100-AO89)*0.20)),1)</x:f>
        <x:v>94.9</x:v>
      </x:c>
      <x:c r="AR89" s="37" t="n">
        <x:f>ROUND((AI89*0.20+AJ89*0.15+AN89*0.18+AG89*0.12+Z89*0.15+AQ89*0.20),1)</x:f>
        <x:v>88</x:v>
      </x:c>
      <x:c r="AS89" s="39" t="n">
        <x:f>ROUND((AC89*AF89*120)+(AH89*350)+(MAX(0,AI89-75)*220)+(MAX(0,AQ89-60)*100),0)</x:f>
        <x:v>22138</x:v>
      </x:c>
    </x:row>
    <x:row r="90">
      <x:c r="A90" s="35" t="n">
        <x:v>89</x:v>
      </x:c>
      <x:c r="B90" s="35" t="n">
        <x:v>34</x:v>
      </x:c>
      <x:c r="C90" s="35" t="str">
        <x:v>Male</x:v>
      </x:c>
      <x:c r="D90" s="35" t="str">
        <x:v>Finance</x:v>
      </x:c>
      <x:c r="E90" s="35" t="str">
        <x:v>Financial Analyst</x:v>
      </x:c>
      <x:c r="F90" s="35" t="str">
        <x:v>Marketing</x:v>
      </x:c>
      <x:c r="G90" s="35" t="str">
        <x:v>Married</x:v>
      </x:c>
      <x:c r="H90" s="35" t="n">
        <x:v>2</x:v>
      </x:c>
      <x:c r="I90" s="36" t="n">
        <x:v>10720</x:v>
      </x:c>
      <x:c r="J90" s="35" t="n">
        <x:v>7</x:v>
      </x:c>
      <x:c r="K90" s="35" t="n">
        <x:v>4</x:v>
      </x:c>
      <x:c r="L90" s="35" t="n">
        <x:v>2</x:v>
      </x:c>
      <x:c r="M90" s="35" t="n">
        <x:v>10</x:v>
      </x:c>
      <x:c r="N90" s="35" t="str">
        <x:v>Yes</x:v>
      </x:c>
      <x:c r="O90" s="35" t="n">
        <x:v>2</x:v>
      </x:c>
      <x:c r="P90" s="35" t="n">
        <x:v>2</x:v>
      </x:c>
      <x:c r="Q90" s="35" t="n">
        <x:v>3</x:v>
      </x:c>
      <x:c r="R90" s="35" t="n">
        <x:v>3</x:v>
      </x:c>
      <x:c r="S90" s="35" t="n">
        <x:v>3</x:v>
      </x:c>
      <x:c r="T90" s="35" t="n">
        <x:v>4</x:v>
      </x:c>
      <x:c r="U90" s="35" t="n">
        <x:v>2</x:v>
      </x:c>
      <x:c r="V90" s="35" t="n">
        <x:v>9</x:v>
      </x:c>
      <x:c r="W90" s="35" t="n">
        <x:v>24</x:v>
      </x:c>
      <x:c r="X90" s="35" t="n">
        <x:v>91</x:v>
      </x:c>
      <x:c r="Y90" s="35" t="n">
        <x:v>4</x:v>
      </x:c>
      <x:c r="Z90" s="35" t="n">
        <x:v>90</x:v>
      </x:c>
      <x:c r="AA90" s="35" t="n">
        <x:v>2</x:v>
      </x:c>
      <x:c r="AB90" s="35" t="n">
        <x:v>1</x:v>
      </x:c>
      <x:c r="AC90" s="35" t="n">
        <x:v>1</x:v>
      </x:c>
      <x:c r="AD90" s="35" t="n">
        <x:v>71</x:v>
      </x:c>
      <x:c r="AE90" s="35" t="n">
        <x:v>80</x:v>
      </x:c>
      <x:c r="AF90" s="35" t="n">
        <x:v>84</x:v>
      </x:c>
      <x:c r="AG90" s="35" t="n">
        <x:v>81</x:v>
      </x:c>
      <x:c r="AH90" s="35" t="n">
        <x:v>3</x:v>
      </x:c>
      <x:c r="AI90" s="37" t="n">
        <x:v>90.1</x:v>
      </x:c>
      <x:c r="AJ90" s="37" t="n">
        <x:v>95.5</x:v>
      </x:c>
      <x:c r="AK90" s="35" t="str">
        <x:v>No</x:v>
      </x:c>
      <x:c r="AL90" s="38" t="n">
        <x:f>IF(AA90=0,0,AB90/AA90)</x:f>
        <x:v>0.5</x:v>
      </x:c>
      <x:c r="AM90" s="38" t="n">
        <x:f>IF(AB90=0,0,AC90/AB90)</x:f>
        <x:v>1</x:v>
      </x:c>
      <x:c r="AN90" s="37" t="n">
        <x:f>ROUND((AD90*0.20+AE90*0.20+AF90*0.25+AG90*0.15+MIN(100,AC90*12)*0.20),1)</x:f>
        <x:v>65.8</x:v>
      </x:c>
      <x:c r="AO90" s="37" t="n">
        <x:f>ROUND(MAX(0,MIN(100,(X90*0.35)+(W90/45*100*0.20)+((5-O90)/4*100*0.15)+((5-P90)/4*100*0.10)+((6-Y90)/5*100*0.10)+((100-Z90)*0.10))),1)</x:f>
        <x:v>66.3</x:v>
      </x:c>
      <x:c r="AP90" s="37" t="str">
        <x:f>IF(AO90&gt;=70,"High",IF(AO90&gt;=40,"Moderate","Low"))</x:f>
        <x:v>Moderate</x:v>
      </x:c>
      <x:c r="AQ90" s="37" t="n">
        <x:f>ROUND(MAX(0,MIN(100,(O90/4*100*0.25)+(P90/4*100*0.20)+(Q90/4*100*0.15)+(Y90/5*100*0.20)+(100-AO90)*0.20)),1)</x:f>
        <x:v>56.5</x:v>
      </x:c>
      <x:c r="AR90" s="37" t="n">
        <x:f>ROUND((AI90*0.20+AJ90*0.15+AN90*0.18+AG90*0.12+Z90*0.15+AQ90*0.20),1)</x:f>
        <x:v>78.7</x:v>
      </x:c>
      <x:c r="AS90" s="39" t="n">
        <x:f>ROUND((AC90*AF90*120)+(AH90*350)+(MAX(0,AI90-75)*220)+(MAX(0,AQ90-60)*100),0)</x:f>
        <x:v>14452</x:v>
      </x:c>
    </x:row>
    <x:row r="91">
      <x:c r="A91" s="35" t="n">
        <x:v>90</x:v>
      </x:c>
      <x:c r="B91" s="35" t="n">
        <x:v>21</x:v>
      </x:c>
      <x:c r="C91" s="35" t="str">
        <x:v>Male</x:v>
      </x:c>
      <x:c r="D91" s="35" t="str">
        <x:v>Operations</x:v>
      </x:c>
      <x:c r="E91" s="35" t="str">
        <x:v>Quality Specialist</x:v>
      </x:c>
      <x:c r="F91" s="35" t="str">
        <x:v>Marketing</x:v>
      </x:c>
      <x:c r="G91" s="35" t="str">
        <x:v>Single</x:v>
      </x:c>
      <x:c r="H91" s="35" t="n">
        <x:v>1</x:v>
      </x:c>
      <x:c r="I91" s="36" t="n">
        <x:v>6310</x:v>
      </x:c>
      <x:c r="J91" s="35" t="n">
        <x:v>0</x:v>
      </x:c>
      <x:c r="K91" s="35" t="n">
        <x:v>0</x:v>
      </x:c>
      <x:c r="L91" s="35" t="n">
        <x:v>0</x:v>
      </x:c>
      <x:c r="M91" s="35" t="n">
        <x:v>13</x:v>
      </x:c>
      <x:c r="N91" s="35" t="str">
        <x:v>No</x:v>
      </x:c>
      <x:c r="O91" s="35" t="n">
        <x:v>3</x:v>
      </x:c>
      <x:c r="P91" s="35" t="n">
        <x:v>3</x:v>
      </x:c>
      <x:c r="Q91" s="35" t="n">
        <x:v>3</x:v>
      </x:c>
      <x:c r="R91" s="35" t="n">
        <x:v>4</x:v>
      </x:c>
      <x:c r="S91" s="35" t="n">
        <x:v>3</x:v>
      </x:c>
      <x:c r="T91" s="35" t="n">
        <x:v>3</x:v>
      </x:c>
      <x:c r="U91" s="35" t="n">
        <x:v>1</x:v>
      </x:c>
      <x:c r="V91" s="35" t="n">
        <x:v>2</x:v>
      </x:c>
      <x:c r="W91" s="35" t="n">
        <x:v>10</x:v>
      </x:c>
      <x:c r="X91" s="35" t="n">
        <x:v>67</x:v>
      </x:c>
      <x:c r="Y91" s="35" t="n">
        <x:v>3</x:v>
      </x:c>
      <x:c r="Z91" s="35" t="n">
        <x:v>100</x:v>
      </x:c>
      <x:c r="AA91" s="35" t="n">
        <x:v>9</x:v>
      </x:c>
      <x:c r="AB91" s="35" t="n">
        <x:v>9</x:v>
      </x:c>
      <x:c r="AC91" s="35" t="n">
        <x:v>7</x:v>
      </x:c>
      <x:c r="AD91" s="35" t="n">
        <x:v>71</x:v>
      </x:c>
      <x:c r="AE91" s="35" t="n">
        <x:v>100</x:v>
      </x:c>
      <x:c r="AF91" s="35" t="n">
        <x:v>87</x:v>
      </x:c>
      <x:c r="AG91" s="35" t="n">
        <x:v>100</x:v>
      </x:c>
      <x:c r="AH91" s="35" t="n">
        <x:v>12</x:v>
      </x:c>
      <x:c r="AI91" s="37" t="n">
        <x:v>97.6</x:v>
      </x:c>
      <x:c r="AJ91" s="37" t="n">
        <x:v>96.5</x:v>
      </x:c>
      <x:c r="AK91" s="35" t="str">
        <x:v>No</x:v>
      </x:c>
      <x:c r="AL91" s="38" t="n">
        <x:f>IF(AA91=0,0,AB91/AA91)</x:f>
        <x:v>1</x:v>
      </x:c>
      <x:c r="AM91" s="38" t="n">
        <x:f>IF(AB91=0,0,AC91/AB91)</x:f>
        <x:v>0.7777777777777778</x:v>
      </x:c>
      <x:c r="AN91" s="37" t="n">
        <x:f>ROUND((AD91*0.20+AE91*0.20+AF91*0.25+AG91*0.15+MIN(100,AC91*12)*0.20),1)</x:f>
        <x:v>87.8</x:v>
      </x:c>
      <x:c r="AO91" s="37" t="n">
        <x:f>ROUND(MAX(0,MIN(100,(X91*0.35)+(W91/45*100*0.20)+((5-O91)/4*100*0.15)+((5-P91)/4*100*0.10)+((6-Y91)/5*100*0.10)+((100-Z91)*0.10))),1)</x:f>
        <x:v>46.4</x:v>
      </x:c>
      <x:c r="AP91" s="37" t="str">
        <x:f>IF(AO91&gt;=70,"High",IF(AO91&gt;=40,"Moderate","Low"))</x:f>
        <x:v>Moderate</x:v>
      </x:c>
      <x:c r="AQ91" s="37" t="n">
        <x:f>ROUND(MAX(0,MIN(100,(O91/4*100*0.25)+(P91/4*100*0.20)+(Q91/4*100*0.15)+(Y91/5*100*0.20)+(100-AO91)*0.20)),1)</x:f>
        <x:v>67.7</x:v>
      </x:c>
      <x:c r="AR91" s="37" t="n">
        <x:f>ROUND((AI91*0.20+AJ91*0.15+AN91*0.18+AG91*0.12+Z91*0.15+AQ91*0.20),1)</x:f>
        <x:v>90.3</x:v>
      </x:c>
      <x:c r="AS91" s="39" t="n">
        <x:f>ROUND((AC91*AF91*120)+(AH91*350)+(MAX(0,AI91-75)*220)+(MAX(0,AQ91-60)*100),0)</x:f>
        <x:v>83022</x:v>
      </x:c>
    </x:row>
    <x:row r="92">
      <x:c r="A92" s="35" t="n">
        <x:v>91</x:v>
      </x:c>
      <x:c r="B92" s="35" t="n">
        <x:v>38</x:v>
      </x:c>
      <x:c r="C92" s="35" t="str">
        <x:v>Female</x:v>
      </x:c>
      <x:c r="D92" s="35" t="str">
        <x:v>Sales</x:v>
      </x:c>
      <x:c r="E92" s="35" t="str">
        <x:v>Account Manager</x:v>
      </x:c>
      <x:c r="F92" s="35" t="str">
        <x:v>Computer Science</x:v>
      </x:c>
      <x:c r="G92" s="35" t="str">
        <x:v>Divorced</x:v>
      </x:c>
      <x:c r="H92" s="35" t="n">
        <x:v>2</x:v>
      </x:c>
      <x:c r="I92" s="36" t="n">
        <x:v>10990</x:v>
      </x:c>
      <x:c r="J92" s="35" t="n">
        <x:v>12</x:v>
      </x:c>
      <x:c r="K92" s="35" t="n">
        <x:v>5</x:v>
      </x:c>
      <x:c r="L92" s="35" t="n">
        <x:v>3</x:v>
      </x:c>
      <x:c r="M92" s="35" t="n">
        <x:v>10</x:v>
      </x:c>
      <x:c r="N92" s="35" t="str">
        <x:v>No</x:v>
      </x:c>
      <x:c r="O92" s="35" t="n">
        <x:v>3</x:v>
      </x:c>
      <x:c r="P92" s="35" t="n">
        <x:v>3</x:v>
      </x:c>
      <x:c r="Q92" s="35" t="n">
        <x:v>3</x:v>
      </x:c>
      <x:c r="R92" s="35" t="n">
        <x:v>3</x:v>
      </x:c>
      <x:c r="S92" s="35" t="n">
        <x:v>3</x:v>
      </x:c>
      <x:c r="T92" s="35" t="n">
        <x:v>3</x:v>
      </x:c>
      <x:c r="U92" s="35" t="n">
        <x:v>1</x:v>
      </x:c>
      <x:c r="V92" s="35" t="n">
        <x:v>8</x:v>
      </x:c>
      <x:c r="W92" s="35" t="n">
        <x:v>3</x:v>
      </x:c>
      <x:c r="X92" s="35" t="n">
        <x:v>68</x:v>
      </x:c>
      <x:c r="Y92" s="35" t="n">
        <x:v>4</x:v>
      </x:c>
      <x:c r="Z92" s="35" t="n">
        <x:v>98</x:v>
      </x:c>
      <x:c r="AA92" s="35" t="n">
        <x:v>2</x:v>
      </x:c>
      <x:c r="AB92" s="35" t="n">
        <x:v>2</x:v>
      </x:c>
      <x:c r="AC92" s="35" t="n">
        <x:v>1</x:v>
      </x:c>
      <x:c r="AD92" s="35" t="n">
        <x:v>58</x:v>
      </x:c>
      <x:c r="AE92" s="35" t="n">
        <x:v>73</x:v>
      </x:c>
      <x:c r="AF92" s="35" t="n">
        <x:v>70</x:v>
      </x:c>
      <x:c r="AG92" s="35" t="n">
        <x:v>99</x:v>
      </x:c>
      <x:c r="AH92" s="35" t="n">
        <x:v>6</x:v>
      </x:c>
      <x:c r="AI92" s="37" t="n">
        <x:v>98.7</x:v>
      </x:c>
      <x:c r="AJ92" s="37" t="n">
        <x:v>100</x:v>
      </x:c>
      <x:c r="AK92" s="35" t="str">
        <x:v>No</x:v>
      </x:c>
      <x:c r="AL92" s="38" t="n">
        <x:f>IF(AA92=0,0,AB92/AA92)</x:f>
        <x:v>1</x:v>
      </x:c>
      <x:c r="AM92" s="38" t="n">
        <x:f>IF(AB92=0,0,AC92/AB92)</x:f>
        <x:v>0.5</x:v>
      </x:c>
      <x:c r="AN92" s="37" t="n">
        <x:f>ROUND((AD92*0.20+AE92*0.20+AF92*0.25+AG92*0.15+MIN(100,AC92*12)*0.20),1)</x:f>
        <x:v>61</x:v>
      </x:c>
      <x:c r="AO92" s="37" t="n">
        <x:f>ROUND(MAX(0,MIN(100,(X92*0.35)+(W92/45*100*0.20)+((5-O92)/4*100*0.15)+((5-P92)/4*100*0.10)+((6-Y92)/5*100*0.10)+((100-Z92)*0.10))),1)</x:f>
        <x:v>41.8</x:v>
      </x:c>
      <x:c r="AP92" s="37" t="str">
        <x:f>IF(AO92&gt;=70,"High",IF(AO92&gt;=40,"Moderate","Low"))</x:f>
        <x:v>Moderate</x:v>
      </x:c>
      <x:c r="AQ92" s="37" t="n">
        <x:f>ROUND(MAX(0,MIN(100,(O92/4*100*0.25)+(P92/4*100*0.20)+(Q92/4*100*0.15)+(Y92/5*100*0.20)+(100-AO92)*0.20)),1)</x:f>
        <x:v>72.6</x:v>
      </x:c>
      <x:c r="AR92" s="37" t="n">
        <x:f>ROUND((AI92*0.20+AJ92*0.15+AN92*0.18+AG92*0.12+Z92*0.15+AQ92*0.20),1)</x:f>
        <x:v>86.8</x:v>
      </x:c>
      <x:c r="AS92" s="39" t="n">
        <x:f>ROUND((AC92*AF92*120)+(AH92*350)+(MAX(0,AI92-75)*220)+(MAX(0,AQ92-60)*100),0)</x:f>
        <x:v>16974</x:v>
      </x:c>
    </x:row>
    <x:row r="93">
      <x:c r="A93" s="35" t="n">
        <x:v>92</x:v>
      </x:c>
      <x:c r="B93" s="35" t="n">
        <x:v>45</x:v>
      </x:c>
      <x:c r="C93" s="35" t="str">
        <x:v>Female</x:v>
      </x:c>
      <x:c r="D93" s="35" t="str">
        <x:v>Finance</x:v>
      </x:c>
      <x:c r="E93" s="35" t="str">
        <x:v>Accountant</x:v>
      </x:c>
      <x:c r="F93" s="35" t="str">
        <x:v>Business</x:v>
      </x:c>
      <x:c r="G93" s="35" t="str">
        <x:v>Married</x:v>
      </x:c>
      <x:c r="H93" s="35" t="n">
        <x:v>2</x:v>
      </x:c>
      <x:c r="I93" s="36" t="n">
        <x:v>8460</x:v>
      </x:c>
      <x:c r="J93" s="35" t="n">
        <x:v>21</x:v>
      </x:c>
      <x:c r="K93" s="35" t="n">
        <x:v>15</x:v>
      </x:c>
      <x:c r="L93" s="35" t="n">
        <x:v>6</x:v>
      </x:c>
      <x:c r="M93" s="35" t="n">
        <x:v>12</x:v>
      </x:c>
      <x:c r="N93" s="35" t="str">
        <x:v>No</x:v>
      </x:c>
      <x:c r="O93" s="35" t="n">
        <x:v>2</x:v>
      </x:c>
      <x:c r="P93" s="35" t="n">
        <x:v>3</x:v>
      </x:c>
      <x:c r="Q93" s="35" t="n">
        <x:v>1</x:v>
      </x:c>
      <x:c r="R93" s="35" t="n">
        <x:v>2</x:v>
      </x:c>
      <x:c r="S93" s="35" t="n">
        <x:v>4</x:v>
      </x:c>
      <x:c r="T93" s="35" t="n">
        <x:v>2</x:v>
      </x:c>
      <x:c r="U93" s="35" t="n">
        <x:v>1</x:v>
      </x:c>
      <x:c r="V93" s="35" t="n">
        <x:v>10</x:v>
      </x:c>
      <x:c r="W93" s="35" t="n">
        <x:v>4</x:v>
      </x:c>
      <x:c r="X93" s="35" t="n">
        <x:v>83</x:v>
      </x:c>
      <x:c r="Y93" s="35" t="n">
        <x:v>4</x:v>
      </x:c>
      <x:c r="Z93" s="35" t="n">
        <x:v>90</x:v>
      </x:c>
      <x:c r="AA93" s="35" t="n">
        <x:v>3</x:v>
      </x:c>
      <x:c r="AB93" s="35" t="n">
        <x:v>1</x:v>
      </x:c>
      <x:c r="AC93" s="35" t="n">
        <x:v>1</x:v>
      </x:c>
      <x:c r="AD93" s="35" t="n">
        <x:v>74</x:v>
      </x:c>
      <x:c r="AE93" s="35" t="n">
        <x:v>61</x:v>
      </x:c>
      <x:c r="AF93" s="35" t="n">
        <x:v>72</x:v>
      </x:c>
      <x:c r="AG93" s="35" t="n">
        <x:v>81</x:v>
      </x:c>
      <x:c r="AH93" s="35" t="n">
        <x:v>8</x:v>
      </x:c>
      <x:c r="AI93" s="37" t="n">
        <x:v>98.1</x:v>
      </x:c>
      <x:c r="AJ93" s="37" t="n">
        <x:v>95.1</x:v>
      </x:c>
      <x:c r="AK93" s="35" t="str">
        <x:v>No</x:v>
      </x:c>
      <x:c r="AL93" s="38" t="n">
        <x:f>IF(AA93=0,0,AB93/AA93)</x:f>
        <x:v>0.3333333333333333</x:v>
      </x:c>
      <x:c r="AM93" s="38" t="n">
        <x:f>IF(AB93=0,0,AC93/AB93)</x:f>
        <x:v>1</x:v>
      </x:c>
      <x:c r="AN93" s="37" t="n">
        <x:f>ROUND((AD93*0.20+AE93*0.20+AF93*0.25+AG93*0.15+MIN(100,AC93*12)*0.20),1)</x:f>
        <x:v>59.6</x:v>
      </x:c>
      <x:c r="AO93" s="37" t="n">
        <x:f>ROUND(MAX(0,MIN(100,(X93*0.35)+(W93/45*100*0.20)+((5-O93)/4*100*0.15)+((5-P93)/4*100*0.10)+((6-Y93)/5*100*0.10)+((100-Z93)*0.10))),1)</x:f>
        <x:v>52.1</x:v>
      </x:c>
      <x:c r="AP93" s="37" t="str">
        <x:f>IF(AO93&gt;=70,"High",IF(AO93&gt;=40,"Moderate","Low"))</x:f>
        <x:v>Moderate</x:v>
      </x:c>
      <x:c r="AQ93" s="37" t="n">
        <x:f>ROUND(MAX(0,MIN(100,(O93/4*100*0.25)+(P93/4*100*0.20)+(Q93/4*100*0.15)+(Y93/5*100*0.20)+(100-AO93)*0.20)),1)</x:f>
        <x:v>56.8</x:v>
      </x:c>
      <x:c r="AR93" s="37" t="n">
        <x:f>ROUND((AI93*0.20+AJ93*0.15+AN93*0.18+AG93*0.12+Z93*0.15+AQ93*0.20),1)</x:f>
        <x:v>79.2</x:v>
      </x:c>
      <x:c r="AS93" s="39" t="n">
        <x:f>ROUND((AC93*AF93*120)+(AH93*350)+(MAX(0,AI93-75)*220)+(MAX(0,AQ93-60)*100),0)</x:f>
        <x:v>16522</x:v>
      </x:c>
    </x:row>
    <x:row r="94">
      <x:c r="A94" s="35" t="n">
        <x:v>93</x:v>
      </x:c>
      <x:c r="B94" s="35" t="n">
        <x:v>42</x:v>
      </x:c>
      <x:c r="C94" s="35" t="str">
        <x:v>Female</x:v>
      </x:c>
      <x:c r="D94" s="35" t="str">
        <x:v>Information Technology</x:v>
      </x:c>
      <x:c r="E94" s="35" t="str">
        <x:v>Systems Analyst</x:v>
      </x:c>
      <x:c r="F94" s="35" t="str">
        <x:v>Business</x:v>
      </x:c>
      <x:c r="G94" s="35" t="str">
        <x:v>Married</x:v>
      </x:c>
      <x:c r="H94" s="35" t="n">
        <x:v>3</x:v>
      </x:c>
      <x:c r="I94" s="36" t="n">
        <x:v>12490</x:v>
      </x:c>
      <x:c r="J94" s="35" t="n">
        <x:v>17</x:v>
      </x:c>
      <x:c r="K94" s="35" t="n">
        <x:v>5</x:v>
      </x:c>
      <x:c r="L94" s="35" t="n">
        <x:v>4</x:v>
      </x:c>
      <x:c r="M94" s="35" t="n">
        <x:v>4</x:v>
      </x:c>
      <x:c r="N94" s="35" t="str">
        <x:v>Yes</x:v>
      </x:c>
      <x:c r="O94" s="35" t="n">
        <x:v>3</x:v>
      </x:c>
      <x:c r="P94" s="35" t="n">
        <x:v>3</x:v>
      </x:c>
      <x:c r="Q94" s="35" t="n">
        <x:v>1</x:v>
      </x:c>
      <x:c r="R94" s="35" t="n">
        <x:v>4</x:v>
      </x:c>
      <x:c r="S94" s="35" t="n">
        <x:v>3</x:v>
      </x:c>
      <x:c r="T94" s="35" t="n">
        <x:v>2</x:v>
      </x:c>
      <x:c r="U94" s="35" t="n">
        <x:v>1</x:v>
      </x:c>
      <x:c r="V94" s="35" t="n">
        <x:v>5</x:v>
      </x:c>
      <x:c r="W94" s="35" t="n">
        <x:v>25</x:v>
      </x:c>
      <x:c r="X94" s="35" t="n">
        <x:v>49</x:v>
      </x:c>
      <x:c r="Y94" s="35" t="n">
        <x:v>5</x:v>
      </x:c>
      <x:c r="Z94" s="35" t="n">
        <x:v>100</x:v>
      </x:c>
      <x:c r="AA94" s="35" t="n">
        <x:v>7</x:v>
      </x:c>
      <x:c r="AB94" s="35" t="n">
        <x:v>5</x:v>
      </x:c>
      <x:c r="AC94" s="35" t="n">
        <x:v>4</x:v>
      </x:c>
      <x:c r="AD94" s="35" t="n">
        <x:v>100</x:v>
      </x:c>
      <x:c r="AE94" s="35" t="n">
        <x:v>78</x:v>
      </x:c>
      <x:c r="AF94" s="35" t="n">
        <x:v>84</x:v>
      </x:c>
      <x:c r="AG94" s="35" t="n">
        <x:v>91</x:v>
      </x:c>
      <x:c r="AH94" s="35" t="n">
        <x:v>6</x:v>
      </x:c>
      <x:c r="AI94" s="37" t="n">
        <x:v>99.3</x:v>
      </x:c>
      <x:c r="AJ94" s="37" t="n">
        <x:v>90.9</x:v>
      </x:c>
      <x:c r="AK94" s="35" t="str">
        <x:v>No</x:v>
      </x:c>
      <x:c r="AL94" s="38" t="n">
        <x:f>IF(AA94=0,0,AB94/AA94)</x:f>
        <x:v>0.7142857142857143</x:v>
      </x:c>
      <x:c r="AM94" s="38" t="n">
        <x:f>IF(AB94=0,0,AC94/AB94)</x:f>
        <x:v>0.8</x:v>
      </x:c>
      <x:c r="AN94" s="37" t="n">
        <x:f>ROUND((AD94*0.20+AE94*0.20+AF94*0.25+AG94*0.15+MIN(100,AC94*12)*0.20),1)</x:f>
        <x:v>79.9</x:v>
      </x:c>
      <x:c r="AO94" s="37" t="n">
        <x:f>ROUND(MAX(0,MIN(100,(X94*0.35)+(W94/45*100*0.20)+((5-O94)/4*100*0.15)+((5-P94)/4*100*0.10)+((6-Y94)/5*100*0.10)+((100-Z94)*0.10))),1)</x:f>
        <x:v>42.8</x:v>
      </x:c>
      <x:c r="AP94" s="37" t="str">
        <x:f>IF(AO94&gt;=70,"High",IF(AO94&gt;=40,"Moderate","Low"))</x:f>
        <x:v>Moderate</x:v>
      </x:c>
      <x:c r="AQ94" s="37" t="n">
        <x:f>ROUND(MAX(0,MIN(100,(O94/4*100*0.25)+(P94/4*100*0.20)+(Q94/4*100*0.15)+(Y94/5*100*0.20)+(100-AO94)*0.20)),1)</x:f>
        <x:v>68.9</x:v>
      </x:c>
      <x:c r="AR94" s="37" t="n">
        <x:f>ROUND((AI94*0.20+AJ94*0.15+AN94*0.18+AG94*0.12+Z94*0.15+AQ94*0.20),1)</x:f>
        <x:v>87.6</x:v>
      </x:c>
      <x:c r="AS94" s="39" t="n">
        <x:f>ROUND((AC94*AF94*120)+(AH94*350)+(MAX(0,AI94-75)*220)+(MAX(0,AQ94-60)*100),0)</x:f>
        <x:v>48656</x:v>
      </x:c>
    </x:row>
    <x:row r="95">
      <x:c r="A95" s="35" t="n">
        <x:v>94</x:v>
      </x:c>
      <x:c r="B95" s="35" t="n">
        <x:v>33</x:v>
      </x:c>
      <x:c r="C95" s="35" t="str">
        <x:v>Female</x:v>
      </x:c>
      <x:c r="D95" s="35" t="str">
        <x:v>Operations</x:v>
      </x:c>
      <x:c r="E95" s="35" t="str">
        <x:v>Quality Specialist</x:v>
      </x:c>
      <x:c r="F95" s="35" t="str">
        <x:v>Marketing</x:v>
      </x:c>
      <x:c r="G95" s="35" t="str">
        <x:v>Married</x:v>
      </x:c>
      <x:c r="H95" s="35" t="n">
        <x:v>2</x:v>
      </x:c>
      <x:c r="I95" s="36" t="n">
        <x:v>8420</x:v>
      </x:c>
      <x:c r="J95" s="35" t="n">
        <x:v>8</x:v>
      </x:c>
      <x:c r="K95" s="35" t="n">
        <x:v>2</x:v>
      </x:c>
      <x:c r="L95" s="35" t="n">
        <x:v>1</x:v>
      </x:c>
      <x:c r="M95" s="35" t="n">
        <x:v>11</x:v>
      </x:c>
      <x:c r="N95" s="35" t="str">
        <x:v>Yes</x:v>
      </x:c>
      <x:c r="O95" s="35" t="n">
        <x:v>3</x:v>
      </x:c>
      <x:c r="P95" s="35" t="n">
        <x:v>3</x:v>
      </x:c>
      <x:c r="Q95" s="35" t="n">
        <x:v>3</x:v>
      </x:c>
      <x:c r="R95" s="35" t="n">
        <x:v>3</x:v>
      </x:c>
      <x:c r="S95" s="35" t="n">
        <x:v>3</x:v>
      </x:c>
      <x:c r="T95" s="35" t="n">
        <x:v>4</x:v>
      </x:c>
      <x:c r="U95" s="35" t="n">
        <x:v>0</x:v>
      </x:c>
      <x:c r="V95" s="35" t="n">
        <x:v>4</x:v>
      </x:c>
      <x:c r="W95" s="35" t="n">
        <x:v>14</x:v>
      </x:c>
      <x:c r="X95" s="35" t="n">
        <x:v>59</x:v>
      </x:c>
      <x:c r="Y95" s="35" t="n">
        <x:v>4</x:v>
      </x:c>
      <x:c r="Z95" s="35" t="n">
        <x:v>100</x:v>
      </x:c>
      <x:c r="AA95" s="35" t="n">
        <x:v>4</x:v>
      </x:c>
      <x:c r="AB95" s="35" t="n">
        <x:v>4</x:v>
      </x:c>
      <x:c r="AC95" s="35" t="n">
        <x:v>3</x:v>
      </x:c>
      <x:c r="AD95" s="35" t="n">
        <x:v>69</x:v>
      </x:c>
      <x:c r="AE95" s="35" t="n">
        <x:v>83</x:v>
      </x:c>
      <x:c r="AF95" s="35" t="n">
        <x:v>97</x:v>
      </x:c>
      <x:c r="AG95" s="35" t="n">
        <x:v>82</x:v>
      </x:c>
      <x:c r="AH95" s="35" t="n">
        <x:v>5</x:v>
      </x:c>
      <x:c r="AI95" s="37" t="n">
        <x:v>95.5</x:v>
      </x:c>
      <x:c r="AJ95" s="37" t="n">
        <x:v>100</x:v>
      </x:c>
      <x:c r="AK95" s="35" t="str">
        <x:v>No</x:v>
      </x:c>
      <x:c r="AL95" s="38" t="n">
        <x:f>IF(AA95=0,0,AB95/AA95)</x:f>
        <x:v>1</x:v>
      </x:c>
      <x:c r="AM95" s="38" t="n">
        <x:f>IF(AB95=0,0,AC95/AB95)</x:f>
        <x:v>0.75</x:v>
      </x:c>
      <x:c r="AN95" s="37" t="n">
        <x:f>ROUND((AD95*0.20+AE95*0.20+AF95*0.25+AG95*0.15+MIN(100,AC95*12)*0.20),1)</x:f>
        <x:v>74.2</x:v>
      </x:c>
      <x:c r="AO95" s="37" t="n">
        <x:f>ROUND(MAX(0,MIN(100,(X95*0.35)+(W95/45*100*0.20)+((5-O95)/4*100*0.15)+((5-P95)/4*100*0.10)+((6-Y95)/5*100*0.10)+((100-Z95)*0.10))),1)</x:f>
        <x:v>43.4</x:v>
      </x:c>
      <x:c r="AP95" s="37" t="str">
        <x:f>IF(AO95&gt;=70,"High",IF(AO95&gt;=40,"Moderate","Low"))</x:f>
        <x:v>Moderate</x:v>
      </x:c>
      <x:c r="AQ95" s="37" t="n">
        <x:f>ROUND(MAX(0,MIN(100,(O95/4*100*0.25)+(P95/4*100*0.20)+(Q95/4*100*0.15)+(Y95/5*100*0.20)+(100-AO95)*0.20)),1)</x:f>
        <x:v>72.3</x:v>
      </x:c>
      <x:c r="AR95" s="37" t="n">
        <x:f>ROUND((AI95*0.20+AJ95*0.15+AN95*0.18+AG95*0.12+Z95*0.15+AQ95*0.20),1)</x:f>
        <x:v>86.8</x:v>
      </x:c>
      <x:c r="AS95" s="39" t="n">
        <x:f>ROUND((AC95*AF95*120)+(AH95*350)+(MAX(0,AI95-75)*220)+(MAX(0,AQ95-60)*100),0)</x:f>
        <x:v>42410</x:v>
      </x:c>
    </x:row>
    <x:row r="96">
      <x:c r="A96" s="35" t="n">
        <x:v>95</x:v>
      </x:c>
      <x:c r="B96" s="35" t="n">
        <x:v>37</x:v>
      </x:c>
      <x:c r="C96" s="35" t="str">
        <x:v>Female</x:v>
      </x:c>
      <x:c r="D96" s="35" t="str">
        <x:v>Information Technology</x:v>
      </x:c>
      <x:c r="E96" s="35" t="str">
        <x:v>IT Manager</x:v>
      </x:c>
      <x:c r="F96" s="35" t="str">
        <x:v>Human Resources</x:v>
      </x:c>
      <x:c r="G96" s="35" t="str">
        <x:v>Married</x:v>
      </x:c>
      <x:c r="H96" s="35" t="n">
        <x:v>1</x:v>
      </x:c>
      <x:c r="I96" s="36" t="n">
        <x:v>4710</x:v>
      </x:c>
      <x:c r="J96" s="35" t="n">
        <x:v>7</x:v>
      </x:c>
      <x:c r="K96" s="35" t="n">
        <x:v>2</x:v>
      </x:c>
      <x:c r="L96" s="35" t="n">
        <x:v>1</x:v>
      </x:c>
      <x:c r="M96" s="35" t="n">
        <x:v>20</x:v>
      </x:c>
      <x:c r="N96" s="35" t="str">
        <x:v>No</x:v>
      </x:c>
      <x:c r="O96" s="35" t="n">
        <x:v>4</x:v>
      </x:c>
      <x:c r="P96" s="35" t="n">
        <x:v>4</x:v>
      </x:c>
      <x:c r="Q96" s="35" t="n">
        <x:v>4</x:v>
      </x:c>
      <x:c r="R96" s="35" t="n">
        <x:v>3</x:v>
      </x:c>
      <x:c r="S96" s="35" t="n">
        <x:v>4</x:v>
      </x:c>
      <x:c r="T96" s="35" t="n">
        <x:v>1</x:v>
      </x:c>
      <x:c r="U96" s="35" t="n">
        <x:v>0</x:v>
      </x:c>
      <x:c r="V96" s="35" t="n">
        <x:v>4</x:v>
      </x:c>
      <x:c r="W96" s="35" t="n">
        <x:v>9</x:v>
      </x:c>
      <x:c r="X96" s="35" t="n">
        <x:v>43</x:v>
      </x:c>
      <x:c r="Y96" s="35" t="n">
        <x:v>5</x:v>
      </x:c>
      <x:c r="Z96" s="35" t="n">
        <x:v>100</x:v>
      </x:c>
      <x:c r="AA96" s="35" t="n">
        <x:v>3</x:v>
      </x:c>
      <x:c r="AB96" s="35" t="n">
        <x:v>3</x:v>
      </x:c>
      <x:c r="AC96" s="35" t="n">
        <x:v>1</x:v>
      </x:c>
      <x:c r="AD96" s="35" t="n">
        <x:v>74</x:v>
      </x:c>
      <x:c r="AE96" s="35" t="n">
        <x:v>53</x:v>
      </x:c>
      <x:c r="AF96" s="35" t="n">
        <x:v>58</x:v>
      </x:c>
      <x:c r="AG96" s="35" t="n">
        <x:v>95</x:v>
      </x:c>
      <x:c r="AH96" s="35" t="n">
        <x:v>6</x:v>
      </x:c>
      <x:c r="AI96" s="37" t="n">
        <x:v>100</x:v>
      </x:c>
      <x:c r="AJ96" s="37" t="n">
        <x:v>98.4</x:v>
      </x:c>
      <x:c r="AK96" s="35" t="str">
        <x:v>No</x:v>
      </x:c>
      <x:c r="AL96" s="38" t="n">
        <x:f>IF(AA96=0,0,AB96/AA96)</x:f>
        <x:v>1</x:v>
      </x:c>
      <x:c r="AM96" s="38" t="n">
        <x:f>IF(AB96=0,0,AC96/AB96)</x:f>
        <x:v>0.3333333333333333</x:v>
      </x:c>
      <x:c r="AN96" s="37" t="n">
        <x:f>ROUND((AD96*0.20+AE96*0.20+AF96*0.25+AG96*0.15+MIN(100,AC96*12)*0.20),1)</x:f>
        <x:v>56.6</x:v>
      </x:c>
      <x:c r="AO96" s="37" t="n">
        <x:f>ROUND(MAX(0,MIN(100,(X96*0.35)+(W96/45*100*0.20)+((5-O96)/4*100*0.15)+((5-P96)/4*100*0.10)+((6-Y96)/5*100*0.10)+((100-Z96)*0.10))),1)</x:f>
        <x:v>27.3</x:v>
      </x:c>
      <x:c r="AP96" s="37" t="str">
        <x:f>IF(AO96&gt;=70,"High",IF(AO96&gt;=40,"Moderate","Low"))</x:f>
        <x:v>Low</x:v>
      </x:c>
      <x:c r="AQ96" s="37" t="n">
        <x:f>ROUND(MAX(0,MIN(100,(O96/4*100*0.25)+(P96/4*100*0.20)+(Q96/4*100*0.15)+(Y96/5*100*0.20)+(100-AO96)*0.20)),1)</x:f>
        <x:v>94.5</x:v>
      </x:c>
      <x:c r="AR96" s="37" t="n">
        <x:f>ROUND((AI96*0.20+AJ96*0.15+AN96*0.18+AG96*0.12+Z96*0.15+AQ96*0.20),1)</x:f>
        <x:v>90.2</x:v>
      </x:c>
      <x:c r="AS96" s="39" t="n">
        <x:f>ROUND((AC96*AF96*120)+(AH96*350)+(MAX(0,AI96-75)*220)+(MAX(0,AQ96-60)*100),0)</x:f>
        <x:v>18010</x:v>
      </x:c>
    </x:row>
    <x:row r="97">
      <x:c r="A97" s="35" t="n">
        <x:v>96</x:v>
      </x:c>
      <x:c r="B97" s="35" t="n">
        <x:v>32</x:v>
      </x:c>
      <x:c r="C97" s="35" t="str">
        <x:v>Female</x:v>
      </x:c>
      <x:c r="D97" s="35" t="str">
        <x:v>Sales</x:v>
      </x:c>
      <x:c r="E97" s="35" t="str">
        <x:v>Sales Representative</x:v>
      </x:c>
      <x:c r="F97" s="35" t="str">
        <x:v>Medical</x:v>
      </x:c>
      <x:c r="G97" s="35" t="str">
        <x:v>Single</x:v>
      </x:c>
      <x:c r="H97" s="35" t="n">
        <x:v>1</x:v>
      </x:c>
      <x:c r="I97" s="36" t="n">
        <x:v>5150</x:v>
      </x:c>
      <x:c r="J97" s="35" t="n">
        <x:v>9</x:v>
      </x:c>
      <x:c r="K97" s="35" t="n">
        <x:v>6</x:v>
      </x:c>
      <x:c r="L97" s="35" t="n">
        <x:v>2</x:v>
      </x:c>
      <x:c r="M97" s="35" t="n">
        <x:v>10</x:v>
      </x:c>
      <x:c r="N97" s="35" t="str">
        <x:v>Yes</x:v>
      </x:c>
      <x:c r="O97" s="35" t="n">
        <x:v>3</x:v>
      </x:c>
      <x:c r="P97" s="35" t="n">
        <x:v>4</x:v>
      </x:c>
      <x:c r="Q97" s="35" t="n">
        <x:v>4</x:v>
      </x:c>
      <x:c r="R97" s="35" t="n">
        <x:v>3</x:v>
      </x:c>
      <x:c r="S97" s="35" t="n">
        <x:v>3</x:v>
      </x:c>
      <x:c r="T97" s="35" t="n">
        <x:v>1</x:v>
      </x:c>
      <x:c r="U97" s="35" t="n">
        <x:v>1</x:v>
      </x:c>
      <x:c r="V97" s="35" t="n">
        <x:v>8</x:v>
      </x:c>
      <x:c r="W97" s="35" t="n">
        <x:v>26</x:v>
      </x:c>
      <x:c r="X97" s="35" t="n">
        <x:v>55</x:v>
      </x:c>
      <x:c r="Y97" s="35" t="n">
        <x:v>5</x:v>
      </x:c>
      <x:c r="Z97" s="35" t="n">
        <x:v>100</x:v>
      </x:c>
      <x:c r="AA97" s="35" t="n">
        <x:v>7</x:v>
      </x:c>
      <x:c r="AB97" s="35" t="n">
        <x:v>6</x:v>
      </x:c>
      <x:c r="AC97" s="35" t="n">
        <x:v>6</x:v>
      </x:c>
      <x:c r="AD97" s="35" t="n">
        <x:v>76</x:v>
      </x:c>
      <x:c r="AE97" s="35" t="n">
        <x:v>89</x:v>
      </x:c>
      <x:c r="AF97" s="35" t="n">
        <x:v>74</x:v>
      </x:c>
      <x:c r="AG97" s="35" t="n">
        <x:v>71</x:v>
      </x:c>
      <x:c r="AH97" s="35" t="n">
        <x:v>8</x:v>
      </x:c>
      <x:c r="AI97" s="37" t="n">
        <x:v>96.8</x:v>
      </x:c>
      <x:c r="AJ97" s="37" t="n">
        <x:v>95.1</x:v>
      </x:c>
      <x:c r="AK97" s="35" t="str">
        <x:v>No</x:v>
      </x:c>
      <x:c r="AL97" s="38" t="n">
        <x:f>IF(AA97=0,0,AB97/AA97)</x:f>
        <x:v>0.8571428571428571</x:v>
      </x:c>
      <x:c r="AM97" s="38" t="n">
        <x:f>IF(AB97=0,0,AC97/AB97)</x:f>
        <x:v>1</x:v>
      </x:c>
      <x:c r="AN97" s="37" t="n">
        <x:f>ROUND((AD97*0.20+AE97*0.20+AF97*0.25+AG97*0.15+MIN(100,AC97*12)*0.20),1)</x:f>
        <x:v>76.6</x:v>
      </x:c>
      <x:c r="AO97" s="37" t="n">
        <x:f>ROUND(MAX(0,MIN(100,(X97*0.35)+(W97/45*100*0.20)+((5-O97)/4*100*0.15)+((5-P97)/4*100*0.10)+((6-Y97)/5*100*0.10)+((100-Z97)*0.10))),1)</x:f>
        <x:v>42.8</x:v>
      </x:c>
      <x:c r="AP97" s="37" t="str">
        <x:f>IF(AO97&gt;=70,"High",IF(AO97&gt;=40,"Moderate","Low"))</x:f>
        <x:v>Moderate</x:v>
      </x:c>
      <x:c r="AQ97" s="37" t="n">
        <x:f>ROUND(MAX(0,MIN(100,(O97/4*100*0.25)+(P97/4*100*0.20)+(Q97/4*100*0.15)+(Y97/5*100*0.20)+(100-AO97)*0.20)),1)</x:f>
        <x:v>85.2</x:v>
      </x:c>
      <x:c r="AR97" s="37" t="n">
        <x:f>ROUND((AI97*0.20+AJ97*0.15+AN97*0.18+AG97*0.12+Z97*0.15+AQ97*0.20),1)</x:f>
        <x:v>88</x:v>
      </x:c>
      <x:c r="AS97" s="39" t="n">
        <x:f>ROUND((AC97*AF97*120)+(AH97*350)+(MAX(0,AI97-75)*220)+(MAX(0,AQ97-60)*100),0)</x:f>
        <x:v>63396</x:v>
      </x:c>
    </x:row>
    <x:row r="98">
      <x:c r="A98" s="35" t="n">
        <x:v>97</x:v>
      </x:c>
      <x:c r="B98" s="35" t="n">
        <x:v>24</x:v>
      </x:c>
      <x:c r="C98" s="35" t="str">
        <x:v>Female</x:v>
      </x:c>
      <x:c r="D98" s="35" t="str">
        <x:v>Marketing</x:v>
      </x:c>
      <x:c r="E98" s="35" t="str">
        <x:v>Marketing Manager</x:v>
      </x:c>
      <x:c r="F98" s="35" t="str">
        <x:v>Computer Science</x:v>
      </x:c>
      <x:c r="G98" s="35" t="str">
        <x:v>Married</x:v>
      </x:c>
      <x:c r="H98" s="35" t="n">
        <x:v>2</x:v>
      </x:c>
      <x:c r="I98" s="36" t="n">
        <x:v>8540</x:v>
      </x:c>
      <x:c r="J98" s="35" t="n">
        <x:v>2</x:v>
      </x:c>
      <x:c r="K98" s="35" t="n">
        <x:v>1</x:v>
      </x:c>
      <x:c r="L98" s="35" t="n">
        <x:v>1</x:v>
      </x:c>
      <x:c r="M98" s="35" t="n">
        <x:v>18</x:v>
      </x:c>
      <x:c r="N98" s="35" t="str">
        <x:v>No</x:v>
      </x:c>
      <x:c r="O98" s="35" t="n">
        <x:v>3</x:v>
      </x:c>
      <x:c r="P98" s="35" t="n">
        <x:v>2</x:v>
      </x:c>
      <x:c r="Q98" s="35" t="n">
        <x:v>3</x:v>
      </x:c>
      <x:c r="R98" s="35" t="n">
        <x:v>2</x:v>
      </x:c>
      <x:c r="S98" s="35" t="n">
        <x:v>3</x:v>
      </x:c>
      <x:c r="T98" s="35" t="n">
        <x:v>6</x:v>
      </x:c>
      <x:c r="U98" s="35" t="n">
        <x:v>3</x:v>
      </x:c>
      <x:c r="V98" s="35" t="n">
        <x:v>8</x:v>
      </x:c>
      <x:c r="W98" s="35" t="n">
        <x:v>5</x:v>
      </x:c>
      <x:c r="X98" s="35" t="n">
        <x:v>77</x:v>
      </x:c>
      <x:c r="Y98" s="35" t="n">
        <x:v>4</x:v>
      </x:c>
      <x:c r="Z98" s="35" t="n">
        <x:v>80</x:v>
      </x:c>
      <x:c r="AA98" s="35" t="n">
        <x:v>5</x:v>
      </x:c>
      <x:c r="AB98" s="35" t="n">
        <x:v>3</x:v>
      </x:c>
      <x:c r="AC98" s="35" t="n">
        <x:v>3</x:v>
      </x:c>
      <x:c r="AD98" s="35" t="n">
        <x:v>74</x:v>
      </x:c>
      <x:c r="AE98" s="35" t="n">
        <x:v>87</x:v>
      </x:c>
      <x:c r="AF98" s="35" t="n">
        <x:v>83</x:v>
      </x:c>
      <x:c r="AG98" s="35" t="n">
        <x:v>86</x:v>
      </x:c>
      <x:c r="AH98" s="35" t="n">
        <x:v>7</x:v>
      </x:c>
      <x:c r="AI98" s="37" t="n">
        <x:v>95.8</x:v>
      </x:c>
      <x:c r="AJ98" s="37" t="n">
        <x:v>100</x:v>
      </x:c>
      <x:c r="AK98" s="35" t="str">
        <x:v>Yes</x:v>
      </x:c>
      <x:c r="AL98" s="38" t="n">
        <x:f>IF(AA98=0,0,AB98/AA98)</x:f>
        <x:v>0.6</x:v>
      </x:c>
      <x:c r="AM98" s="38" t="n">
        <x:f>IF(AB98=0,0,AC98/AB98)</x:f>
        <x:v>1</x:v>
      </x:c>
      <x:c r="AN98" s="37" t="n">
        <x:f>ROUND((AD98*0.20+AE98*0.20+AF98*0.25+AG98*0.15+MIN(100,AC98*12)*0.20),1)</x:f>
        <x:v>73.1</x:v>
      </x:c>
      <x:c r="AO98" s="37" t="n">
        <x:f>ROUND(MAX(0,MIN(100,(X98*0.35)+(W98/45*100*0.20)+((5-O98)/4*100*0.15)+((5-P98)/4*100*0.10)+((6-Y98)/5*100*0.10)+((100-Z98)*0.10))),1)</x:f>
        <x:v>50.2</x:v>
      </x:c>
      <x:c r="AP98" s="37" t="str">
        <x:f>IF(AO98&gt;=70,"High",IF(AO98&gt;=40,"Moderate","Low"))</x:f>
        <x:v>Moderate</x:v>
      </x:c>
      <x:c r="AQ98" s="37" t="n">
        <x:f>ROUND(MAX(0,MIN(100,(O98/4*100*0.25)+(P98/4*100*0.20)+(Q98/4*100*0.15)+(Y98/5*100*0.20)+(100-AO98)*0.20)),1)</x:f>
        <x:v>66</x:v>
      </x:c>
      <x:c r="AR98" s="37" t="n">
        <x:f>ROUND((AI98*0.20+AJ98*0.15+AN98*0.18+AG98*0.12+Z98*0.15+AQ98*0.20),1)</x:f>
        <x:v>82.8</x:v>
      </x:c>
      <x:c r="AS98" s="39" t="n">
        <x:f>ROUND((AC98*AF98*120)+(AH98*350)+(MAX(0,AI98-75)*220)+(MAX(0,AQ98-60)*100),0)</x:f>
        <x:v>37506</x:v>
      </x:c>
    </x:row>
    <x:row r="99">
      <x:c r="A99" s="35" t="n">
        <x:v>98</x:v>
      </x:c>
      <x:c r="B99" s="35" t="n">
        <x:v>38</x:v>
      </x:c>
      <x:c r="C99" s="35" t="str">
        <x:v>Male</x:v>
      </x:c>
      <x:c r="D99" s="35" t="str">
        <x:v>Sales</x:v>
      </x:c>
      <x:c r="E99" s="35" t="str">
        <x:v>Sales Representative</x:v>
      </x:c>
      <x:c r="F99" s="35" t="str">
        <x:v>Medical</x:v>
      </x:c>
      <x:c r="G99" s="35" t="str">
        <x:v>Divorced</x:v>
      </x:c>
      <x:c r="H99" s="35" t="n">
        <x:v>3</x:v>
      </x:c>
      <x:c r="I99" s="36" t="n">
        <x:v>15040</x:v>
      </x:c>
      <x:c r="J99" s="35" t="n">
        <x:v>11</x:v>
      </x:c>
      <x:c r="K99" s="35" t="n">
        <x:v>4</x:v>
      </x:c>
      <x:c r="L99" s="35" t="n">
        <x:v>2</x:v>
      </x:c>
      <x:c r="M99" s="35" t="n">
        <x:v>18</x:v>
      </x:c>
      <x:c r="N99" s="35" t="str">
        <x:v>Yes</x:v>
      </x:c>
      <x:c r="O99" s="35" t="n">
        <x:v>3</x:v>
      </x:c>
      <x:c r="P99" s="35" t="n">
        <x:v>4</x:v>
      </x:c>
      <x:c r="Q99" s="35" t="n">
        <x:v>4</x:v>
      </x:c>
      <x:c r="R99" s="35" t="n">
        <x:v>3</x:v>
      </x:c>
      <x:c r="S99" s="35" t="n">
        <x:v>3</x:v>
      </x:c>
      <x:c r="T99" s="35" t="n">
        <x:v>2</x:v>
      </x:c>
      <x:c r="U99" s="35" t="n">
        <x:v>0</x:v>
      </x:c>
      <x:c r="V99" s="35" t="n">
        <x:v>0</x:v>
      </x:c>
      <x:c r="W99" s="35" t="n">
        <x:v>16</x:v>
      </x:c>
      <x:c r="X99" s="35" t="n">
        <x:v>66</x:v>
      </x:c>
      <x:c r="Y99" s="35" t="n">
        <x:v>5</x:v>
      </x:c>
      <x:c r="Z99" s="35" t="n">
        <x:v>100</x:v>
      </x:c>
      <x:c r="AA99" s="35" t="n">
        <x:v>3</x:v>
      </x:c>
      <x:c r="AB99" s="35" t="n">
        <x:v>2</x:v>
      </x:c>
      <x:c r="AC99" s="35" t="n">
        <x:v>2</x:v>
      </x:c>
      <x:c r="AD99" s="35" t="n">
        <x:v>78</x:v>
      </x:c>
      <x:c r="AE99" s="35" t="n">
        <x:v>89</x:v>
      </x:c>
      <x:c r="AF99" s="35" t="n">
        <x:v>60</x:v>
      </x:c>
      <x:c r="AG99" s="35" t="n">
        <x:v>78</x:v>
      </x:c>
      <x:c r="AH99" s="35" t="n">
        <x:v>6</x:v>
      </x:c>
      <x:c r="AI99" s="37" t="n">
        <x:v>87</x:v>
      </x:c>
      <x:c r="AJ99" s="37" t="n">
        <x:v>93</x:v>
      </x:c>
      <x:c r="AK99" s="35" t="str">
        <x:v>No</x:v>
      </x:c>
      <x:c r="AL99" s="38" t="n">
        <x:f>IF(AA99=0,0,AB99/AA99)</x:f>
        <x:v>0.6666666666666666</x:v>
      </x:c>
      <x:c r="AM99" s="38" t="n">
        <x:f>IF(AB99=0,0,AC99/AB99)</x:f>
        <x:v>1</x:v>
      </x:c>
      <x:c r="AN99" s="37" t="n">
        <x:f>ROUND((AD99*0.20+AE99*0.20+AF99*0.25+AG99*0.15+MIN(100,AC99*12)*0.20),1)</x:f>
        <x:v>64.9</x:v>
      </x:c>
      <x:c r="AO99" s="37" t="n">
        <x:f>ROUND(MAX(0,MIN(100,(X99*0.35)+(W99/45*100*0.20)+((5-O99)/4*100*0.15)+((5-P99)/4*100*0.10)+((6-Y99)/5*100*0.10)+((100-Z99)*0.10))),1)</x:f>
        <x:v>42.2</x:v>
      </x:c>
      <x:c r="AP99" s="37" t="str">
        <x:f>IF(AO99&gt;=70,"High",IF(AO99&gt;=40,"Moderate","Low"))</x:f>
        <x:v>Moderate</x:v>
      </x:c>
      <x:c r="AQ99" s="37" t="n">
        <x:f>ROUND(MAX(0,MIN(100,(O99/4*100*0.25)+(P99/4*100*0.20)+(Q99/4*100*0.15)+(Y99/5*100*0.20)+(100-AO99)*0.20)),1)</x:f>
        <x:v>85.3</x:v>
      </x:c>
      <x:c r="AR99" s="37" t="n">
        <x:f>ROUND((AI99*0.20+AJ99*0.15+AN99*0.18+AG99*0.12+Z99*0.15+AQ99*0.20),1)</x:f>
        <x:v>84.5</x:v>
      </x:c>
      <x:c r="AS99" s="39" t="n">
        <x:f>ROUND((AC99*AF99*120)+(AH99*350)+(MAX(0,AI99-75)*220)+(MAX(0,AQ99-60)*100),0)</x:f>
        <x:v>21670</x:v>
      </x:c>
    </x:row>
    <x:row r="100">
      <x:c r="A100" s="35" t="n">
        <x:v>99</x:v>
      </x:c>
      <x:c r="B100" s="35" t="n">
        <x:v>28</x:v>
      </x:c>
      <x:c r="C100" s="35" t="str">
        <x:v>Female</x:v>
      </x:c>
      <x:c r="D100" s="35" t="str">
        <x:v>Information Technology</x:v>
      </x:c>
      <x:c r="E100" s="35" t="str">
        <x:v>IT Manager</x:v>
      </x:c>
      <x:c r="F100" s="35" t="str">
        <x:v>Life Sciences</x:v>
      </x:c>
      <x:c r="G100" s="35" t="str">
        <x:v>Married</x:v>
      </x:c>
      <x:c r="H100" s="35" t="n">
        <x:v>1</x:v>
      </x:c>
      <x:c r="I100" s="36" t="n">
        <x:v>7080</x:v>
      </x:c>
      <x:c r="J100" s="35" t="n">
        <x:v>5</x:v>
      </x:c>
      <x:c r="K100" s="35" t="n">
        <x:v>4</x:v>
      </x:c>
      <x:c r="L100" s="35" t="n">
        <x:v>1</x:v>
      </x:c>
      <x:c r="M100" s="35" t="n">
        <x:v>20</x:v>
      </x:c>
      <x:c r="N100" s="35" t="str">
        <x:v>Yes</x:v>
      </x:c>
      <x:c r="O100" s="35" t="n">
        <x:v>3</x:v>
      </x:c>
      <x:c r="P100" s="35" t="n">
        <x:v>4</x:v>
      </x:c>
      <x:c r="Q100" s="35" t="n">
        <x:v>4</x:v>
      </x:c>
      <x:c r="R100" s="35" t="n">
        <x:v>3</x:v>
      </x:c>
      <x:c r="S100" s="35" t="n">
        <x:v>3</x:v>
      </x:c>
      <x:c r="T100" s="35" t="n">
        <x:v>1</x:v>
      </x:c>
      <x:c r="U100" s="35" t="n">
        <x:v>1</x:v>
      </x:c>
      <x:c r="V100" s="35" t="n">
        <x:v>7</x:v>
      </x:c>
      <x:c r="W100" s="35" t="n">
        <x:v>24</x:v>
      </x:c>
      <x:c r="X100" s="35" t="n">
        <x:v>79</x:v>
      </x:c>
      <x:c r="Y100" s="35" t="n">
        <x:v>5</x:v>
      </x:c>
      <x:c r="Z100" s="35" t="n">
        <x:v>100</x:v>
      </x:c>
      <x:c r="AA100" s="35" t="n">
        <x:v>6</x:v>
      </x:c>
      <x:c r="AB100" s="35" t="n">
        <x:v>5</x:v>
      </x:c>
      <x:c r="AC100" s="35" t="n">
        <x:v>5</x:v>
      </x:c>
      <x:c r="AD100" s="35" t="n">
        <x:v>81</x:v>
      </x:c>
      <x:c r="AE100" s="35" t="n">
        <x:v>89</x:v>
      </x:c>
      <x:c r="AF100" s="35" t="n">
        <x:v>90</x:v>
      </x:c>
      <x:c r="AG100" s="35" t="n">
        <x:v>87</x:v>
      </x:c>
      <x:c r="AH100" s="35" t="n">
        <x:v>4</x:v>
      </x:c>
      <x:c r="AI100" s="37" t="n">
        <x:v>95.7</x:v>
      </x:c>
      <x:c r="AJ100" s="37" t="n">
        <x:v>87.2</x:v>
      </x:c>
      <x:c r="AK100" s="35" t="str">
        <x:v>No</x:v>
      </x:c>
      <x:c r="AL100" s="38" t="n">
        <x:f>IF(AA100=0,0,AB100/AA100)</x:f>
        <x:v>0.8333333333333334</x:v>
      </x:c>
      <x:c r="AM100" s="38" t="n">
        <x:f>IF(AB100=0,0,AC100/AB100)</x:f>
        <x:v>1</x:v>
      </x:c>
      <x:c r="AN100" s="37" t="n">
        <x:f>ROUND((AD100*0.20+AE100*0.20+AF100*0.25+AG100*0.15+MIN(100,AC100*12)*0.20),1)</x:f>
        <x:v>81.6</x:v>
      </x:c>
      <x:c r="AO100" s="37" t="n">
        <x:f>ROUND(MAX(0,MIN(100,(X100*0.35)+(W100/45*100*0.20)+((5-O100)/4*100*0.15)+((5-P100)/4*100*0.10)+((6-Y100)/5*100*0.10)+((100-Z100)*0.10))),1)</x:f>
        <x:v>50.3</x:v>
      </x:c>
      <x:c r="AP100" s="37" t="str">
        <x:f>IF(AO100&gt;=70,"High",IF(AO100&gt;=40,"Moderate","Low"))</x:f>
        <x:v>Moderate</x:v>
      </x:c>
      <x:c r="AQ100" s="37" t="n">
        <x:f>ROUND(MAX(0,MIN(100,(O100/4*100*0.25)+(P100/4*100*0.20)+(Q100/4*100*0.15)+(Y100/5*100*0.20)+(100-AO100)*0.20)),1)</x:f>
        <x:v>83.7</x:v>
      </x:c>
      <x:c r="AR100" s="37" t="n">
        <x:f>ROUND((AI100*0.20+AJ100*0.15+AN100*0.18+AG100*0.12+Z100*0.15+AQ100*0.20),1)</x:f>
        <x:v>89.1</x:v>
      </x:c>
      <x:c r="AS100" s="39" t="n">
        <x:f>ROUND((AC100*AF100*120)+(AH100*350)+(MAX(0,AI100-75)*220)+(MAX(0,AQ100-60)*100),0)</x:f>
        <x:v>62324</x:v>
      </x:c>
    </x:row>
    <x:row r="101">
      <x:c r="A101" s="35" t="n">
        <x:v>100</x:v>
      </x:c>
      <x:c r="B101" s="35" t="n">
        <x:v>22</x:v>
      </x:c>
      <x:c r="C101" s="35" t="str">
        <x:v>Male</x:v>
      </x:c>
      <x:c r="D101" s="35" t="str">
        <x:v>Operations</x:v>
      </x:c>
      <x:c r="E101" s="35" t="str">
        <x:v>Quality Specialist</x:v>
      </x:c>
      <x:c r="F101" s="35" t="str">
        <x:v>Computer Science</x:v>
      </x:c>
      <x:c r="G101" s="35" t="str">
        <x:v>Married</x:v>
      </x:c>
      <x:c r="H101" s="35" t="n">
        <x:v>1</x:v>
      </x:c>
      <x:c r="I101" s="36" t="n">
        <x:v>4930</x:v>
      </x:c>
      <x:c r="J101" s="35" t="n">
        <x:v>1</x:v>
      </x:c>
      <x:c r="K101" s="35" t="n">
        <x:v>1</x:v>
      </x:c>
      <x:c r="L101" s="35" t="n">
        <x:v>0</x:v>
      </x:c>
      <x:c r="M101" s="35" t="n">
        <x:v>12</x:v>
      </x:c>
      <x:c r="N101" s="35" t="str">
        <x:v>No</x:v>
      </x:c>
      <x:c r="O101" s="35" t="n">
        <x:v>3</x:v>
      </x:c>
      <x:c r="P101" s="35" t="n">
        <x:v>3</x:v>
      </x:c>
      <x:c r="Q101" s="35" t="n">
        <x:v>3</x:v>
      </x:c>
      <x:c r="R101" s="35" t="n">
        <x:v>3</x:v>
      </x:c>
      <x:c r="S101" s="35" t="n">
        <x:v>4</x:v>
      </x:c>
      <x:c r="T101" s="35" t="n">
        <x:v>0</x:v>
      </x:c>
      <x:c r="U101" s="35" t="n">
        <x:v>0</x:v>
      </x:c>
      <x:c r="V101" s="35" t="n">
        <x:v>6</x:v>
      </x:c>
      <x:c r="W101" s="35" t="n">
        <x:v>20</x:v>
      </x:c>
      <x:c r="X101" s="35" t="n">
        <x:v>62</x:v>
      </x:c>
      <x:c r="Y101" s="35" t="n">
        <x:v>4</x:v>
      </x:c>
      <x:c r="Z101" s="35" t="n">
        <x:v>98</x:v>
      </x:c>
      <x:c r="AA101" s="35" t="n">
        <x:v>5</x:v>
      </x:c>
      <x:c r="AB101" s="35" t="n">
        <x:v>5</x:v>
      </x:c>
      <x:c r="AC101" s="35" t="n">
        <x:v>4</x:v>
      </x:c>
      <x:c r="AD101" s="35" t="n">
        <x:v>64</x:v>
      </x:c>
      <x:c r="AE101" s="35" t="n">
        <x:v>79</x:v>
      </x:c>
      <x:c r="AF101" s="35" t="n">
        <x:v>75</x:v>
      </x:c>
      <x:c r="AG101" s="35" t="n">
        <x:v>90</x:v>
      </x:c>
      <x:c r="AH101" s="35" t="n">
        <x:v>11</x:v>
      </x:c>
      <x:c r="AI101" s="37" t="n">
        <x:v>100</x:v>
      </x:c>
      <x:c r="AJ101" s="37" t="n">
        <x:v>97.2</x:v>
      </x:c>
      <x:c r="AK101" s="35" t="str">
        <x:v>No</x:v>
      </x:c>
      <x:c r="AL101" s="38" t="n">
        <x:f>IF(AA101=0,0,AB101/AA101)</x:f>
        <x:v>1</x:v>
      </x:c>
      <x:c r="AM101" s="38" t="n">
        <x:f>IF(AB101=0,0,AC101/AB101)</x:f>
        <x:v>0.8</x:v>
      </x:c>
      <x:c r="AN101" s="37" t="n">
        <x:f>ROUND((AD101*0.20+AE101*0.20+AF101*0.25+AG101*0.15+MIN(100,AC101*12)*0.20),1)</x:f>
        <x:v>70.5</x:v>
      </x:c>
      <x:c r="AO101" s="37" t="n">
        <x:f>ROUND(MAX(0,MIN(100,(X101*0.35)+(W101/45*100*0.20)+((5-O101)/4*100*0.15)+((5-P101)/4*100*0.10)+((6-Y101)/5*100*0.10)+((100-Z101)*0.10))),1)</x:f>
        <x:v>47.3</x:v>
      </x:c>
      <x:c r="AP101" s="37" t="str">
        <x:f>IF(AO101&gt;=70,"High",IF(AO101&gt;=40,"Moderate","Low"))</x:f>
        <x:v>Moderate</x:v>
      </x:c>
      <x:c r="AQ101" s="37" t="n">
        <x:f>ROUND(MAX(0,MIN(100,(O101/4*100*0.25)+(P101/4*100*0.20)+(Q101/4*100*0.15)+(Y101/5*100*0.20)+(100-AO101)*0.20)),1)</x:f>
        <x:v>71.5</x:v>
      </x:c>
      <x:c r="AR101" s="37" t="n">
        <x:f>ROUND((AI101*0.20+AJ101*0.15+AN101*0.18+AG101*0.12+Z101*0.15+AQ101*0.20),1)</x:f>
        <x:v>87.1</x:v>
      </x:c>
      <x:c r="AS101" s="39" t="n">
        <x:f>ROUND((AC101*AF101*120)+(AH101*350)+(MAX(0,AI101-75)*220)+(MAX(0,AQ101-60)*100),0)</x:f>
        <x:v>46500</x:v>
      </x:c>
    </x:row>
    <x:row r="102">
      <x:c r="A102" s="35" t="n">
        <x:v>101</x:v>
      </x:c>
      <x:c r="B102" s="35" t="n">
        <x:v>31</x:v>
      </x:c>
      <x:c r="C102" s="35" t="str">
        <x:v>Female</x:v>
      </x:c>
      <x:c r="D102" s="35" t="str">
        <x:v>Research &amp; Development</x:v>
      </x:c>
      <x:c r="E102" s="35" t="str">
        <x:v>Research Scientist</x:v>
      </x:c>
      <x:c r="F102" s="35" t="str">
        <x:v>Human Resources</x:v>
      </x:c>
      <x:c r="G102" s="35" t="str">
        <x:v>Single</x:v>
      </x:c>
      <x:c r="H102" s="35" t="n">
        <x:v>2</x:v>
      </x:c>
      <x:c r="I102" s="36" t="n">
        <x:v>8490</x:v>
      </x:c>
      <x:c r="J102" s="35" t="n">
        <x:v>8</x:v>
      </x:c>
      <x:c r="K102" s="35" t="n">
        <x:v>6</x:v>
      </x:c>
      <x:c r="L102" s="35" t="n">
        <x:v>3</x:v>
      </x:c>
      <x:c r="M102" s="35" t="n">
        <x:v>16</x:v>
      </x:c>
      <x:c r="N102" s="35" t="str">
        <x:v>No</x:v>
      </x:c>
      <x:c r="O102" s="35" t="n">
        <x:v>2</x:v>
      </x:c>
      <x:c r="P102" s="35" t="n">
        <x:v>3</x:v>
      </x:c>
      <x:c r="Q102" s="35" t="n">
        <x:v>4</x:v>
      </x:c>
      <x:c r="R102" s="35" t="n">
        <x:v>3</x:v>
      </x:c>
      <x:c r="S102" s="35" t="n">
        <x:v>3</x:v>
      </x:c>
      <x:c r="T102" s="35" t="n">
        <x:v>4</x:v>
      </x:c>
      <x:c r="U102" s="35" t="n">
        <x:v>2</x:v>
      </x:c>
      <x:c r="V102" s="35" t="n">
        <x:v>10</x:v>
      </x:c>
      <x:c r="W102" s="35" t="n">
        <x:v>0</x:v>
      </x:c>
      <x:c r="X102" s="35" t="n">
        <x:v>68</x:v>
      </x:c>
      <x:c r="Y102" s="35" t="n">
        <x:v>5</x:v>
      </x:c>
      <x:c r="Z102" s="35" t="n">
        <x:v>98</x:v>
      </x:c>
      <x:c r="AA102" s="35" t="n">
        <x:v>3</x:v>
      </x:c>
      <x:c r="AB102" s="35" t="n">
        <x:v>2</x:v>
      </x:c>
      <x:c r="AC102" s="35" t="n">
        <x:v>2</x:v>
      </x:c>
      <x:c r="AD102" s="35" t="n">
        <x:v>68</x:v>
      </x:c>
      <x:c r="AE102" s="35" t="n">
        <x:v>67</x:v>
      </x:c>
      <x:c r="AF102" s="35" t="n">
        <x:v>71</x:v>
      </x:c>
      <x:c r="AG102" s="35" t="n">
        <x:v>84</x:v>
      </x:c>
      <x:c r="AH102" s="35" t="n">
        <x:v>4</x:v>
      </x:c>
      <x:c r="AI102" s="37" t="n">
        <x:v>96.1</x:v>
      </x:c>
      <x:c r="AJ102" s="37" t="n">
        <x:v>84.6</x:v>
      </x:c>
      <x:c r="AK102" s="35" t="str">
        <x:v>No</x:v>
      </x:c>
      <x:c r="AL102" s="38" t="n">
        <x:f>IF(AA102=0,0,AB102/AA102)</x:f>
        <x:v>0.6666666666666666</x:v>
      </x:c>
      <x:c r="AM102" s="38" t="n">
        <x:f>IF(AB102=0,0,AC102/AB102)</x:f>
        <x:v>1</x:v>
      </x:c>
      <x:c r="AN102" s="37" t="n">
        <x:f>ROUND((AD102*0.20+AE102*0.20+AF102*0.25+AG102*0.15+MIN(100,AC102*12)*0.20),1)</x:f>
        <x:v>62.2</x:v>
      </x:c>
      <x:c r="AO102" s="37" t="n">
        <x:f>ROUND(MAX(0,MIN(100,(X102*0.35)+(W102/45*100*0.20)+((5-O102)/4*100*0.15)+((5-P102)/4*100*0.10)+((6-Y102)/5*100*0.10)+((100-Z102)*0.10))),1)</x:f>
        <x:v>42.3</x:v>
      </x:c>
      <x:c r="AP102" s="37" t="str">
        <x:f>IF(AO102&gt;=70,"High",IF(AO102&gt;=40,"Moderate","Low"))</x:f>
        <x:v>Moderate</x:v>
      </x:c>
      <x:c r="AQ102" s="37" t="n">
        <x:f>ROUND(MAX(0,MIN(100,(O102/4*100*0.25)+(P102/4*100*0.20)+(Q102/4*100*0.15)+(Y102/5*100*0.20)+(100-AO102)*0.20)),1)</x:f>
        <x:v>74</x:v>
      </x:c>
      <x:c r="AR102" s="37" t="n">
        <x:f>ROUND((AI102*0.20+AJ102*0.15+AN102*0.18+AG102*0.12+Z102*0.15+AQ102*0.20),1)</x:f>
        <x:v>82.7</x:v>
      </x:c>
      <x:c r="AS102" s="39" t="n">
        <x:f>ROUND((AC102*AF102*120)+(AH102*350)+(MAX(0,AI102-75)*220)+(MAX(0,AQ102-60)*100),0)</x:f>
        <x:v>24482</x:v>
      </x:c>
    </x:row>
    <x:row r="103">
      <x:c r="A103" s="35" t="n">
        <x:v>102</x:v>
      </x:c>
      <x:c r="B103" s="35" t="n">
        <x:v>21</x:v>
      </x:c>
      <x:c r="C103" s="35" t="str">
        <x:v>Male</x:v>
      </x:c>
      <x:c r="D103" s="35" t="str">
        <x:v>Human Resources</x:v>
      </x:c>
      <x:c r="E103" s="35" t="str">
        <x:v>HR Specialist</x:v>
      </x:c>
      <x:c r="F103" s="35" t="str">
        <x:v>Marketing</x:v>
      </x:c>
      <x:c r="G103" s="35" t="str">
        <x:v>Married</x:v>
      </x:c>
      <x:c r="H103" s="35" t="n">
        <x:v>1</x:v>
      </x:c>
      <x:c r="I103" s="36" t="n">
        <x:v>5230</x:v>
      </x:c>
      <x:c r="J103" s="35" t="n">
        <x:v>0</x:v>
      </x:c>
      <x:c r="K103" s="35" t="n">
        <x:v>0</x:v>
      </x:c>
      <x:c r="L103" s="35" t="n">
        <x:v>0</x:v>
      </x:c>
      <x:c r="M103" s="35" t="n">
        <x:v>1</x:v>
      </x:c>
      <x:c r="N103" s="35" t="str">
        <x:v>Yes</x:v>
      </x:c>
      <x:c r="O103" s="35" t="n">
        <x:v>3</x:v>
      </x:c>
      <x:c r="P103" s="35" t="n">
        <x:v>2</x:v>
      </x:c>
      <x:c r="Q103" s="35" t="n">
        <x:v>3</x:v>
      </x:c>
      <x:c r="R103" s="35" t="n">
        <x:v>3</x:v>
      </x:c>
      <x:c r="S103" s="35" t="n">
        <x:v>3</x:v>
      </x:c>
      <x:c r="T103" s="35" t="n">
        <x:v>4</x:v>
      </x:c>
      <x:c r="U103" s="35" t="n">
        <x:v>0</x:v>
      </x:c>
      <x:c r="V103" s="35" t="n">
        <x:v>5</x:v>
      </x:c>
      <x:c r="W103" s="35" t="n">
        <x:v>28</x:v>
      </x:c>
      <x:c r="X103" s="35" t="n">
        <x:v>74</x:v>
      </x:c>
      <x:c r="Y103" s="35" t="n">
        <x:v>5</x:v>
      </x:c>
      <x:c r="Z103" s="35" t="n">
        <x:v>100</x:v>
      </x:c>
      <x:c r="AA103" s="35" t="n">
        <x:v>6</x:v>
      </x:c>
      <x:c r="AB103" s="35" t="n">
        <x:v>5</x:v>
      </x:c>
      <x:c r="AC103" s="35" t="n">
        <x:v>2</x:v>
      </x:c>
      <x:c r="AD103" s="35" t="n">
        <x:v>67</x:v>
      </x:c>
      <x:c r="AE103" s="35" t="n">
        <x:v>95</x:v>
      </x:c>
      <x:c r="AF103" s="35" t="n">
        <x:v>53</x:v>
      </x:c>
      <x:c r="AG103" s="35" t="n">
        <x:v>100</x:v>
      </x:c>
      <x:c r="AH103" s="35" t="n">
        <x:v>7</x:v>
      </x:c>
      <x:c r="AI103" s="37" t="n">
        <x:v>100</x:v>
      </x:c>
      <x:c r="AJ103" s="37" t="n">
        <x:v>95.6</x:v>
      </x:c>
      <x:c r="AK103" s="35" t="str">
        <x:v>Yes</x:v>
      </x:c>
      <x:c r="AL103" s="38" t="n">
        <x:f>IF(AA103=0,0,AB103/AA103)</x:f>
        <x:v>0.8333333333333334</x:v>
      </x:c>
      <x:c r="AM103" s="38" t="n">
        <x:f>IF(AB103=0,0,AC103/AB103)</x:f>
        <x:v>0.4</x:v>
      </x:c>
      <x:c r="AN103" s="37" t="n">
        <x:f>ROUND((AD103*0.20+AE103*0.20+AF103*0.25+AG103*0.15+MIN(100,AC103*12)*0.20),1)</x:f>
        <x:v>65.5</x:v>
      </x:c>
      <x:c r="AO103" s="37" t="n">
        <x:f>ROUND(MAX(0,MIN(100,(X103*0.35)+(W103/45*100*0.20)+((5-O103)/4*100*0.15)+((5-P103)/4*100*0.10)+((6-Y103)/5*100*0.10)+((100-Z103)*0.10))),1)</x:f>
        <x:v>55.3</x:v>
      </x:c>
      <x:c r="AP103" s="37" t="str">
        <x:f>IF(AO103&gt;=70,"High",IF(AO103&gt;=40,"Moderate","Low"))</x:f>
        <x:v>Moderate</x:v>
      </x:c>
      <x:c r="AQ103" s="37" t="n">
        <x:f>ROUND(MAX(0,MIN(100,(O103/4*100*0.25)+(P103/4*100*0.20)+(Q103/4*100*0.15)+(Y103/5*100*0.20)+(100-AO103)*0.20)),1)</x:f>
        <x:v>68.9</x:v>
      </x:c>
      <x:c r="AR103" s="37" t="n">
        <x:f>ROUND((AI103*0.20+AJ103*0.15+AN103*0.18+AG103*0.12+Z103*0.15+AQ103*0.20),1)</x:f>
        <x:v>86.9</x:v>
      </x:c>
      <x:c r="AS103" s="39" t="n">
        <x:f>ROUND((AC103*AF103*120)+(AH103*350)+(MAX(0,AI103-75)*220)+(MAX(0,AQ103-60)*100),0)</x:f>
        <x:v>21560</x:v>
      </x:c>
    </x:row>
    <x:row r="104">
      <x:c r="A104" s="35" t="n">
        <x:v>103</x:v>
      </x:c>
      <x:c r="B104" s="35" t="n">
        <x:v>21</x:v>
      </x:c>
      <x:c r="C104" s="35" t="str">
        <x:v>Female</x:v>
      </x:c>
      <x:c r="D104" s="35" t="str">
        <x:v>Research &amp; Development</x:v>
      </x:c>
      <x:c r="E104" s="35" t="str">
        <x:v>R&amp;D Manager</x:v>
      </x:c>
      <x:c r="F104" s="35" t="str">
        <x:v>Marketing</x:v>
      </x:c>
      <x:c r="G104" s="35" t="str">
        <x:v>Married</x:v>
      </x:c>
      <x:c r="H104" s="35" t="n">
        <x:v>1</x:v>
      </x:c>
      <x:c r="I104" s="36" t="n">
        <x:v>4030</x:v>
      </x:c>
      <x:c r="J104" s="35" t="n">
        <x:v>0</x:v>
      </x:c>
      <x:c r="K104" s="35" t="n">
        <x:v>0</x:v>
      </x:c>
      <x:c r="L104" s="35" t="n">
        <x:v>0</x:v>
      </x:c>
      <x:c r="M104" s="35" t="n">
        <x:v>3</x:v>
      </x:c>
      <x:c r="N104" s="35" t="str">
        <x:v>No</x:v>
      </x:c>
      <x:c r="O104" s="35" t="n">
        <x:v>4</x:v>
      </x:c>
      <x:c r="P104" s="35" t="n">
        <x:v>3</x:v>
      </x:c>
      <x:c r="Q104" s="35" t="n">
        <x:v>4</x:v>
      </x:c>
      <x:c r="R104" s="35" t="n">
        <x:v>3</x:v>
      </x:c>
      <x:c r="S104" s="35" t="n">
        <x:v>3</x:v>
      </x:c>
      <x:c r="T104" s="35" t="n">
        <x:v>3</x:v>
      </x:c>
      <x:c r="U104" s="35" t="n">
        <x:v>1</x:v>
      </x:c>
      <x:c r="V104" s="35" t="n">
        <x:v>12</x:v>
      </x:c>
      <x:c r="W104" s="35" t="n">
        <x:v>1</x:v>
      </x:c>
      <x:c r="X104" s="35" t="n">
        <x:v>53</x:v>
      </x:c>
      <x:c r="Y104" s="35" t="n">
        <x:v>5</x:v>
      </x:c>
      <x:c r="Z104" s="35" t="n">
        <x:v>100</x:v>
      </x:c>
      <x:c r="AA104" s="35" t="n">
        <x:v>4</x:v>
      </x:c>
      <x:c r="AB104" s="35" t="n">
        <x:v>2</x:v>
      </x:c>
      <x:c r="AC104" s="35" t="n">
        <x:v>2</x:v>
      </x:c>
      <x:c r="AD104" s="35" t="n">
        <x:v>62</x:v>
      </x:c>
      <x:c r="AE104" s="35" t="n">
        <x:v>85</x:v>
      </x:c>
      <x:c r="AF104" s="35" t="n">
        <x:v>71</x:v>
      </x:c>
      <x:c r="AG104" s="35" t="n">
        <x:v>76</x:v>
      </x:c>
      <x:c r="AH104" s="35" t="n">
        <x:v>9</x:v>
      </x:c>
      <x:c r="AI104" s="37" t="n">
        <x:v>100</x:v>
      </x:c>
      <x:c r="AJ104" s="37" t="n">
        <x:v>99.1</x:v>
      </x:c>
      <x:c r="AK104" s="35" t="str">
        <x:v>No</x:v>
      </x:c>
      <x:c r="AL104" s="38" t="n">
        <x:f>IF(AA104=0,0,AB104/AA104)</x:f>
        <x:v>0.5</x:v>
      </x:c>
      <x:c r="AM104" s="38" t="n">
        <x:f>IF(AB104=0,0,AC104/AB104)</x:f>
        <x:v>1</x:v>
      </x:c>
      <x:c r="AN104" s="37" t="n">
        <x:f>ROUND((AD104*0.20+AE104*0.20+AF104*0.25+AG104*0.15+MIN(100,AC104*12)*0.20),1)</x:f>
        <x:v>63.4</x:v>
      </x:c>
      <x:c r="AO104" s="37" t="n">
        <x:f>ROUND(MAX(0,MIN(100,(X104*0.35)+(W104/45*100*0.20)+((5-O104)/4*100*0.15)+((5-P104)/4*100*0.10)+((6-Y104)/5*100*0.10)+((100-Z104)*0.10))),1)</x:f>
        <x:v>29.7</x:v>
      </x:c>
      <x:c r="AP104" s="37" t="str">
        <x:f>IF(AO104&gt;=70,"High",IF(AO104&gt;=40,"Moderate","Low"))</x:f>
        <x:v>Low</x:v>
      </x:c>
      <x:c r="AQ104" s="37" t="n">
        <x:f>ROUND(MAX(0,MIN(100,(O104/4*100*0.25)+(P104/4*100*0.20)+(Q104/4*100*0.15)+(Y104/5*100*0.20)+(100-AO104)*0.20)),1)</x:f>
        <x:v>89.1</x:v>
      </x:c>
      <x:c r="AR104" s="37" t="n">
        <x:f>ROUND((AI104*0.20+AJ104*0.15+AN104*0.18+AG104*0.12+Z104*0.15+AQ104*0.20),1)</x:f>
        <x:v>88.2</x:v>
      </x:c>
      <x:c r="AS104" s="39" t="n">
        <x:f>ROUND((AC104*AF104*120)+(AH104*350)+(MAX(0,AI104-75)*220)+(MAX(0,AQ104-60)*100),0)</x:f>
        <x:v>28600</x:v>
      </x:c>
    </x:row>
    <x:row r="105">
      <x:c r="A105" s="35" t="n">
        <x:v>104</x:v>
      </x:c>
      <x:c r="B105" s="35" t="n">
        <x:v>51</x:v>
      </x:c>
      <x:c r="C105" s="35" t="str">
        <x:v>Male</x:v>
      </x:c>
      <x:c r="D105" s="35" t="str">
        <x:v>Information Technology</x:v>
      </x:c>
      <x:c r="E105" s="35" t="str">
        <x:v>Software Engineer</x:v>
      </x:c>
      <x:c r="F105" s="35" t="str">
        <x:v>Human Resources</x:v>
      </x:c>
      <x:c r="G105" s="35" t="str">
        <x:v>Married</x:v>
      </x:c>
      <x:c r="H105" s="35" t="n">
        <x:v>4</x:v>
      </x:c>
      <x:c r="I105" s="36" t="n">
        <x:v>19080</x:v>
      </x:c>
      <x:c r="J105" s="35" t="n">
        <x:v>24</x:v>
      </x:c>
      <x:c r="K105" s="35" t="n">
        <x:v>9</x:v>
      </x:c>
      <x:c r="L105" s="35" t="n">
        <x:v>3</x:v>
      </x:c>
      <x:c r="M105" s="35" t="n">
        <x:v>18</x:v>
      </x:c>
      <x:c r="N105" s="35" t="str">
        <x:v>Yes</x:v>
      </x:c>
      <x:c r="O105" s="35" t="n">
        <x:v>3</x:v>
      </x:c>
      <x:c r="P105" s="35" t="n">
        <x:v>2</x:v>
      </x:c>
      <x:c r="Q105" s="35" t="n">
        <x:v>3</x:v>
      </x:c>
      <x:c r="R105" s="35" t="n">
        <x:v>2</x:v>
      </x:c>
      <x:c r="S105" s="35" t="n">
        <x:v>3</x:v>
      </x:c>
      <x:c r="T105" s="35" t="n">
        <x:v>4</x:v>
      </x:c>
      <x:c r="U105" s="35" t="n">
        <x:v>2</x:v>
      </x:c>
      <x:c r="V105" s="35" t="n">
        <x:v>12</x:v>
      </x:c>
      <x:c r="W105" s="35" t="n">
        <x:v>25</x:v>
      </x:c>
      <x:c r="X105" s="35" t="n">
        <x:v>55</x:v>
      </x:c>
      <x:c r="Y105" s="35" t="n">
        <x:v>5</x:v>
      </x:c>
      <x:c r="Z105" s="35" t="n">
        <x:v>97</x:v>
      </x:c>
      <x:c r="AA105" s="35" t="n">
        <x:v>8</x:v>
      </x:c>
      <x:c r="AB105" s="35" t="n">
        <x:v>4</x:v>
      </x:c>
      <x:c r="AC105" s="35" t="n">
        <x:v>2</x:v>
      </x:c>
      <x:c r="AD105" s="35" t="n">
        <x:v>99</x:v>
      </x:c>
      <x:c r="AE105" s="35" t="n">
        <x:v>69</x:v>
      </x:c>
      <x:c r="AF105" s="35" t="n">
        <x:v>63</x:v>
      </x:c>
      <x:c r="AG105" s="35" t="n">
        <x:v>91</x:v>
      </x:c>
      <x:c r="AH105" s="35" t="n">
        <x:v>3</x:v>
      </x:c>
      <x:c r="AI105" s="37" t="n">
        <x:v>90.8</x:v>
      </x:c>
      <x:c r="AJ105" s="37" t="n">
        <x:v>92.5</x:v>
      </x:c>
      <x:c r="AK105" s="35" t="str">
        <x:v>Yes</x:v>
      </x:c>
      <x:c r="AL105" s="38" t="n">
        <x:f>IF(AA105=0,0,AB105/AA105)</x:f>
        <x:v>0.5</x:v>
      </x:c>
      <x:c r="AM105" s="38" t="n">
        <x:f>IF(AB105=0,0,AC105/AB105)</x:f>
        <x:v>0.5</x:v>
      </x:c>
      <x:c r="AN105" s="37" t="n">
        <x:f>ROUND((AD105*0.20+AE105*0.20+AF105*0.25+AG105*0.15+MIN(100,AC105*12)*0.20),1)</x:f>
        <x:v>67.8</x:v>
      </x:c>
      <x:c r="AO105" s="37" t="n">
        <x:f>ROUND(MAX(0,MIN(100,(X105*0.35)+(W105/45*100*0.20)+((5-O105)/4*100*0.15)+((5-P105)/4*100*0.10)+((6-Y105)/5*100*0.10)+((100-Z105)*0.10))),1)</x:f>
        <x:v>47.7</x:v>
      </x:c>
      <x:c r="AP105" s="37" t="str">
        <x:f>IF(AO105&gt;=70,"High",IF(AO105&gt;=40,"Moderate","Low"))</x:f>
        <x:v>Moderate</x:v>
      </x:c>
      <x:c r="AQ105" s="37" t="n">
        <x:f>ROUND(MAX(0,MIN(100,(O105/4*100*0.25)+(P105/4*100*0.20)+(Q105/4*100*0.15)+(Y105/5*100*0.20)+(100-AO105)*0.20)),1)</x:f>
        <x:v>70.5</x:v>
      </x:c>
      <x:c r="AR105" s="37" t="n">
        <x:f>ROUND((AI105*0.20+AJ105*0.15+AN105*0.18+AG105*0.12+Z105*0.15+AQ105*0.20),1)</x:f>
        <x:v>83.8</x:v>
      </x:c>
      <x:c r="AS105" s="39" t="n">
        <x:f>ROUND((AC105*AF105*120)+(AH105*350)+(MAX(0,AI105-75)*220)+(MAX(0,AQ105-60)*100),0)</x:f>
        <x:v>20696</x:v>
      </x:c>
    </x:row>
    <x:row r="106">
      <x:c r="A106" s="35" t="n">
        <x:v>105</x:v>
      </x:c>
      <x:c r="B106" s="35" t="n">
        <x:v>29</x:v>
      </x:c>
      <x:c r="C106" s="35" t="str">
        <x:v>Male</x:v>
      </x:c>
      <x:c r="D106" s="35" t="str">
        <x:v>Sales</x:v>
      </x:c>
      <x:c r="E106" s="35" t="str">
        <x:v>Account Manager</x:v>
      </x:c>
      <x:c r="F106" s="35" t="str">
        <x:v>Life Sciences</x:v>
      </x:c>
      <x:c r="G106" s="35" t="str">
        <x:v>Single</x:v>
      </x:c>
      <x:c r="H106" s="35" t="n">
        <x:v>2</x:v>
      </x:c>
      <x:c r="I106" s="36" t="n">
        <x:v>6200</x:v>
      </x:c>
      <x:c r="J106" s="35" t="n">
        <x:v>6</x:v>
      </x:c>
      <x:c r="K106" s="35" t="n">
        <x:v>4</x:v>
      </x:c>
      <x:c r="L106" s="35" t="n">
        <x:v>1</x:v>
      </x:c>
      <x:c r="M106" s="35" t="n">
        <x:v>13</x:v>
      </x:c>
      <x:c r="N106" s="35" t="str">
        <x:v>Yes</x:v>
      </x:c>
      <x:c r="O106" s="35" t="n">
        <x:v>2</x:v>
      </x:c>
      <x:c r="P106" s="35" t="n">
        <x:v>2</x:v>
      </x:c>
      <x:c r="Q106" s="35" t="n">
        <x:v>3</x:v>
      </x:c>
      <x:c r="R106" s="35" t="n">
        <x:v>3</x:v>
      </x:c>
      <x:c r="S106" s="35" t="n">
        <x:v>3</x:v>
      </x:c>
      <x:c r="T106" s="35" t="n">
        <x:v>2</x:v>
      </x:c>
      <x:c r="U106" s="35" t="n">
        <x:v>2</x:v>
      </x:c>
      <x:c r="V106" s="35" t="n">
        <x:v>7</x:v>
      </x:c>
      <x:c r="W106" s="35" t="n">
        <x:v>21</x:v>
      </x:c>
      <x:c r="X106" s="35" t="n">
        <x:v>89</x:v>
      </x:c>
      <x:c r="Y106" s="35" t="n">
        <x:v>3</x:v>
      </x:c>
      <x:c r="Z106" s="35" t="n">
        <x:v>93</x:v>
      </x:c>
      <x:c r="AA106" s="35" t="n">
        <x:v>7</x:v>
      </x:c>
      <x:c r="AB106" s="35" t="n">
        <x:v>7</x:v>
      </x:c>
      <x:c r="AC106" s="35" t="n">
        <x:v>6</x:v>
      </x:c>
      <x:c r="AD106" s="35" t="n">
        <x:v>68</x:v>
      </x:c>
      <x:c r="AE106" s="35" t="n">
        <x:v>75</x:v>
      </x:c>
      <x:c r="AF106" s="35" t="n">
        <x:v>87</x:v>
      </x:c>
      <x:c r="AG106" s="35" t="n">
        <x:v>84</x:v>
      </x:c>
      <x:c r="AH106" s="35" t="n">
        <x:v>11</x:v>
      </x:c>
      <x:c r="AI106" s="37" t="n">
        <x:v>95.6</x:v>
      </x:c>
      <x:c r="AJ106" s="37" t="n">
        <x:v>86</x:v>
      </x:c>
      <x:c r="AK106" s="35" t="str">
        <x:v>No</x:v>
      </x:c>
      <x:c r="AL106" s="38" t="n">
        <x:f>IF(AA106=0,0,AB106/AA106)</x:f>
        <x:v>1</x:v>
      </x:c>
      <x:c r="AM106" s="38" t="n">
        <x:f>IF(AB106=0,0,AC106/AB106)</x:f>
        <x:v>0.8571428571428571</x:v>
      </x:c>
      <x:c r="AN106" s="37" t="n">
        <x:f>ROUND((AD106*0.20+AE106*0.20+AF106*0.25+AG106*0.15+MIN(100,AC106*12)*0.20),1)</x:f>
        <x:v>77.4</x:v>
      </x:c>
      <x:c r="AO106" s="37" t="n">
        <x:f>ROUND(MAX(0,MIN(100,(X106*0.35)+(W106/45*100*0.20)+((5-O106)/4*100*0.15)+((5-P106)/4*100*0.10)+((6-Y106)/5*100*0.10)+((100-Z106)*0.10))),1)</x:f>
        <x:v>65.9</x:v>
      </x:c>
      <x:c r="AP106" s="37" t="str">
        <x:f>IF(AO106&gt;=70,"High",IF(AO106&gt;=40,"Moderate","Low"))</x:f>
        <x:v>Moderate</x:v>
      </x:c>
      <x:c r="AQ106" s="37" t="n">
        <x:f>ROUND(MAX(0,MIN(100,(O106/4*100*0.25)+(P106/4*100*0.20)+(Q106/4*100*0.15)+(Y106/5*100*0.20)+(100-AO106)*0.20)),1)</x:f>
        <x:v>52.6</x:v>
      </x:c>
      <x:c r="AR106" s="37" t="n">
        <x:f>ROUND((AI106*0.20+AJ106*0.15+AN106*0.18+AG106*0.12+Z106*0.15+AQ106*0.20),1)</x:f>
        <x:v>80.5</x:v>
      </x:c>
      <x:c r="AS106" s="39" t="n">
        <x:f>ROUND((AC106*AF106*120)+(AH106*350)+(MAX(0,AI106-75)*220)+(MAX(0,AQ106-60)*100),0)</x:f>
        <x:v>71022</x:v>
      </x:c>
    </x:row>
    <x:row r="107">
      <x:c r="A107" s="35" t="n">
        <x:v>106</x:v>
      </x:c>
      <x:c r="B107" s="35" t="n">
        <x:v>40</x:v>
      </x:c>
      <x:c r="C107" s="35" t="str">
        <x:v>Female</x:v>
      </x:c>
      <x:c r="D107" s="35" t="str">
        <x:v>Marketing</x:v>
      </x:c>
      <x:c r="E107" s="35" t="str">
        <x:v>Digital Marketing Analyst</x:v>
      </x:c>
      <x:c r="F107" s="35" t="str">
        <x:v>Human Resources</x:v>
      </x:c>
      <x:c r="G107" s="35" t="str">
        <x:v>Divorced</x:v>
      </x:c>
      <x:c r="H107" s="35" t="n">
        <x:v>3</x:v>
      </x:c>
      <x:c r="I107" s="36" t="n">
        <x:v>12850</x:v>
      </x:c>
      <x:c r="J107" s="35" t="n">
        <x:v>12</x:v>
      </x:c>
      <x:c r="K107" s="35" t="n">
        <x:v>6</x:v>
      </x:c>
      <x:c r="L107" s="35" t="n">
        <x:v>3</x:v>
      </x:c>
      <x:c r="M107" s="35" t="n">
        <x:v>10</x:v>
      </x:c>
      <x:c r="N107" s="35" t="str">
        <x:v>No</x:v>
      </x:c>
      <x:c r="O107" s="35" t="n">
        <x:v>2</x:v>
      </x:c>
      <x:c r="P107" s="35" t="n">
        <x:v>3</x:v>
      </x:c>
      <x:c r="Q107" s="35" t="n">
        <x:v>3</x:v>
      </x:c>
      <x:c r="R107" s="35" t="n">
        <x:v>4</x:v>
      </x:c>
      <x:c r="S107" s="35" t="n">
        <x:v>3</x:v>
      </x:c>
      <x:c r="T107" s="35" t="n">
        <x:v>4</x:v>
      </x:c>
      <x:c r="U107" s="35" t="n">
        <x:v>2</x:v>
      </x:c>
      <x:c r="V107" s="35" t="n">
        <x:v>11</x:v>
      </x:c>
      <x:c r="W107" s="35" t="n">
        <x:v>6</x:v>
      </x:c>
      <x:c r="X107" s="35" t="n">
        <x:v>67</x:v>
      </x:c>
      <x:c r="Y107" s="35" t="n">
        <x:v>5</x:v>
      </x:c>
      <x:c r="Z107" s="35" t="n">
        <x:v>100</x:v>
      </x:c>
      <x:c r="AA107" s="35" t="n">
        <x:v>8</x:v>
      </x:c>
      <x:c r="AB107" s="35" t="n">
        <x:v>5</x:v>
      </x:c>
      <x:c r="AC107" s="35" t="n">
        <x:v>4</x:v>
      </x:c>
      <x:c r="AD107" s="35" t="n">
        <x:v>62</x:v>
      </x:c>
      <x:c r="AE107" s="35" t="n">
        <x:v>74</x:v>
      </x:c>
      <x:c r="AF107" s="35" t="n">
        <x:v>88</x:v>
      </x:c>
      <x:c r="AG107" s="35" t="n">
        <x:v>92</x:v>
      </x:c>
      <x:c r="AH107" s="35" t="n">
        <x:v>7</x:v>
      </x:c>
      <x:c r="AI107" s="37" t="n">
        <x:v>100</x:v>
      </x:c>
      <x:c r="AJ107" s="37" t="n">
        <x:v>90.8</x:v>
      </x:c>
      <x:c r="AK107" s="35" t="str">
        <x:v>No</x:v>
      </x:c>
      <x:c r="AL107" s="38" t="n">
        <x:f>IF(AA107=0,0,AB107/AA107)</x:f>
        <x:v>0.625</x:v>
      </x:c>
      <x:c r="AM107" s="38" t="n">
        <x:f>IF(AB107=0,0,AC107/AB107)</x:f>
        <x:v>0.8</x:v>
      </x:c>
      <x:c r="AN107" s="37" t="n">
        <x:f>ROUND((AD107*0.20+AE107*0.20+AF107*0.25+AG107*0.15+MIN(100,AC107*12)*0.20),1)</x:f>
        <x:v>72.6</x:v>
      </x:c>
      <x:c r="AO107" s="37" t="n">
        <x:f>ROUND(MAX(0,MIN(100,(X107*0.35)+(W107/45*100*0.20)+((5-O107)/4*100*0.15)+((5-P107)/4*100*0.10)+((6-Y107)/5*100*0.10)+((100-Z107)*0.10))),1)</x:f>
        <x:v>44.4</x:v>
      </x:c>
      <x:c r="AP107" s="37" t="str">
        <x:f>IF(AO107&gt;=70,"High",IF(AO107&gt;=40,"Moderate","Low"))</x:f>
        <x:v>Moderate</x:v>
      </x:c>
      <x:c r="AQ107" s="37" t="n">
        <x:f>ROUND(MAX(0,MIN(100,(O107/4*100*0.25)+(P107/4*100*0.20)+(Q107/4*100*0.15)+(Y107/5*100*0.20)+(100-AO107)*0.20)),1)</x:f>
        <x:v>69.9</x:v>
      </x:c>
      <x:c r="AR107" s="37" t="n">
        <x:f>ROUND((AI107*0.20+AJ107*0.15+AN107*0.18+AG107*0.12+Z107*0.15+AQ107*0.20),1)</x:f>
        <x:v>86.7</x:v>
      </x:c>
      <x:c r="AS107" s="39" t="n">
        <x:f>ROUND((AC107*AF107*120)+(AH107*350)+(MAX(0,AI107-75)*220)+(MAX(0,AQ107-60)*100),0)</x:f>
        <x:v>51180</x:v>
      </x:c>
    </x:row>
    <x:row r="108">
      <x:c r="A108" s="35" t="n">
        <x:v>107</x:v>
      </x:c>
      <x:c r="B108" s="35" t="n">
        <x:v>31</x:v>
      </x:c>
      <x:c r="C108" s="35" t="str">
        <x:v>Male</x:v>
      </x:c>
      <x:c r="D108" s="35" t="str">
        <x:v>Information Technology</x:v>
      </x:c>
      <x:c r="E108" s="35" t="str">
        <x:v>Software Engineer</x:v>
      </x:c>
      <x:c r="F108" s="35" t="str">
        <x:v>Medical</x:v>
      </x:c>
      <x:c r="G108" s="35" t="str">
        <x:v>Divorced</x:v>
      </x:c>
      <x:c r="H108" s="35" t="n">
        <x:v>1</x:v>
      </x:c>
      <x:c r="I108" s="36" t="n">
        <x:v>4910</x:v>
      </x:c>
      <x:c r="J108" s="35" t="n">
        <x:v>7</x:v>
      </x:c>
      <x:c r="K108" s="35" t="n">
        <x:v>5</x:v>
      </x:c>
      <x:c r="L108" s="35" t="n">
        <x:v>2</x:v>
      </x:c>
      <x:c r="M108" s="35" t="n">
        <x:v>7</x:v>
      </x:c>
      <x:c r="N108" s="35" t="str">
        <x:v>No</x:v>
      </x:c>
      <x:c r="O108" s="35" t="n">
        <x:v>2</x:v>
      </x:c>
      <x:c r="P108" s="35" t="n">
        <x:v>3</x:v>
      </x:c>
      <x:c r="Q108" s="35" t="n">
        <x:v>3</x:v>
      </x:c>
      <x:c r="R108" s="35" t="n">
        <x:v>3</x:v>
      </x:c>
      <x:c r="S108" s="35" t="n">
        <x:v>3</x:v>
      </x:c>
      <x:c r="T108" s="35" t="n">
        <x:v>2</x:v>
      </x:c>
      <x:c r="U108" s="35" t="n">
        <x:v>2</x:v>
      </x:c>
      <x:c r="V108" s="35" t="n">
        <x:v>3</x:v>
      </x:c>
      <x:c r="W108" s="35" t="n">
        <x:v>18</x:v>
      </x:c>
      <x:c r="X108" s="35" t="n">
        <x:v>64</x:v>
      </x:c>
      <x:c r="Y108" s="35" t="n">
        <x:v>3</x:v>
      </x:c>
      <x:c r="Z108" s="35" t="n">
        <x:v>99</x:v>
      </x:c>
      <x:c r="AA108" s="35" t="n">
        <x:v>3</x:v>
      </x:c>
      <x:c r="AB108" s="35" t="n">
        <x:v>2</x:v>
      </x:c>
      <x:c r="AC108" s="35" t="n">
        <x:v>0</x:v>
      </x:c>
      <x:c r="AD108" s="35" t="n">
        <x:v>68</x:v>
      </x:c>
      <x:c r="AE108" s="35" t="n">
        <x:v>78</x:v>
      </x:c>
      <x:c r="AF108" s="35" t="n">
        <x:v>59</x:v>
      </x:c>
      <x:c r="AG108" s="35" t="n">
        <x:v>97</x:v>
      </x:c>
      <x:c r="AH108" s="35" t="n">
        <x:v>4</x:v>
      </x:c>
      <x:c r="AI108" s="37" t="n">
        <x:v>94.4</x:v>
      </x:c>
      <x:c r="AJ108" s="37" t="n">
        <x:v>81</x:v>
      </x:c>
      <x:c r="AK108" s="35" t="str">
        <x:v>Yes</x:v>
      </x:c>
      <x:c r="AL108" s="38" t="n">
        <x:f>IF(AA108=0,0,AB108/AA108)</x:f>
        <x:v>0.6666666666666666</x:v>
      </x:c>
      <x:c r="AM108" s="38" t="n">
        <x:f>IF(AB108=0,0,AC108/AB108)</x:f>
        <x:v>0</x:v>
      </x:c>
      <x:c r="AN108" s="37" t="n">
        <x:f>ROUND((AD108*0.20+AE108*0.20+AF108*0.25+AG108*0.15+MIN(100,AC108*12)*0.20),1)</x:f>
        <x:v>58.5</x:v>
      </x:c>
      <x:c r="AO108" s="37" t="n">
        <x:f>ROUND(MAX(0,MIN(100,(X108*0.35)+(W108/45*100*0.20)+((5-O108)/4*100*0.15)+((5-P108)/4*100*0.10)+((6-Y108)/5*100*0.10)+((100-Z108)*0.10))),1)</x:f>
        <x:v>52.8</x:v>
      </x:c>
      <x:c r="AP108" s="37" t="str">
        <x:f>IF(AO108&gt;=70,"High",IF(AO108&gt;=40,"Moderate","Low"))</x:f>
        <x:v>Moderate</x:v>
      </x:c>
      <x:c r="AQ108" s="37" t="n">
        <x:f>ROUND(MAX(0,MIN(100,(O108/4*100*0.25)+(P108/4*100*0.20)+(Q108/4*100*0.15)+(Y108/5*100*0.20)+(100-AO108)*0.20)),1)</x:f>
        <x:v>60.2</x:v>
      </x:c>
      <x:c r="AR108" s="37" t="n">
        <x:f>ROUND((AI108*0.20+AJ108*0.15+AN108*0.18+AG108*0.12+Z108*0.15+AQ108*0.20),1)</x:f>
        <x:v>80.1</x:v>
      </x:c>
      <x:c r="AS108" s="39" t="n">
        <x:f>ROUND((AC108*AF108*120)+(AH108*350)+(MAX(0,AI108-75)*220)+(MAX(0,AQ108-60)*100),0)</x:f>
        <x:v>5688</x:v>
      </x:c>
    </x:row>
    <x:row r="109">
      <x:c r="A109" s="35" t="n">
        <x:v>108</x:v>
      </x:c>
      <x:c r="B109" s="35" t="n">
        <x:v>31</x:v>
      </x:c>
      <x:c r="C109" s="35" t="str">
        <x:v>Female</x:v>
      </x:c>
      <x:c r="D109" s="35" t="str">
        <x:v>Research &amp; Development</x:v>
      </x:c>
      <x:c r="E109" s="35" t="str">
        <x:v>Research Scientist</x:v>
      </x:c>
      <x:c r="F109" s="35" t="str">
        <x:v>Life Sciences</x:v>
      </x:c>
      <x:c r="G109" s="35" t="str">
        <x:v>Single</x:v>
      </x:c>
      <x:c r="H109" s="35" t="n">
        <x:v>1</x:v>
      </x:c>
      <x:c r="I109" s="36" t="n">
        <x:v>6630</x:v>
      </x:c>
      <x:c r="J109" s="35" t="n">
        <x:v>7</x:v>
      </x:c>
      <x:c r="K109" s="35" t="n">
        <x:v>5</x:v>
      </x:c>
      <x:c r="L109" s="35" t="n">
        <x:v>3</x:v>
      </x:c>
      <x:c r="M109" s="35" t="n">
        <x:v>14</x:v>
      </x:c>
      <x:c r="N109" s="35" t="str">
        <x:v>No</x:v>
      </x:c>
      <x:c r="O109" s="35" t="n">
        <x:v>3</x:v>
      </x:c>
      <x:c r="P109" s="35" t="n">
        <x:v>3</x:v>
      </x:c>
      <x:c r="Q109" s="35" t="n">
        <x:v>2</x:v>
      </x:c>
      <x:c r="R109" s="35" t="n">
        <x:v>3</x:v>
      </x:c>
      <x:c r="S109" s="35" t="n">
        <x:v>3</x:v>
      </x:c>
      <x:c r="T109" s="35" t="n">
        <x:v>2</x:v>
      </x:c>
      <x:c r="U109" s="35" t="n">
        <x:v>0</x:v>
      </x:c>
      <x:c r="V109" s="35" t="n">
        <x:v>7</x:v>
      </x:c>
      <x:c r="W109" s="35" t="n">
        <x:v>20</x:v>
      </x:c>
      <x:c r="X109" s="35" t="n">
        <x:v>62</x:v>
      </x:c>
      <x:c r="Y109" s="35" t="n">
        <x:v>4</x:v>
      </x:c>
      <x:c r="Z109" s="35" t="n">
        <x:v>100</x:v>
      </x:c>
      <x:c r="AA109" s="35" t="n">
        <x:v>6</x:v>
      </x:c>
      <x:c r="AB109" s="35" t="n">
        <x:v>6</x:v>
      </x:c>
      <x:c r="AC109" s="35" t="n">
        <x:v>3</x:v>
      </x:c>
      <x:c r="AD109" s="35" t="n">
        <x:v>82</x:v>
      </x:c>
      <x:c r="AE109" s="35" t="n">
        <x:v>75</x:v>
      </x:c>
      <x:c r="AF109" s="35" t="n">
        <x:v>64</x:v>
      </x:c>
      <x:c r="AG109" s="35" t="n">
        <x:v>93</x:v>
      </x:c>
      <x:c r="AH109" s="35" t="n">
        <x:v>6</x:v>
      </x:c>
      <x:c r="AI109" s="37" t="n">
        <x:v>96.8</x:v>
      </x:c>
      <x:c r="AJ109" s="37" t="n">
        <x:v>83.2</x:v>
      </x:c>
      <x:c r="AK109" s="35" t="str">
        <x:v>Yes</x:v>
      </x:c>
      <x:c r="AL109" s="38" t="n">
        <x:f>IF(AA109=0,0,AB109/AA109)</x:f>
        <x:v>1</x:v>
      </x:c>
      <x:c r="AM109" s="38" t="n">
        <x:f>IF(AB109=0,0,AC109/AB109)</x:f>
        <x:v>0.5</x:v>
      </x:c>
      <x:c r="AN109" s="37" t="n">
        <x:f>ROUND((AD109*0.20+AE109*0.20+AF109*0.25+AG109*0.15+MIN(100,AC109*12)*0.20),1)</x:f>
        <x:v>68.6</x:v>
      </x:c>
      <x:c r="AO109" s="37" t="n">
        <x:f>ROUND(MAX(0,MIN(100,(X109*0.35)+(W109/45*100*0.20)+((5-O109)/4*100*0.15)+((5-P109)/4*100*0.10)+((6-Y109)/5*100*0.10)+((100-Z109)*0.10))),1)</x:f>
        <x:v>47.1</x:v>
      </x:c>
      <x:c r="AP109" s="37" t="str">
        <x:f>IF(AO109&gt;=70,"High",IF(AO109&gt;=40,"Moderate","Low"))</x:f>
        <x:v>Moderate</x:v>
      </x:c>
      <x:c r="AQ109" s="37" t="n">
        <x:f>ROUND(MAX(0,MIN(100,(O109/4*100*0.25)+(P109/4*100*0.20)+(Q109/4*100*0.15)+(Y109/5*100*0.20)+(100-AO109)*0.20)),1)</x:f>
        <x:v>67.8</x:v>
      </x:c>
      <x:c r="AR109" s="37" t="n">
        <x:f>ROUND((AI109*0.20+AJ109*0.15+AN109*0.18+AG109*0.12+Z109*0.15+AQ109*0.20),1)</x:f>
        <x:v>83.9</x:v>
      </x:c>
      <x:c r="AS109" s="39" t="n">
        <x:f>ROUND((AC109*AF109*120)+(AH109*350)+(MAX(0,AI109-75)*220)+(MAX(0,AQ109-60)*100),0)</x:f>
        <x:v>30716</x:v>
      </x:c>
    </x:row>
    <x:row r="110">
      <x:c r="A110" s="35" t="n">
        <x:v>109</x:v>
      </x:c>
      <x:c r="B110" s="35" t="n">
        <x:v>29</x:v>
      </x:c>
      <x:c r="C110" s="35" t="str">
        <x:v>Female</x:v>
      </x:c>
      <x:c r="D110" s="35" t="str">
        <x:v>Sales</x:v>
      </x:c>
      <x:c r="E110" s="35" t="str">
        <x:v>Sales Representative</x:v>
      </x:c>
      <x:c r="F110" s="35" t="str">
        <x:v>Business</x:v>
      </x:c>
      <x:c r="G110" s="35" t="str">
        <x:v>Married</x:v>
      </x:c>
      <x:c r="H110" s="35" t="n">
        <x:v>1</x:v>
      </x:c>
      <x:c r="I110" s="36" t="n">
        <x:v>5950</x:v>
      </x:c>
      <x:c r="J110" s="35" t="n">
        <x:v>4</x:v>
      </x:c>
      <x:c r="K110" s="35" t="n">
        <x:v>3</x:v>
      </x:c>
      <x:c r="L110" s="35" t="n">
        <x:v>2</x:v>
      </x:c>
      <x:c r="M110" s="35" t="n">
        <x:v>2</x:v>
      </x:c>
      <x:c r="N110" s="35" t="str">
        <x:v>No</x:v>
      </x:c>
      <x:c r="O110" s="35" t="n">
        <x:v>2</x:v>
      </x:c>
      <x:c r="P110" s="35" t="n">
        <x:v>2</x:v>
      </x:c>
      <x:c r="Q110" s="35" t="n">
        <x:v>3</x:v>
      </x:c>
      <x:c r="R110" s="35" t="n">
        <x:v>3</x:v>
      </x:c>
      <x:c r="S110" s="35" t="n">
        <x:v>4</x:v>
      </x:c>
      <x:c r="T110" s="35" t="n">
        <x:v>6</x:v>
      </x:c>
      <x:c r="U110" s="35" t="n">
        <x:v>0</x:v>
      </x:c>
      <x:c r="V110" s="35" t="n">
        <x:v>8</x:v>
      </x:c>
      <x:c r="W110" s="35" t="n">
        <x:v>4</x:v>
      </x:c>
      <x:c r="X110" s="35" t="n">
        <x:v>57</x:v>
      </x:c>
      <x:c r="Y110" s="35" t="n">
        <x:v>5</x:v>
      </x:c>
      <x:c r="Z110" s="35" t="n">
        <x:v>94</x:v>
      </x:c>
      <x:c r="AA110" s="35" t="n">
        <x:v>10</x:v>
      </x:c>
      <x:c r="AB110" s="35" t="n">
        <x:v>6</x:v>
      </x:c>
      <x:c r="AC110" s="35" t="n">
        <x:v>6</x:v>
      </x:c>
      <x:c r="AD110" s="35" t="n">
        <x:v>97</x:v>
      </x:c>
      <x:c r="AE110" s="35" t="n">
        <x:v>85</x:v>
      </x:c>
      <x:c r="AF110" s="35" t="n">
        <x:v>97</x:v>
      </x:c>
      <x:c r="AG110" s="35" t="n">
        <x:v>84</x:v>
      </x:c>
      <x:c r="AH110" s="35" t="n">
        <x:v>12</x:v>
      </x:c>
      <x:c r="AI110" s="37" t="n">
        <x:v>100</x:v>
      </x:c>
      <x:c r="AJ110" s="37" t="n">
        <x:v>100</x:v>
      </x:c>
      <x:c r="AK110" s="35" t="str">
        <x:v>No</x:v>
      </x:c>
      <x:c r="AL110" s="38" t="n">
        <x:f>IF(AA110=0,0,AB110/AA110)</x:f>
        <x:v>0.6</x:v>
      </x:c>
      <x:c r="AM110" s="38" t="n">
        <x:f>IF(AB110=0,0,AC110/AB110)</x:f>
        <x:v>1</x:v>
      </x:c>
      <x:c r="AN110" s="37" t="n">
        <x:f>ROUND((AD110*0.20+AE110*0.20+AF110*0.25+AG110*0.15+MIN(100,AC110*12)*0.20),1)</x:f>
        <x:v>87.7</x:v>
      </x:c>
      <x:c r="AO110" s="37" t="n">
        <x:f>ROUND(MAX(0,MIN(100,(X110*0.35)+(W110/45*100*0.20)+((5-O110)/4*100*0.15)+((5-P110)/4*100*0.10)+((6-Y110)/5*100*0.10)+((100-Z110)*0.10))),1)</x:f>
        <x:v>43.1</x:v>
      </x:c>
      <x:c r="AP110" s="37" t="str">
        <x:f>IF(AO110&gt;=70,"High",IF(AO110&gt;=40,"Moderate","Low"))</x:f>
        <x:v>Moderate</x:v>
      </x:c>
      <x:c r="AQ110" s="37" t="n">
        <x:f>ROUND(MAX(0,MIN(100,(O110/4*100*0.25)+(P110/4*100*0.20)+(Q110/4*100*0.15)+(Y110/5*100*0.20)+(100-AO110)*0.20)),1)</x:f>
        <x:v>65.1</x:v>
      </x:c>
      <x:c r="AR110" s="37" t="n">
        <x:f>ROUND((AI110*0.20+AJ110*0.15+AN110*0.18+AG110*0.12+Z110*0.15+AQ110*0.20),1)</x:f>
        <x:v>88</x:v>
      </x:c>
      <x:c r="AS110" s="39" t="n">
        <x:f>ROUND((AC110*AF110*120)+(AH110*350)+(MAX(0,AI110-75)*220)+(MAX(0,AQ110-60)*100),0)</x:f>
        <x:v>80050</x:v>
      </x:c>
    </x:row>
    <x:row r="111">
      <x:c r="A111" s="35" t="n">
        <x:v>110</x:v>
      </x:c>
      <x:c r="B111" s="35" t="n">
        <x:v>25</x:v>
      </x:c>
      <x:c r="C111" s="35" t="str">
        <x:v>Female</x:v>
      </x:c>
      <x:c r="D111" s="35" t="str">
        <x:v>Finance</x:v>
      </x:c>
      <x:c r="E111" s="35" t="str">
        <x:v>Financial Analyst</x:v>
      </x:c>
      <x:c r="F111" s="35" t="str">
        <x:v>Human Resources</x:v>
      </x:c>
      <x:c r="G111" s="35" t="str">
        <x:v>Married</x:v>
      </x:c>
      <x:c r="H111" s="35" t="n">
        <x:v>1</x:v>
      </x:c>
      <x:c r="I111" s="36" t="n">
        <x:v>5640</x:v>
      </x:c>
      <x:c r="J111" s="35" t="n">
        <x:v>3</x:v>
      </x:c>
      <x:c r="K111" s="35" t="n">
        <x:v>1</x:v>
      </x:c>
      <x:c r="L111" s="35" t="n">
        <x:v>1</x:v>
      </x:c>
      <x:c r="M111" s="35" t="n">
        <x:v>3</x:v>
      </x:c>
      <x:c r="N111" s="35" t="str">
        <x:v>No</x:v>
      </x:c>
      <x:c r="O111" s="35" t="n">
        <x:v>2</x:v>
      </x:c>
      <x:c r="P111" s="35" t="n">
        <x:v>4</x:v>
      </x:c>
      <x:c r="Q111" s="35" t="n">
        <x:v>4</x:v>
      </x:c>
      <x:c r="R111" s="35" t="n">
        <x:v>2</x:v>
      </x:c>
      <x:c r="S111" s="35" t="n">
        <x:v>3</x:v>
      </x:c>
      <x:c r="T111" s="35" t="n">
        <x:v>1</x:v>
      </x:c>
      <x:c r="U111" s="35" t="n">
        <x:v>1</x:v>
      </x:c>
      <x:c r="V111" s="35" t="n">
        <x:v>8</x:v>
      </x:c>
      <x:c r="W111" s="35" t="n">
        <x:v>7</x:v>
      </x:c>
      <x:c r="X111" s="35" t="n">
        <x:v>79</x:v>
      </x:c>
      <x:c r="Y111" s="35" t="n">
        <x:v>4</x:v>
      </x:c>
      <x:c r="Z111" s="35" t="n">
        <x:v>100</x:v>
      </x:c>
      <x:c r="AA111" s="35" t="n">
        <x:v>3</x:v>
      </x:c>
      <x:c r="AB111" s="35" t="n">
        <x:v>3</x:v>
      </x:c>
      <x:c r="AC111" s="35" t="n">
        <x:v>1</x:v>
      </x:c>
      <x:c r="AD111" s="35" t="n">
        <x:v>48</x:v>
      </x:c>
      <x:c r="AE111" s="35" t="n">
        <x:v>66</x:v>
      </x:c>
      <x:c r="AF111" s="35" t="n">
        <x:v>70</x:v>
      </x:c>
      <x:c r="AG111" s="35" t="n">
        <x:v>69</x:v>
      </x:c>
      <x:c r="AH111" s="35" t="n">
        <x:v>4</x:v>
      </x:c>
      <x:c r="AI111" s="37" t="n">
        <x:v>100</x:v>
      </x:c>
      <x:c r="AJ111" s="37" t="n">
        <x:v>89.9</x:v>
      </x:c>
      <x:c r="AK111" s="35" t="str">
        <x:v>Yes</x:v>
      </x:c>
      <x:c r="AL111" s="38" t="n">
        <x:f>IF(AA111=0,0,AB111/AA111)</x:f>
        <x:v>1</x:v>
      </x:c>
      <x:c r="AM111" s="38" t="n">
        <x:f>IF(AB111=0,0,AC111/AB111)</x:f>
        <x:v>0.3333333333333333</x:v>
      </x:c>
      <x:c r="AN111" s="37" t="n">
        <x:f>ROUND((AD111*0.20+AE111*0.20+AF111*0.25+AG111*0.15+MIN(100,AC111*12)*0.20),1)</x:f>
        <x:v>53.1</x:v>
      </x:c>
      <x:c r="AO111" s="37" t="n">
        <x:f>ROUND(MAX(0,MIN(100,(X111*0.35)+(W111/45*100*0.20)+((5-O111)/4*100*0.15)+((5-P111)/4*100*0.10)+((6-Y111)/5*100*0.10)+((100-Z111)*0.10))),1)</x:f>
        <x:v>48.5</x:v>
      </x:c>
      <x:c r="AP111" s="37" t="str">
        <x:f>IF(AO111&gt;=70,"High",IF(AO111&gt;=40,"Moderate","Low"))</x:f>
        <x:v>Moderate</x:v>
      </x:c>
      <x:c r="AQ111" s="37" t="n">
        <x:f>ROUND(MAX(0,MIN(100,(O111/4*100*0.25)+(P111/4*100*0.20)+(Q111/4*100*0.15)+(Y111/5*100*0.20)+(100-AO111)*0.20)),1)</x:f>
        <x:v>73.8</x:v>
      </x:c>
      <x:c r="AR111" s="37" t="n">
        <x:f>ROUND((AI111*0.20+AJ111*0.15+AN111*0.18+AG111*0.12+Z111*0.15+AQ111*0.20),1)</x:f>
        <x:v>81.1</x:v>
      </x:c>
      <x:c r="AS111" s="39" t="n">
        <x:f>ROUND((AC111*AF111*120)+(AH111*350)+(MAX(0,AI111-75)*220)+(MAX(0,AQ111-60)*100),0)</x:f>
        <x:v>16680</x:v>
      </x:c>
    </x:row>
    <x:row r="112">
      <x:c r="A112" s="35" t="n">
        <x:v>111</x:v>
      </x:c>
      <x:c r="B112" s="35" t="n">
        <x:v>26</x:v>
      </x:c>
      <x:c r="C112" s="35" t="str">
        <x:v>Female</x:v>
      </x:c>
      <x:c r="D112" s="35" t="str">
        <x:v>Marketing</x:v>
      </x:c>
      <x:c r="E112" s="35" t="str">
        <x:v>Digital Marketing Analyst</x:v>
      </x:c>
      <x:c r="F112" s="35" t="str">
        <x:v>Life Sciences</x:v>
      </x:c>
      <x:c r="G112" s="35" t="str">
        <x:v>Married</x:v>
      </x:c>
      <x:c r="H112" s="35" t="n">
        <x:v>1</x:v>
      </x:c>
      <x:c r="I112" s="36" t="n">
        <x:v>4000</x:v>
      </x:c>
      <x:c r="J112" s="35" t="n">
        <x:v>4</x:v>
      </x:c>
      <x:c r="K112" s="35" t="n">
        <x:v>2</x:v>
      </x:c>
      <x:c r="L112" s="35" t="n">
        <x:v>1</x:v>
      </x:c>
      <x:c r="M112" s="35" t="n">
        <x:v>10</x:v>
      </x:c>
      <x:c r="N112" s="35" t="str">
        <x:v>No</x:v>
      </x:c>
      <x:c r="O112" s="35" t="n">
        <x:v>3</x:v>
      </x:c>
      <x:c r="P112" s="35" t="n">
        <x:v>3</x:v>
      </x:c>
      <x:c r="Q112" s="35" t="n">
        <x:v>4</x:v>
      </x:c>
      <x:c r="R112" s="35" t="n">
        <x:v>3</x:v>
      </x:c>
      <x:c r="S112" s="35" t="n">
        <x:v>3</x:v>
      </x:c>
      <x:c r="T112" s="35" t="n">
        <x:v>3</x:v>
      </x:c>
      <x:c r="U112" s="35" t="n">
        <x:v>0</x:v>
      </x:c>
      <x:c r="V112" s="35" t="n">
        <x:v>15</x:v>
      </x:c>
      <x:c r="W112" s="35" t="n">
        <x:v>0</x:v>
      </x:c>
      <x:c r="X112" s="35" t="n">
        <x:v>48</x:v>
      </x:c>
      <x:c r="Y112" s="35" t="n">
        <x:v>5</x:v>
      </x:c>
      <x:c r="Z112" s="35" t="n">
        <x:v>100</x:v>
      </x:c>
      <x:c r="AA112" s="35" t="n">
        <x:v>3</x:v>
      </x:c>
      <x:c r="AB112" s="35" t="n">
        <x:v>3</x:v>
      </x:c>
      <x:c r="AC112" s="35" t="n">
        <x:v>2</x:v>
      </x:c>
      <x:c r="AD112" s="35" t="n">
        <x:v>55</x:v>
      </x:c>
      <x:c r="AE112" s="35" t="n">
        <x:v>82</x:v>
      </x:c>
      <x:c r="AF112" s="35" t="n">
        <x:v>100</x:v>
      </x:c>
      <x:c r="AG112" s="35" t="n">
        <x:v>98</x:v>
      </x:c>
      <x:c r="AH112" s="35" t="n">
        <x:v>10</x:v>
      </x:c>
      <x:c r="AI112" s="37" t="n">
        <x:v>100</x:v>
      </x:c>
      <x:c r="AJ112" s="37" t="n">
        <x:v>100</x:v>
      </x:c>
      <x:c r="AK112" s="35" t="str">
        <x:v>No</x:v>
      </x:c>
      <x:c r="AL112" s="38" t="n">
        <x:f>IF(AA112=0,0,AB112/AA112)</x:f>
        <x:v>1</x:v>
      </x:c>
      <x:c r="AM112" s="38" t="n">
        <x:f>IF(AB112=0,0,AC112/AB112)</x:f>
        <x:v>0.6666666666666666</x:v>
      </x:c>
      <x:c r="AN112" s="37" t="n">
        <x:f>ROUND((AD112*0.20+AE112*0.20+AF112*0.25+AG112*0.15+MIN(100,AC112*12)*0.20),1)</x:f>
        <x:v>71.9</x:v>
      </x:c>
      <x:c r="AO112" s="37" t="n">
        <x:f>ROUND(MAX(0,MIN(100,(X112*0.35)+(W112/45*100*0.20)+((5-O112)/4*100*0.15)+((5-P112)/4*100*0.10)+((6-Y112)/5*100*0.10)+((100-Z112)*0.10))),1)</x:f>
        <x:v>31.3</x:v>
      </x:c>
      <x:c r="AP112" s="37" t="str">
        <x:f>IF(AO112&gt;=70,"High",IF(AO112&gt;=40,"Moderate","Low"))</x:f>
        <x:v>Low</x:v>
      </x:c>
      <x:c r="AQ112" s="37" t="n">
        <x:f>ROUND(MAX(0,MIN(100,(O112/4*100*0.25)+(P112/4*100*0.20)+(Q112/4*100*0.15)+(Y112/5*100*0.20)+(100-AO112)*0.20)),1)</x:f>
        <x:v>82.5</x:v>
      </x:c>
      <x:c r="AR112" s="37" t="n">
        <x:f>ROUND((AI112*0.20+AJ112*0.15+AN112*0.18+AG112*0.12+Z112*0.15+AQ112*0.20),1)</x:f>
        <x:v>91.2</x:v>
      </x:c>
      <x:c r="AS112" s="39" t="n">
        <x:f>ROUND((AC112*AF112*120)+(AH112*350)+(MAX(0,AI112-75)*220)+(MAX(0,AQ112-60)*100),0)</x:f>
        <x:v>35250</x:v>
      </x:c>
    </x:row>
    <x:row r="113">
      <x:c r="A113" s="35" t="n">
        <x:v>112</x:v>
      </x:c>
      <x:c r="B113" s="35" t="n">
        <x:v>31</x:v>
      </x:c>
      <x:c r="C113" s="35" t="str">
        <x:v>Female</x:v>
      </x:c>
      <x:c r="D113" s="35" t="str">
        <x:v>Sales</x:v>
      </x:c>
      <x:c r="E113" s="35" t="str">
        <x:v>Sales Executive</x:v>
      </x:c>
      <x:c r="F113" s="35" t="str">
        <x:v>Business</x:v>
      </x:c>
      <x:c r="G113" s="35" t="str">
        <x:v>Married</x:v>
      </x:c>
      <x:c r="H113" s="35" t="n">
        <x:v>1</x:v>
      </x:c>
      <x:c r="I113" s="36" t="n">
        <x:v>5750</x:v>
      </x:c>
      <x:c r="J113" s="35" t="n">
        <x:v>5</x:v>
      </x:c>
      <x:c r="K113" s="35" t="n">
        <x:v>4</x:v>
      </x:c>
      <x:c r="L113" s="35" t="n">
        <x:v>1</x:v>
      </x:c>
      <x:c r="M113" s="35" t="n">
        <x:v>9</x:v>
      </x:c>
      <x:c r="N113" s="35" t="str">
        <x:v>No</x:v>
      </x:c>
      <x:c r="O113" s="35" t="n">
        <x:v>4</x:v>
      </x:c>
      <x:c r="P113" s="35" t="n">
        <x:v>3</x:v>
      </x:c>
      <x:c r="Q113" s="35" t="n">
        <x:v>3</x:v>
      </x:c>
      <x:c r="R113" s="35" t="n">
        <x:v>4</x:v>
      </x:c>
      <x:c r="S113" s="35" t="n">
        <x:v>3</x:v>
      </x:c>
      <x:c r="T113" s="35" t="n">
        <x:v>3</x:v>
      </x:c>
      <x:c r="U113" s="35" t="n">
        <x:v>2</x:v>
      </x:c>
      <x:c r="V113" s="35" t="n">
        <x:v>7</x:v>
      </x:c>
      <x:c r="W113" s="35" t="n">
        <x:v>4</x:v>
      </x:c>
      <x:c r="X113" s="35" t="n">
        <x:v>64</x:v>
      </x:c>
      <x:c r="Y113" s="35" t="n">
        <x:v>5</x:v>
      </x:c>
      <x:c r="Z113" s="35" t="n">
        <x:v>100</x:v>
      </x:c>
      <x:c r="AA113" s="35" t="n">
        <x:v>3</x:v>
      </x:c>
      <x:c r="AB113" s="35" t="n">
        <x:v>3</x:v>
      </x:c>
      <x:c r="AC113" s="35" t="n">
        <x:v>1</x:v>
      </x:c>
      <x:c r="AD113" s="35" t="n">
        <x:v>62</x:v>
      </x:c>
      <x:c r="AE113" s="35" t="n">
        <x:v>53</x:v>
      </x:c>
      <x:c r="AF113" s="35" t="n">
        <x:v>82</x:v>
      </x:c>
      <x:c r="AG113" s="35" t="n">
        <x:v>100</x:v>
      </x:c>
      <x:c r="AH113" s="35" t="n">
        <x:v>3</x:v>
      </x:c>
      <x:c r="AI113" s="37" t="n">
        <x:v>99.1</x:v>
      </x:c>
      <x:c r="AJ113" s="37" t="n">
        <x:v>100</x:v>
      </x:c>
      <x:c r="AK113" s="35" t="str">
        <x:v>No</x:v>
      </x:c>
      <x:c r="AL113" s="38" t="n">
        <x:f>IF(AA113=0,0,AB113/AA113)</x:f>
        <x:v>1</x:v>
      </x:c>
      <x:c r="AM113" s="38" t="n">
        <x:f>IF(AB113=0,0,AC113/AB113)</x:f>
        <x:v>0.3333333333333333</x:v>
      </x:c>
      <x:c r="AN113" s="37" t="n">
        <x:f>ROUND((AD113*0.20+AE113*0.20+AF113*0.25+AG113*0.15+MIN(100,AC113*12)*0.20),1)</x:f>
        <x:v>60.9</x:v>
      </x:c>
      <x:c r="AO113" s="37" t="n">
        <x:f>ROUND(MAX(0,MIN(100,(X113*0.35)+(W113/45*100*0.20)+((5-O113)/4*100*0.15)+((5-P113)/4*100*0.10)+((6-Y113)/5*100*0.10)+((100-Z113)*0.10))),1)</x:f>
        <x:v>34.9</x:v>
      </x:c>
      <x:c r="AP113" s="37" t="str">
        <x:f>IF(AO113&gt;=70,"High",IF(AO113&gt;=40,"Moderate","Low"))</x:f>
        <x:v>Low</x:v>
      </x:c>
      <x:c r="AQ113" s="37" t="n">
        <x:f>ROUND(MAX(0,MIN(100,(O113/4*100*0.25)+(P113/4*100*0.20)+(Q113/4*100*0.15)+(Y113/5*100*0.20)+(100-AO113)*0.20)),1)</x:f>
        <x:v>84.3</x:v>
      </x:c>
      <x:c r="AR113" s="37" t="n">
        <x:f>ROUND((AI113*0.20+AJ113*0.15+AN113*0.18+AG113*0.12+Z113*0.15+AQ113*0.20),1)</x:f>
        <x:v>89.6</x:v>
      </x:c>
      <x:c r="AS113" s="39" t="n">
        <x:f>ROUND((AC113*AF113*120)+(AH113*350)+(MAX(0,AI113-75)*220)+(MAX(0,AQ113-60)*100),0)</x:f>
        <x:v>18622</x:v>
      </x:c>
    </x:row>
    <x:row r="114">
      <x:c r="A114" s="35" t="n">
        <x:v>113</x:v>
      </x:c>
      <x:c r="B114" s="35" t="n">
        <x:v>33</x:v>
      </x:c>
      <x:c r="C114" s="35" t="str">
        <x:v>Male</x:v>
      </x:c>
      <x:c r="D114" s="35" t="str">
        <x:v>Sales</x:v>
      </x:c>
      <x:c r="E114" s="35" t="str">
        <x:v>Sales Representative</x:v>
      </x:c>
      <x:c r="F114" s="35" t="str">
        <x:v>Business</x:v>
      </x:c>
      <x:c r="G114" s="35" t="str">
        <x:v>Married</x:v>
      </x:c>
      <x:c r="H114" s="35" t="n">
        <x:v>2</x:v>
      </x:c>
      <x:c r="I114" s="36" t="n">
        <x:v>7770</x:v>
      </x:c>
      <x:c r="J114" s="35" t="n">
        <x:v>6</x:v>
      </x:c>
      <x:c r="K114" s="35" t="n">
        <x:v>2</x:v>
      </x:c>
      <x:c r="L114" s="35" t="n">
        <x:v>1</x:v>
      </x:c>
      <x:c r="M114" s="35" t="n">
        <x:v>24</x:v>
      </x:c>
      <x:c r="N114" s="35" t="str">
        <x:v>No</x:v>
      </x:c>
      <x:c r="O114" s="35" t="n">
        <x:v>2</x:v>
      </x:c>
      <x:c r="P114" s="35" t="n">
        <x:v>3</x:v>
      </x:c>
      <x:c r="Q114" s="35" t="n">
        <x:v>3</x:v>
      </x:c>
      <x:c r="R114" s="35" t="n">
        <x:v>4</x:v>
      </x:c>
      <x:c r="S114" s="35" t="n">
        <x:v>4</x:v>
      </x:c>
      <x:c r="T114" s="35" t="n">
        <x:v>4</x:v>
      </x:c>
      <x:c r="U114" s="35" t="n">
        <x:v>0</x:v>
      </x:c>
      <x:c r="V114" s="35" t="n">
        <x:v>0</x:v>
      </x:c>
      <x:c r="W114" s="35" t="n">
        <x:v>5</x:v>
      </x:c>
      <x:c r="X114" s="35" t="n">
        <x:v>75</x:v>
      </x:c>
      <x:c r="Y114" s="35" t="n">
        <x:v>5</x:v>
      </x:c>
      <x:c r="Z114" s="35" t="n">
        <x:v>100</x:v>
      </x:c>
      <x:c r="AA114" s="35" t="n">
        <x:v>2</x:v>
      </x:c>
      <x:c r="AB114" s="35" t="n">
        <x:v>2</x:v>
      </x:c>
      <x:c r="AC114" s="35" t="n">
        <x:v>2</x:v>
      </x:c>
      <x:c r="AD114" s="35" t="n">
        <x:v>52</x:v>
      </x:c>
      <x:c r="AE114" s="35" t="n">
        <x:v>70</x:v>
      </x:c>
      <x:c r="AF114" s="35" t="n">
        <x:v>88</x:v>
      </x:c>
      <x:c r="AG114" s="35" t="n">
        <x:v>100</x:v>
      </x:c>
      <x:c r="AH114" s="35" t="n">
        <x:v>9</x:v>
      </x:c>
      <x:c r="AI114" s="37" t="n">
        <x:v>98.5</x:v>
      </x:c>
      <x:c r="AJ114" s="37" t="n">
        <x:v>100</x:v>
      </x:c>
      <x:c r="AK114" s="35" t="str">
        <x:v>No</x:v>
      </x:c>
      <x:c r="AL114" s="38" t="n">
        <x:f>IF(AA114=0,0,AB114/AA114)</x:f>
        <x:v>1</x:v>
      </x:c>
      <x:c r="AM114" s="38" t="n">
        <x:f>IF(AB114=0,0,AC114/AB114)</x:f>
        <x:v>1</x:v>
      </x:c>
      <x:c r="AN114" s="37" t="n">
        <x:f>ROUND((AD114*0.20+AE114*0.20+AF114*0.25+AG114*0.15+MIN(100,AC114*12)*0.20),1)</x:f>
        <x:v>66.2</x:v>
      </x:c>
      <x:c r="AO114" s="37" t="n">
        <x:f>ROUND(MAX(0,MIN(100,(X114*0.35)+(W114/45*100*0.20)+((5-O114)/4*100*0.15)+((5-P114)/4*100*0.10)+((6-Y114)/5*100*0.10)+((100-Z114)*0.10))),1)</x:f>
        <x:v>46.7</x:v>
      </x:c>
      <x:c r="AP114" s="37" t="str">
        <x:f>IF(AO114&gt;=70,"High",IF(AO114&gt;=40,"Moderate","Low"))</x:f>
        <x:v>Moderate</x:v>
      </x:c>
      <x:c r="AQ114" s="37" t="n">
        <x:f>ROUND(MAX(0,MIN(100,(O114/4*100*0.25)+(P114/4*100*0.20)+(Q114/4*100*0.15)+(Y114/5*100*0.20)+(100-AO114)*0.20)),1)</x:f>
        <x:v>69.4</x:v>
      </x:c>
      <x:c r="AR114" s="37" t="n">
        <x:f>ROUND((AI114*0.20+AJ114*0.15+AN114*0.18+AG114*0.12+Z114*0.15+AQ114*0.20),1)</x:f>
        <x:v>87.5</x:v>
      </x:c>
      <x:c r="AS114" s="39" t="n">
        <x:f>ROUND((AC114*AF114*120)+(AH114*350)+(MAX(0,AI114-75)*220)+(MAX(0,AQ114-60)*100),0)</x:f>
        <x:v>30380</x:v>
      </x:c>
    </x:row>
    <x:row r="115">
      <x:c r="A115" s="35" t="n">
        <x:v>114</x:v>
      </x:c>
      <x:c r="B115" s="35" t="n">
        <x:v>28</x:v>
      </x:c>
      <x:c r="C115" s="35" t="str">
        <x:v>Male</x:v>
      </x:c>
      <x:c r="D115" s="35" t="str">
        <x:v>Research &amp; Development</x:v>
      </x:c>
      <x:c r="E115" s="35" t="str">
        <x:v>Research Scientist</x:v>
      </x:c>
      <x:c r="F115" s="35" t="str">
        <x:v>Technical Degree</x:v>
      </x:c>
      <x:c r="G115" s="35" t="str">
        <x:v>Married</x:v>
      </x:c>
      <x:c r="H115" s="35" t="n">
        <x:v>1</x:v>
      </x:c>
      <x:c r="I115" s="36" t="n">
        <x:v>4860</x:v>
      </x:c>
      <x:c r="J115" s="35" t="n">
        <x:v>6</x:v>
      </x:c>
      <x:c r="K115" s="35" t="n">
        <x:v>3</x:v>
      </x:c>
      <x:c r="L115" s="35" t="n">
        <x:v>1</x:v>
      </x:c>
      <x:c r="M115" s="35" t="n">
        <x:v>5</x:v>
      </x:c>
      <x:c r="N115" s="35" t="str">
        <x:v>No</x:v>
      </x:c>
      <x:c r="O115" s="35" t="n">
        <x:v>2</x:v>
      </x:c>
      <x:c r="P115" s="35" t="n">
        <x:v>4</x:v>
      </x:c>
      <x:c r="Q115" s="35" t="n">
        <x:v>3</x:v>
      </x:c>
      <x:c r="R115" s="35" t="n">
        <x:v>4</x:v>
      </x:c>
      <x:c r="S115" s="35" t="n">
        <x:v>3</x:v>
      </x:c>
      <x:c r="T115" s="35" t="n">
        <x:v>3</x:v>
      </x:c>
      <x:c r="U115" s="35" t="n">
        <x:v>1</x:v>
      </x:c>
      <x:c r="V115" s="35" t="n">
        <x:v>2</x:v>
      </x:c>
      <x:c r="W115" s="35" t="n">
        <x:v>6</x:v>
      </x:c>
      <x:c r="X115" s="35" t="n">
        <x:v>62</x:v>
      </x:c>
      <x:c r="Y115" s="35" t="n">
        <x:v>4</x:v>
      </x:c>
      <x:c r="Z115" s="35" t="n">
        <x:v>100</x:v>
      </x:c>
      <x:c r="AA115" s="35" t="n">
        <x:v>2</x:v>
      </x:c>
      <x:c r="AB115" s="35" t="n">
        <x:v>1</x:v>
      </x:c>
      <x:c r="AC115" s="35" t="n">
        <x:v>1</x:v>
      </x:c>
      <x:c r="AD115" s="35" t="n">
        <x:v>65</x:v>
      </x:c>
      <x:c r="AE115" s="35" t="n">
        <x:v>72</x:v>
      </x:c>
      <x:c r="AF115" s="35" t="n">
        <x:v>64</x:v>
      </x:c>
      <x:c r="AG115" s="35" t="n">
        <x:v>100</x:v>
      </x:c>
      <x:c r="AH115" s="35" t="n">
        <x:v>5</x:v>
      </x:c>
      <x:c r="AI115" s="37" t="n">
        <x:v>90.5</x:v>
      </x:c>
      <x:c r="AJ115" s="37" t="n">
        <x:v>88.3</x:v>
      </x:c>
      <x:c r="AK115" s="35" t="str">
        <x:v>No</x:v>
      </x:c>
      <x:c r="AL115" s="38" t="n">
        <x:f>IF(AA115=0,0,AB115/AA115)</x:f>
        <x:v>0.5</x:v>
      </x:c>
      <x:c r="AM115" s="38" t="n">
        <x:f>IF(AB115=0,0,AC115/AB115)</x:f>
        <x:v>1</x:v>
      </x:c>
      <x:c r="AN115" s="37" t="n">
        <x:f>ROUND((AD115*0.20+AE115*0.20+AF115*0.25+AG115*0.15+MIN(100,AC115*12)*0.20),1)</x:f>
        <x:v>60.8</x:v>
      </x:c>
      <x:c r="AO115" s="37" t="n">
        <x:f>ROUND(MAX(0,MIN(100,(X115*0.35)+(W115/45*100*0.20)+((5-O115)/4*100*0.15)+((5-P115)/4*100*0.10)+((6-Y115)/5*100*0.10)+((100-Z115)*0.10))),1)</x:f>
        <x:v>42.1</x:v>
      </x:c>
      <x:c r="AP115" s="37" t="str">
        <x:f>IF(AO115&gt;=70,"High",IF(AO115&gt;=40,"Moderate","Low"))</x:f>
        <x:v>Moderate</x:v>
      </x:c>
      <x:c r="AQ115" s="37" t="n">
        <x:f>ROUND(MAX(0,MIN(100,(O115/4*100*0.25)+(P115/4*100*0.20)+(Q115/4*100*0.15)+(Y115/5*100*0.20)+(100-AO115)*0.20)),1)</x:f>
        <x:v>71.3</x:v>
      </x:c>
      <x:c r="AR115" s="37" t="n">
        <x:f>ROUND((AI115*0.20+AJ115*0.15+AN115*0.18+AG115*0.12+Z115*0.15+AQ115*0.20),1)</x:f>
        <x:v>83.5</x:v>
      </x:c>
      <x:c r="AS115" s="39" t="n">
        <x:f>ROUND((AC115*AF115*120)+(AH115*350)+(MAX(0,AI115-75)*220)+(MAX(0,AQ115-60)*100),0)</x:f>
        <x:v>13970</x:v>
      </x:c>
    </x:row>
    <x:row r="116">
      <x:c r="A116" s="35" t="n">
        <x:v>115</x:v>
      </x:c>
      <x:c r="B116" s="35" t="n">
        <x:v>27</x:v>
      </x:c>
      <x:c r="C116" s="35" t="str">
        <x:v>Male</x:v>
      </x:c>
      <x:c r="D116" s="35" t="str">
        <x:v>Marketing</x:v>
      </x:c>
      <x:c r="E116" s="35" t="str">
        <x:v>Digital Marketing Analyst</x:v>
      </x:c>
      <x:c r="F116" s="35" t="str">
        <x:v>Medical</x:v>
      </x:c>
      <x:c r="G116" s="35" t="str">
        <x:v>Married</x:v>
      </x:c>
      <x:c r="H116" s="35" t="n">
        <x:v>1</x:v>
      </x:c>
      <x:c r="I116" s="36" t="n">
        <x:v>4170</x:v>
      </x:c>
      <x:c r="J116" s="35" t="n">
        <x:v>5</x:v>
      </x:c>
      <x:c r="K116" s="35" t="n">
        <x:v>2</x:v>
      </x:c>
      <x:c r="L116" s="35" t="n">
        <x:v>1</x:v>
      </x:c>
      <x:c r="M116" s="35" t="n">
        <x:v>7</x:v>
      </x:c>
      <x:c r="N116" s="35" t="str">
        <x:v>Yes</x:v>
      </x:c>
      <x:c r="O116" s="35" t="n">
        <x:v>2</x:v>
      </x:c>
      <x:c r="P116" s="35" t="n">
        <x:v>3</x:v>
      </x:c>
      <x:c r="Q116" s="35" t="n">
        <x:v>3</x:v>
      </x:c>
      <x:c r="R116" s="35" t="n">
        <x:v>3</x:v>
      </x:c>
      <x:c r="S116" s="35" t="n">
        <x:v>4</x:v>
      </x:c>
      <x:c r="T116" s="35" t="n">
        <x:v>6</x:v>
      </x:c>
      <x:c r="U116" s="35" t="n">
        <x:v>0</x:v>
      </x:c>
      <x:c r="V116" s="35" t="n">
        <x:v>7</x:v>
      </x:c>
      <x:c r="W116" s="35" t="n">
        <x:v>19</x:v>
      </x:c>
      <x:c r="X116" s="35" t="n">
        <x:v>94</x:v>
      </x:c>
      <x:c r="Y116" s="35" t="n">
        <x:v>4</x:v>
      </x:c>
      <x:c r="Z116" s="35" t="n">
        <x:v>97</x:v>
      </x:c>
      <x:c r="AA116" s="35" t="n">
        <x:v>8</x:v>
      </x:c>
      <x:c r="AB116" s="35" t="n">
        <x:v>6</x:v>
      </x:c>
      <x:c r="AC116" s="35" t="n">
        <x:v>6</x:v>
      </x:c>
      <x:c r="AD116" s="35" t="n">
        <x:v>70</x:v>
      </x:c>
      <x:c r="AE116" s="35" t="n">
        <x:v>93</x:v>
      </x:c>
      <x:c r="AF116" s="35" t="n">
        <x:v>68</x:v>
      </x:c>
      <x:c r="AG116" s="35" t="n">
        <x:v>100</x:v>
      </x:c>
      <x:c r="AH116" s="35" t="n">
        <x:v>12</x:v>
      </x:c>
      <x:c r="AI116" s="37" t="n">
        <x:v>95.3</x:v>
      </x:c>
      <x:c r="AJ116" s="37" t="n">
        <x:v>100</x:v>
      </x:c>
      <x:c r="AK116" s="35" t="str">
        <x:v>Yes</x:v>
      </x:c>
      <x:c r="AL116" s="38" t="n">
        <x:f>IF(AA116=0,0,AB116/AA116)</x:f>
        <x:v>0.75</x:v>
      </x:c>
      <x:c r="AM116" s="38" t="n">
        <x:f>IF(AB116=0,0,AC116/AB116)</x:f>
        <x:v>1</x:v>
      </x:c>
      <x:c r="AN116" s="37" t="n">
        <x:f>ROUND((AD116*0.20+AE116*0.20+AF116*0.25+AG116*0.15+MIN(100,AC116*12)*0.20),1)</x:f>
        <x:v>79</x:v>
      </x:c>
      <x:c r="AO116" s="37" t="n">
        <x:f>ROUND(MAX(0,MIN(100,(X116*0.35)+(W116/45*100*0.20)+((5-O116)/4*100*0.15)+((5-P116)/4*100*0.10)+((6-Y116)/5*100*0.10)+((100-Z116)*0.10))),1)</x:f>
        <x:v>61.9</x:v>
      </x:c>
      <x:c r="AP116" s="37" t="str">
        <x:f>IF(AO116&gt;=70,"High",IF(AO116&gt;=40,"Moderate","Low"))</x:f>
        <x:v>Moderate</x:v>
      </x:c>
      <x:c r="AQ116" s="37" t="n">
        <x:f>ROUND(MAX(0,MIN(100,(O116/4*100*0.25)+(P116/4*100*0.20)+(Q116/4*100*0.15)+(Y116/5*100*0.20)+(100-AO116)*0.20)),1)</x:f>
        <x:v>62.4</x:v>
      </x:c>
      <x:c r="AR116" s="37" t="n">
        <x:f>ROUND((AI116*0.20+AJ116*0.15+AN116*0.18+AG116*0.12+Z116*0.15+AQ116*0.20),1)</x:f>
        <x:v>87.3</x:v>
      </x:c>
      <x:c r="AS116" s="39" t="n">
        <x:f>ROUND((AC116*AF116*120)+(AH116*350)+(MAX(0,AI116-75)*220)+(MAX(0,AQ116-60)*100),0)</x:f>
        <x:v>57866</x:v>
      </x:c>
    </x:row>
    <x:row r="117">
      <x:c r="A117" s="35" t="n">
        <x:v>116</x:v>
      </x:c>
      <x:c r="B117" s="35" t="n">
        <x:v>35</x:v>
      </x:c>
      <x:c r="C117" s="35" t="str">
        <x:v>Female</x:v>
      </x:c>
      <x:c r="D117" s="35" t="str">
        <x:v>Operations</x:v>
      </x:c>
      <x:c r="E117" s="35" t="str">
        <x:v>Operations Specialist</x:v>
      </x:c>
      <x:c r="F117" s="35" t="str">
        <x:v>Life Sciences</x:v>
      </x:c>
      <x:c r="G117" s="35" t="str">
        <x:v>Divorced</x:v>
      </x:c>
      <x:c r="H117" s="35" t="n">
        <x:v>2</x:v>
      </x:c>
      <x:c r="I117" s="36" t="n">
        <x:v>7210</x:v>
      </x:c>
      <x:c r="J117" s="35" t="n">
        <x:v>12</x:v>
      </x:c>
      <x:c r="K117" s="35" t="n">
        <x:v>8</x:v>
      </x:c>
      <x:c r="L117" s="35" t="n">
        <x:v>5</x:v>
      </x:c>
      <x:c r="M117" s="35" t="n">
        <x:v>19</x:v>
      </x:c>
      <x:c r="N117" s="35" t="str">
        <x:v>No</x:v>
      </x:c>
      <x:c r="O117" s="35" t="n">
        <x:v>2</x:v>
      </x:c>
      <x:c r="P117" s="35" t="n">
        <x:v>4</x:v>
      </x:c>
      <x:c r="Q117" s="35" t="n">
        <x:v>1</x:v>
      </x:c>
      <x:c r="R117" s="35" t="n">
        <x:v>3</x:v>
      </x:c>
      <x:c r="S117" s="35" t="n">
        <x:v>3</x:v>
      </x:c>
      <x:c r="T117" s="35" t="n">
        <x:v>3</x:v>
      </x:c>
      <x:c r="U117" s="35" t="n">
        <x:v>0</x:v>
      </x:c>
      <x:c r="V117" s="35" t="n">
        <x:v>5</x:v>
      </x:c>
      <x:c r="W117" s="35" t="n">
        <x:v>1</x:v>
      </x:c>
      <x:c r="X117" s="35" t="n">
        <x:v>77</x:v>
      </x:c>
      <x:c r="Y117" s="35" t="n">
        <x:v>3</x:v>
      </x:c>
      <x:c r="Z117" s="35" t="n">
        <x:v>91</x:v>
      </x:c>
      <x:c r="AA117" s="35" t="n">
        <x:v>6</x:v>
      </x:c>
      <x:c r="AB117" s="35" t="n">
        <x:v>5</x:v>
      </x:c>
      <x:c r="AC117" s="35" t="n">
        <x:v>4</x:v>
      </x:c>
      <x:c r="AD117" s="35" t="n">
        <x:v>69</x:v>
      </x:c>
      <x:c r="AE117" s="35" t="n">
        <x:v>84</x:v>
      </x:c>
      <x:c r="AF117" s="35" t="n">
        <x:v>91</x:v>
      </x:c>
      <x:c r="AG117" s="35" t="n">
        <x:v>88</x:v>
      </x:c>
      <x:c r="AH117" s="35" t="n">
        <x:v>5</x:v>
      </x:c>
      <x:c r="AI117" s="37" t="n">
        <x:v>92.6</x:v>
      </x:c>
      <x:c r="AJ117" s="37" t="n">
        <x:v>96.4</x:v>
      </x:c>
      <x:c r="AK117" s="35" t="str">
        <x:v>No</x:v>
      </x:c>
      <x:c r="AL117" s="38" t="n">
        <x:f>IF(AA117=0,0,AB117/AA117)</x:f>
        <x:v>0.8333333333333334</x:v>
      </x:c>
      <x:c r="AM117" s="38" t="n">
        <x:f>IF(AB117=0,0,AC117/AB117)</x:f>
        <x:v>0.8</x:v>
      </x:c>
      <x:c r="AN117" s="37" t="n">
        <x:f>ROUND((AD117*0.20+AE117*0.20+AF117*0.25+AG117*0.15+MIN(100,AC117*12)*0.20),1)</x:f>
        <x:v>76.2</x:v>
      </x:c>
      <x:c r="AO117" s="37" t="n">
        <x:f>ROUND(MAX(0,MIN(100,(X117*0.35)+(W117/45*100*0.20)+((5-O117)/4*100*0.15)+((5-P117)/4*100*0.10)+((6-Y117)/5*100*0.10)+((100-Z117)*0.10))),1)</x:f>
        <x:v>48</x:v>
      </x:c>
      <x:c r="AP117" s="37" t="str">
        <x:f>IF(AO117&gt;=70,"High",IF(AO117&gt;=40,"Moderate","Low"))</x:f>
        <x:v>Moderate</x:v>
      </x:c>
      <x:c r="AQ117" s="37" t="n">
        <x:f>ROUND(MAX(0,MIN(100,(O117/4*100*0.25)+(P117/4*100*0.20)+(Q117/4*100*0.15)+(Y117/5*100*0.20)+(100-AO117)*0.20)),1)</x:f>
        <x:v>58.7</x:v>
      </x:c>
      <x:c r="AR117" s="37" t="n">
        <x:f>ROUND((AI117*0.20+AJ117*0.15+AN117*0.18+AG117*0.12+Z117*0.15+AQ117*0.20),1)</x:f>
        <x:v>82.6</x:v>
      </x:c>
      <x:c r="AS117" s="39" t="n">
        <x:f>ROUND((AC117*AF117*120)+(AH117*350)+(MAX(0,AI117-75)*220)+(MAX(0,AQ117-60)*100),0)</x:f>
        <x:v>49302</x:v>
      </x:c>
    </x:row>
    <x:row r="118">
      <x:c r="A118" s="35" t="n">
        <x:v>117</x:v>
      </x:c>
      <x:c r="B118" s="35" t="n">
        <x:v>35</x:v>
      </x:c>
      <x:c r="C118" s="35" t="str">
        <x:v>Male</x:v>
      </x:c>
      <x:c r="D118" s="35" t="str">
        <x:v>Research &amp; Development</x:v>
      </x:c>
      <x:c r="E118" s="35" t="str">
        <x:v>Data Scientist</x:v>
      </x:c>
      <x:c r="F118" s="35" t="str">
        <x:v>Marketing</x:v>
      </x:c>
      <x:c r="G118" s="35" t="str">
        <x:v>Divorced</x:v>
      </x:c>
      <x:c r="H118" s="35" t="n">
        <x:v>2</x:v>
      </x:c>
      <x:c r="I118" s="36" t="n">
        <x:v>7000</x:v>
      </x:c>
      <x:c r="J118" s="35" t="n">
        <x:v>11</x:v>
      </x:c>
      <x:c r="K118" s="35" t="n">
        <x:v>7</x:v>
      </x:c>
      <x:c r="L118" s="35" t="n">
        <x:v>2</x:v>
      </x:c>
      <x:c r="M118" s="35" t="n">
        <x:v>10</x:v>
      </x:c>
      <x:c r="N118" s="35" t="str">
        <x:v>No</x:v>
      </x:c>
      <x:c r="O118" s="35" t="n">
        <x:v>2</x:v>
      </x:c>
      <x:c r="P118" s="35" t="n">
        <x:v>3</x:v>
      </x:c>
      <x:c r="Q118" s="35" t="n">
        <x:v>4</x:v>
      </x:c>
      <x:c r="R118" s="35" t="n">
        <x:v>3</x:v>
      </x:c>
      <x:c r="S118" s="35" t="n">
        <x:v>4</x:v>
      </x:c>
      <x:c r="T118" s="35" t="n">
        <x:v>2</x:v>
      </x:c>
      <x:c r="U118" s="35" t="n">
        <x:v>2</x:v>
      </x:c>
      <x:c r="V118" s="35" t="n">
        <x:v>17</x:v>
      </x:c>
      <x:c r="W118" s="35" t="n">
        <x:v>11</x:v>
      </x:c>
      <x:c r="X118" s="35" t="n">
        <x:v>56</x:v>
      </x:c>
      <x:c r="Y118" s="35" t="n">
        <x:v>4</x:v>
      </x:c>
      <x:c r="Z118" s="35" t="n">
        <x:v>100</x:v>
      </x:c>
      <x:c r="AA118" s="35" t="n">
        <x:v>4</x:v>
      </x:c>
      <x:c r="AB118" s="35" t="n">
        <x:v>4</x:v>
      </x:c>
      <x:c r="AC118" s="35" t="n">
        <x:v>3</x:v>
      </x:c>
      <x:c r="AD118" s="35" t="n">
        <x:v>77</x:v>
      </x:c>
      <x:c r="AE118" s="35" t="n">
        <x:v>70</x:v>
      </x:c>
      <x:c r="AF118" s="35" t="n">
        <x:v>84</x:v>
      </x:c>
      <x:c r="AG118" s="35" t="n">
        <x:v>100</x:v>
      </x:c>
      <x:c r="AH118" s="35" t="n">
        <x:v>9</x:v>
      </x:c>
      <x:c r="AI118" s="37" t="n">
        <x:v>100</x:v>
      </x:c>
      <x:c r="AJ118" s="37" t="n">
        <x:v>100</x:v>
      </x:c>
      <x:c r="AK118" s="35" t="str">
        <x:v>Yes</x:v>
      </x:c>
      <x:c r="AL118" s="38" t="n">
        <x:f>IF(AA118=0,0,AB118/AA118)</x:f>
        <x:v>1</x:v>
      </x:c>
      <x:c r="AM118" s="38" t="n">
        <x:f>IF(AB118=0,0,AC118/AB118)</x:f>
        <x:v>0.75</x:v>
      </x:c>
      <x:c r="AN118" s="37" t="n">
        <x:f>ROUND((AD118*0.20+AE118*0.20+AF118*0.25+AG118*0.15+MIN(100,AC118*12)*0.20),1)</x:f>
        <x:v>72.6</x:v>
      </x:c>
      <x:c r="AO118" s="37" t="n">
        <x:f>ROUND(MAX(0,MIN(100,(X118*0.35)+(W118/45*100*0.20)+((5-O118)/4*100*0.15)+((5-P118)/4*100*0.10)+((6-Y118)/5*100*0.10)+((100-Z118)*0.10))),1)</x:f>
        <x:v>44.7</x:v>
      </x:c>
      <x:c r="AP118" s="37" t="str">
        <x:f>IF(AO118&gt;=70,"High",IF(AO118&gt;=40,"Moderate","Low"))</x:f>
        <x:v>Moderate</x:v>
      </x:c>
      <x:c r="AQ118" s="37" t="n">
        <x:f>ROUND(MAX(0,MIN(100,(O118/4*100*0.25)+(P118/4*100*0.20)+(Q118/4*100*0.15)+(Y118/5*100*0.20)+(100-AO118)*0.20)),1)</x:f>
        <x:v>69.6</x:v>
      </x:c>
      <x:c r="AR118" s="37" t="n">
        <x:f>ROUND((AI118*0.20+AJ118*0.15+AN118*0.18+AG118*0.12+Z118*0.15+AQ118*0.20),1)</x:f>
        <x:v>89</x:v>
      </x:c>
      <x:c r="AS118" s="39" t="n">
        <x:f>ROUND((AC118*AF118*120)+(AH118*350)+(MAX(0,AI118-75)*220)+(MAX(0,AQ118-60)*100),0)</x:f>
        <x:v>39850</x:v>
      </x:c>
    </x:row>
    <x:row r="119">
      <x:c r="A119" s="35" t="n">
        <x:v>118</x:v>
      </x:c>
      <x:c r="B119" s="35" t="n">
        <x:v>37</x:v>
      </x:c>
      <x:c r="C119" s="35" t="str">
        <x:v>Male</x:v>
      </x:c>
      <x:c r="D119" s="35" t="str">
        <x:v>Sales</x:v>
      </x:c>
      <x:c r="E119" s="35" t="str">
        <x:v>Sales Executive</x:v>
      </x:c>
      <x:c r="F119" s="35" t="str">
        <x:v>Computer Science</x:v>
      </x:c>
      <x:c r="G119" s="35" t="str">
        <x:v>Married</x:v>
      </x:c>
      <x:c r="H119" s="35" t="n">
        <x:v>2</x:v>
      </x:c>
      <x:c r="I119" s="36" t="n">
        <x:v>7590</x:v>
      </x:c>
      <x:c r="J119" s="35" t="n">
        <x:v>8</x:v>
      </x:c>
      <x:c r="K119" s="35" t="n">
        <x:v>2</x:v>
      </x:c>
      <x:c r="L119" s="35" t="n">
        <x:v>1</x:v>
      </x:c>
      <x:c r="M119" s="35" t="n">
        <x:v>16</x:v>
      </x:c>
      <x:c r="N119" s="35" t="str">
        <x:v>No</x:v>
      </x:c>
      <x:c r="O119" s="35" t="n">
        <x:v>2</x:v>
      </x:c>
      <x:c r="P119" s="35" t="n">
        <x:v>2</x:v>
      </x:c>
      <x:c r="Q119" s="35" t="n">
        <x:v>3</x:v>
      </x:c>
      <x:c r="R119" s="35" t="n">
        <x:v>3</x:v>
      </x:c>
      <x:c r="S119" s="35" t="n">
        <x:v>3</x:v>
      </x:c>
      <x:c r="T119" s="35" t="n">
        <x:v>2</x:v>
      </x:c>
      <x:c r="U119" s="35" t="n">
        <x:v>2</x:v>
      </x:c>
      <x:c r="V119" s="35" t="n">
        <x:v>9</x:v>
      </x:c>
      <x:c r="W119" s="35" t="n">
        <x:v>0</x:v>
      </x:c>
      <x:c r="X119" s="35" t="n">
        <x:v>78</x:v>
      </x:c>
      <x:c r="Y119" s="35" t="n">
        <x:v>3</x:v>
      </x:c>
      <x:c r="Z119" s="35" t="n">
        <x:v>91</x:v>
      </x:c>
      <x:c r="AA119" s="35" t="n">
        <x:v>5</x:v>
      </x:c>
      <x:c r="AB119" s="35" t="n">
        <x:v>3</x:v>
      </x:c>
      <x:c r="AC119" s="35" t="n">
        <x:v>2</x:v>
      </x:c>
      <x:c r="AD119" s="35" t="n">
        <x:v>69</x:v>
      </x:c>
      <x:c r="AE119" s="35" t="n">
        <x:v>83</x:v>
      </x:c>
      <x:c r="AF119" s="35" t="n">
        <x:v>62</x:v>
      </x:c>
      <x:c r="AG119" s="35" t="n">
        <x:v>100</x:v>
      </x:c>
      <x:c r="AH119" s="35" t="n">
        <x:v>3</x:v>
      </x:c>
      <x:c r="AI119" s="37" t="n">
        <x:v>93.8</x:v>
      </x:c>
      <x:c r="AJ119" s="37" t="n">
        <x:v>100</x:v>
      </x:c>
      <x:c r="AK119" s="35" t="str">
        <x:v>No</x:v>
      </x:c>
      <x:c r="AL119" s="38" t="n">
        <x:f>IF(AA119=0,0,AB119/AA119)</x:f>
        <x:v>0.6</x:v>
      </x:c>
      <x:c r="AM119" s="38" t="n">
        <x:f>IF(AB119=0,0,AC119/AB119)</x:f>
        <x:v>0.6666666666666666</x:v>
      </x:c>
      <x:c r="AN119" s="37" t="n">
        <x:f>ROUND((AD119*0.20+AE119*0.20+AF119*0.25+AG119*0.15+MIN(100,AC119*12)*0.20),1)</x:f>
        <x:v>65.7</x:v>
      </x:c>
      <x:c r="AO119" s="37" t="n">
        <x:f>ROUND(MAX(0,MIN(100,(X119*0.35)+(W119/45*100*0.20)+((5-O119)/4*100*0.15)+((5-P119)/4*100*0.10)+((6-Y119)/5*100*0.10)+((100-Z119)*0.10))),1)</x:f>
        <x:v>53</x:v>
      </x:c>
      <x:c r="AP119" s="37" t="str">
        <x:f>IF(AO119&gt;=70,"High",IF(AO119&gt;=40,"Moderate","Low"))</x:f>
        <x:v>Moderate</x:v>
      </x:c>
      <x:c r="AQ119" s="37" t="n">
        <x:f>ROUND(MAX(0,MIN(100,(O119/4*100*0.25)+(P119/4*100*0.20)+(Q119/4*100*0.15)+(Y119/5*100*0.20)+(100-AO119)*0.20)),1)</x:f>
        <x:v>55.2</x:v>
      </x:c>
      <x:c r="AR119" s="37" t="n">
        <x:f>ROUND((AI119*0.20+AJ119*0.15+AN119*0.18+AG119*0.12+Z119*0.15+AQ119*0.20),1)</x:f>
        <x:v>82.3</x:v>
      </x:c>
      <x:c r="AS119" s="39" t="n">
        <x:f>ROUND((AC119*AF119*120)+(AH119*350)+(MAX(0,AI119-75)*220)+(MAX(0,AQ119-60)*100),0)</x:f>
        <x:v>20066</x:v>
      </x:c>
    </x:row>
    <x:row r="120">
      <x:c r="A120" s="35" t="n">
        <x:v>119</x:v>
      </x:c>
      <x:c r="B120" s="35" t="n">
        <x:v>25</x:v>
      </x:c>
      <x:c r="C120" s="35" t="str">
        <x:v>Male</x:v>
      </x:c>
      <x:c r="D120" s="35" t="str">
        <x:v>Marketing</x:v>
      </x:c>
      <x:c r="E120" s="35" t="str">
        <x:v>Digital Marketing Analyst</x:v>
      </x:c>
      <x:c r="F120" s="35" t="str">
        <x:v>Computer Science</x:v>
      </x:c>
      <x:c r="G120" s="35" t="str">
        <x:v>Married</x:v>
      </x:c>
      <x:c r="H120" s="35" t="n">
        <x:v>1</x:v>
      </x:c>
      <x:c r="I120" s="36" t="n">
        <x:v>4610</x:v>
      </x:c>
      <x:c r="J120" s="35" t="n">
        <x:v>3</x:v>
      </x:c>
      <x:c r="K120" s="35" t="n">
        <x:v>1</x:v>
      </x:c>
      <x:c r="L120" s="35" t="n">
        <x:v>0</x:v>
      </x:c>
      <x:c r="M120" s="35" t="n">
        <x:v>8</x:v>
      </x:c>
      <x:c r="N120" s="35" t="str">
        <x:v>No</x:v>
      </x:c>
      <x:c r="O120" s="35" t="n">
        <x:v>2</x:v>
      </x:c>
      <x:c r="P120" s="35" t="n">
        <x:v>3</x:v>
      </x:c>
      <x:c r="Q120" s="35" t="n">
        <x:v>3</x:v>
      </x:c>
      <x:c r="R120" s="35" t="n">
        <x:v>2</x:v>
      </x:c>
      <x:c r="S120" s="35" t="n">
        <x:v>3</x:v>
      </x:c>
      <x:c r="T120" s="35" t="n">
        <x:v>0</x:v>
      </x:c>
      <x:c r="U120" s="35" t="n">
        <x:v>0</x:v>
      </x:c>
      <x:c r="V120" s="35" t="n">
        <x:v>5</x:v>
      </x:c>
      <x:c r="W120" s="35" t="n">
        <x:v>2</x:v>
      </x:c>
      <x:c r="X120" s="35" t="n">
        <x:v>35</x:v>
      </x:c>
      <x:c r="Y120" s="35" t="n">
        <x:v>5</x:v>
      </x:c>
      <x:c r="Z120" s="35" t="n">
        <x:v>100</x:v>
      </x:c>
      <x:c r="AA120" s="35" t="n">
        <x:v>8</x:v>
      </x:c>
      <x:c r="AB120" s="35" t="n">
        <x:v>6</x:v>
      </x:c>
      <x:c r="AC120" s="35" t="n">
        <x:v>4</x:v>
      </x:c>
      <x:c r="AD120" s="35" t="n">
        <x:v>57</x:v>
      </x:c>
      <x:c r="AE120" s="35" t="n">
        <x:v>70</x:v>
      </x:c>
      <x:c r="AF120" s="35" t="n">
        <x:v>96</x:v>
      </x:c>
      <x:c r="AG120" s="35" t="n">
        <x:v>82</x:v>
      </x:c>
      <x:c r="AH120" s="35" t="n">
        <x:v>6</x:v>
      </x:c>
      <x:c r="AI120" s="37" t="n">
        <x:v>96</x:v>
      </x:c>
      <x:c r="AJ120" s="37" t="n">
        <x:v>87.9</x:v>
      </x:c>
      <x:c r="AK120" s="35" t="str">
        <x:v>No</x:v>
      </x:c>
      <x:c r="AL120" s="38" t="n">
        <x:f>IF(AA120=0,0,AB120/AA120)</x:f>
        <x:v>0.75</x:v>
      </x:c>
      <x:c r="AM120" s="38" t="n">
        <x:f>IF(AB120=0,0,AC120/AB120)</x:f>
        <x:v>0.6666666666666666</x:v>
      </x:c>
      <x:c r="AN120" s="37" t="n">
        <x:f>ROUND((AD120*0.20+AE120*0.20+AF120*0.25+AG120*0.15+MIN(100,AC120*12)*0.20),1)</x:f>
        <x:v>71.3</x:v>
      </x:c>
      <x:c r="AO120" s="37" t="n">
        <x:f>ROUND(MAX(0,MIN(100,(X120*0.35)+(W120/45*100*0.20)+((5-O120)/4*100*0.15)+((5-P120)/4*100*0.10)+((6-Y120)/5*100*0.10)+((100-Z120)*0.10))),1)</x:f>
        <x:v>31.4</x:v>
      </x:c>
      <x:c r="AP120" s="37" t="str">
        <x:f>IF(AO120&gt;=70,"High",IF(AO120&gt;=40,"Moderate","Low"))</x:f>
        <x:v>Low</x:v>
      </x:c>
      <x:c r="AQ120" s="37" t="n">
        <x:f>ROUND(MAX(0,MIN(100,(O120/4*100*0.25)+(P120/4*100*0.20)+(Q120/4*100*0.15)+(Y120/5*100*0.20)+(100-AO120)*0.20)),1)</x:f>
        <x:v>72.5</x:v>
      </x:c>
      <x:c r="AR120" s="37" t="n">
        <x:f>ROUND((AI120*0.20+AJ120*0.15+AN120*0.18+AG120*0.12+Z120*0.15+AQ120*0.20),1)</x:f>
        <x:v>84.6</x:v>
      </x:c>
      <x:c r="AS120" s="39" t="n">
        <x:f>ROUND((AC120*AF120*120)+(AH120*350)+(MAX(0,AI120-75)*220)+(MAX(0,AQ120-60)*100),0)</x:f>
        <x:v>54050</x:v>
      </x:c>
    </x:row>
    <x:row r="121">
      <x:c r="A121" s="35" t="n">
        <x:v>120</x:v>
      </x:c>
      <x:c r="B121" s="35" t="n">
        <x:v>46</x:v>
      </x:c>
      <x:c r="C121" s="35" t="str">
        <x:v>Female</x:v>
      </x:c>
      <x:c r="D121" s="35" t="str">
        <x:v>Research &amp; Development</x:v>
      </x:c>
      <x:c r="E121" s="35" t="str">
        <x:v>Data Scientist</x:v>
      </x:c>
      <x:c r="F121" s="35" t="str">
        <x:v>Business</x:v>
      </x:c>
      <x:c r="G121" s="35" t="str">
        <x:v>Single</x:v>
      </x:c>
      <x:c r="H121" s="35" t="n">
        <x:v>3</x:v>
      </x:c>
      <x:c r="I121" s="36" t="n">
        <x:v>13920</x:v>
      </x:c>
      <x:c r="J121" s="35" t="n">
        <x:v>13</x:v>
      </x:c>
      <x:c r="K121" s="35" t="n">
        <x:v>8</x:v>
      </x:c>
      <x:c r="L121" s="35" t="n">
        <x:v>4</x:v>
      </x:c>
      <x:c r="M121" s="35" t="n">
        <x:v>17</x:v>
      </x:c>
      <x:c r="N121" s="35" t="str">
        <x:v>No</x:v>
      </x:c>
      <x:c r="O121" s="35" t="n">
        <x:v>2</x:v>
      </x:c>
      <x:c r="P121" s="35" t="n">
        <x:v>3</x:v>
      </x:c>
      <x:c r="Q121" s="35" t="n">
        <x:v>3</x:v>
      </x:c>
      <x:c r="R121" s="35" t="n">
        <x:v>4</x:v>
      </x:c>
      <x:c r="S121" s="35" t="n">
        <x:v>3</x:v>
      </x:c>
      <x:c r="T121" s="35" t="n">
        <x:v>4</x:v>
      </x:c>
      <x:c r="U121" s="35" t="n">
        <x:v>3</x:v>
      </x:c>
      <x:c r="V121" s="35" t="n">
        <x:v>10</x:v>
      </x:c>
      <x:c r="W121" s="35" t="n">
        <x:v>3</x:v>
      </x:c>
      <x:c r="X121" s="35" t="n">
        <x:v>66</x:v>
      </x:c>
      <x:c r="Y121" s="35" t="n">
        <x:v>4</x:v>
      </x:c>
      <x:c r="Z121" s="35" t="n">
        <x:v>100</x:v>
      </x:c>
      <x:c r="AA121" s="35" t="n">
        <x:v>7</x:v>
      </x:c>
      <x:c r="AB121" s="35" t="n">
        <x:v>7</x:v>
      </x:c>
      <x:c r="AC121" s="35" t="n">
        <x:v>4</x:v>
      </x:c>
      <x:c r="AD121" s="35" t="n">
        <x:v>79</x:v>
      </x:c>
      <x:c r="AE121" s="35" t="n">
        <x:v>69</x:v>
      </x:c>
      <x:c r="AF121" s="35" t="n">
        <x:v>87</x:v>
      </x:c>
      <x:c r="AG121" s="35" t="n">
        <x:v>100</x:v>
      </x:c>
      <x:c r="AH121" s="35" t="n">
        <x:v>5</x:v>
      </x:c>
      <x:c r="AI121" s="37" t="n">
        <x:v>96.5</x:v>
      </x:c>
      <x:c r="AJ121" s="37" t="n">
        <x:v>87.2</x:v>
      </x:c>
      <x:c r="AK121" s="35" t="str">
        <x:v>No</x:v>
      </x:c>
      <x:c r="AL121" s="38" t="n">
        <x:f>IF(AA121=0,0,AB121/AA121)</x:f>
        <x:v>1</x:v>
      </x:c>
      <x:c r="AM121" s="38" t="n">
        <x:f>IF(AB121=0,0,AC121/AB121)</x:f>
        <x:v>0.5714285714285714</x:v>
      </x:c>
      <x:c r="AN121" s="37" t="n">
        <x:f>ROUND((AD121*0.20+AE121*0.20+AF121*0.25+AG121*0.15+MIN(100,AC121*12)*0.20),1)</x:f>
        <x:v>75.9</x:v>
      </x:c>
      <x:c r="AO121" s="37" t="n">
        <x:f>ROUND(MAX(0,MIN(100,(X121*0.35)+(W121/45*100*0.20)+((5-O121)/4*100*0.15)+((5-P121)/4*100*0.10)+((6-Y121)/5*100*0.10)+((100-Z121)*0.10))),1)</x:f>
        <x:v>44.7</x:v>
      </x:c>
      <x:c r="AP121" s="37" t="str">
        <x:f>IF(AO121&gt;=70,"High",IF(AO121&gt;=40,"Moderate","Low"))</x:f>
        <x:v>Moderate</x:v>
      </x:c>
      <x:c r="AQ121" s="37" t="n">
        <x:f>ROUND(MAX(0,MIN(100,(O121/4*100*0.25)+(P121/4*100*0.20)+(Q121/4*100*0.15)+(Y121/5*100*0.20)+(100-AO121)*0.20)),1)</x:f>
        <x:v>65.8</x:v>
      </x:c>
      <x:c r="AR121" s="37" t="n">
        <x:f>ROUND((AI121*0.20+AJ121*0.15+AN121*0.18+AG121*0.12+Z121*0.15+AQ121*0.20),1)</x:f>
        <x:v>86.2</x:v>
      </x:c>
      <x:c r="AS121" s="39" t="n">
        <x:f>ROUND((AC121*AF121*120)+(AH121*350)+(MAX(0,AI121-75)*220)+(MAX(0,AQ121-60)*100),0)</x:f>
        <x:v>48820</x:v>
      </x:c>
    </x:row>
    <x:row r="122">
      <x:c r="A122" s="35" t="n">
        <x:v>121</x:v>
      </x:c>
      <x:c r="B122" s="35" t="n">
        <x:v>50</x:v>
      </x:c>
      <x:c r="C122" s="35" t="str">
        <x:v>Female</x:v>
      </x:c>
      <x:c r="D122" s="35" t="str">
        <x:v>Sales</x:v>
      </x:c>
      <x:c r="E122" s="35" t="str">
        <x:v>Sales Executive</x:v>
      </x:c>
      <x:c r="F122" s="35" t="str">
        <x:v>Business</x:v>
      </x:c>
      <x:c r="G122" s="35" t="str">
        <x:v>Single</x:v>
      </x:c>
      <x:c r="H122" s="35" t="n">
        <x:v>3</x:v>
      </x:c>
      <x:c r="I122" s="36" t="n">
        <x:v>11930</x:v>
      </x:c>
      <x:c r="J122" s="35" t="n">
        <x:v>13</x:v>
      </x:c>
      <x:c r="K122" s="35" t="n">
        <x:v>5</x:v>
      </x:c>
      <x:c r="L122" s="35" t="n">
        <x:v>2</x:v>
      </x:c>
      <x:c r="M122" s="35" t="n">
        <x:v>7</x:v>
      </x:c>
      <x:c r="N122" s="35" t="str">
        <x:v>No</x:v>
      </x:c>
      <x:c r="O122" s="35" t="n">
        <x:v>2</x:v>
      </x:c>
      <x:c r="P122" s="35" t="n">
        <x:v>3</x:v>
      </x:c>
      <x:c r="Q122" s="35" t="n">
        <x:v>2</x:v>
      </x:c>
      <x:c r="R122" s="35" t="n">
        <x:v>3</x:v>
      </x:c>
      <x:c r="S122" s="35" t="n">
        <x:v>4</x:v>
      </x:c>
      <x:c r="T122" s="35" t="n">
        <x:v>3</x:v>
      </x:c>
      <x:c r="U122" s="35" t="n">
        <x:v>1</x:v>
      </x:c>
      <x:c r="V122" s="35" t="n">
        <x:v>12</x:v>
      </x:c>
      <x:c r="W122" s="35" t="n">
        <x:v>0</x:v>
      </x:c>
      <x:c r="X122" s="35" t="n">
        <x:v>68</x:v>
      </x:c>
      <x:c r="Y122" s="35" t="n">
        <x:v>4</x:v>
      </x:c>
      <x:c r="Z122" s="35" t="n">
        <x:v>95</x:v>
      </x:c>
      <x:c r="AA122" s="35" t="n">
        <x:v>4</x:v>
      </x:c>
      <x:c r="AB122" s="35" t="n">
        <x:v>4</x:v>
      </x:c>
      <x:c r="AC122" s="35" t="n">
        <x:v>3</x:v>
      </x:c>
      <x:c r="AD122" s="35" t="n">
        <x:v>61</x:v>
      </x:c>
      <x:c r="AE122" s="35" t="n">
        <x:v>78</x:v>
      </x:c>
      <x:c r="AF122" s="35" t="n">
        <x:v>70</x:v>
      </x:c>
      <x:c r="AG122" s="35" t="n">
        <x:v>100</x:v>
      </x:c>
      <x:c r="AH122" s="35" t="n">
        <x:v>6</x:v>
      </x:c>
      <x:c r="AI122" s="37" t="n">
        <x:v>100</x:v>
      </x:c>
      <x:c r="AJ122" s="37" t="n">
        <x:v>92.7</x:v>
      </x:c>
      <x:c r="AK122" s="35" t="str">
        <x:v>No</x:v>
      </x:c>
      <x:c r="AL122" s="38" t="n">
        <x:f>IF(AA122=0,0,AB122/AA122)</x:f>
        <x:v>1</x:v>
      </x:c>
      <x:c r="AM122" s="38" t="n">
        <x:f>IF(AB122=0,0,AC122/AB122)</x:f>
        <x:v>0.75</x:v>
      </x:c>
      <x:c r="AN122" s="37" t="n">
        <x:f>ROUND((AD122*0.20+AE122*0.20+AF122*0.25+AG122*0.15+MIN(100,AC122*12)*0.20),1)</x:f>
        <x:v>67.5</x:v>
      </x:c>
      <x:c r="AO122" s="37" t="n">
        <x:f>ROUND(MAX(0,MIN(100,(X122*0.35)+(W122/45*100*0.20)+((5-O122)/4*100*0.15)+((5-P122)/4*100*0.10)+((6-Y122)/5*100*0.10)+((100-Z122)*0.10))),1)</x:f>
        <x:v>44.6</x:v>
      </x:c>
      <x:c r="AP122" s="37" t="str">
        <x:f>IF(AO122&gt;=70,"High",IF(AO122&gt;=40,"Moderate","Low"))</x:f>
        <x:v>Moderate</x:v>
      </x:c>
      <x:c r="AQ122" s="37" t="n">
        <x:f>ROUND(MAX(0,MIN(100,(O122/4*100*0.25)+(P122/4*100*0.20)+(Q122/4*100*0.15)+(Y122/5*100*0.20)+(100-AO122)*0.20)),1)</x:f>
        <x:v>62.1</x:v>
      </x:c>
      <x:c r="AR122" s="37" t="n">
        <x:f>ROUND((AI122*0.20+AJ122*0.15+AN122*0.18+AG122*0.12+Z122*0.15+AQ122*0.20),1)</x:f>
        <x:v>84.7</x:v>
      </x:c>
      <x:c r="AS122" s="39" t="n">
        <x:f>ROUND((AC122*AF122*120)+(AH122*350)+(MAX(0,AI122-75)*220)+(MAX(0,AQ122-60)*100),0)</x:f>
        <x:v>33010</x:v>
      </x:c>
    </x:row>
    <x:row r="123">
      <x:c r="A123" s="35" t="n">
        <x:v>122</x:v>
      </x:c>
      <x:c r="B123" s="35" t="n">
        <x:v>43</x:v>
      </x:c>
      <x:c r="C123" s="35" t="str">
        <x:v>Male</x:v>
      </x:c>
      <x:c r="D123" s="35" t="str">
        <x:v>Research &amp; Development</x:v>
      </x:c>
      <x:c r="E123" s="35" t="str">
        <x:v>Research Scientist</x:v>
      </x:c>
      <x:c r="F123" s="35" t="str">
        <x:v>Medical</x:v>
      </x:c>
      <x:c r="G123" s="35" t="str">
        <x:v>Married</x:v>
      </x:c>
      <x:c r="H123" s="35" t="n">
        <x:v>3</x:v>
      </x:c>
      <x:c r="I123" s="36" t="n">
        <x:v>17100</x:v>
      </x:c>
      <x:c r="J123" s="35" t="n">
        <x:v>12</x:v>
      </x:c>
      <x:c r="K123" s="35" t="n">
        <x:v>7</x:v>
      </x:c>
      <x:c r="L123" s="35" t="n">
        <x:v>4</x:v>
      </x:c>
      <x:c r="M123" s="35" t="n">
        <x:v>18</x:v>
      </x:c>
      <x:c r="N123" s="35" t="str">
        <x:v>Yes</x:v>
      </x:c>
      <x:c r="O123" s="35" t="n">
        <x:v>1</x:v>
      </x:c>
      <x:c r="P123" s="35" t="n">
        <x:v>2</x:v>
      </x:c>
      <x:c r="Q123" s="35" t="n">
        <x:v>3</x:v>
      </x:c>
      <x:c r="R123" s="35" t="n">
        <x:v>3</x:v>
      </x:c>
      <x:c r="S123" s="35" t="n">
        <x:v>3</x:v>
      </x:c>
      <x:c r="T123" s="35" t="n">
        <x:v>2</x:v>
      </x:c>
      <x:c r="U123" s="35" t="n">
        <x:v>1</x:v>
      </x:c>
      <x:c r="V123" s="35" t="n">
        <x:v>13</x:v>
      </x:c>
      <x:c r="W123" s="35" t="n">
        <x:v>27</x:v>
      </x:c>
      <x:c r="X123" s="35" t="n">
        <x:v>100</x:v>
      </x:c>
      <x:c r="Y123" s="35" t="n">
        <x:v>3</x:v>
      </x:c>
      <x:c r="Z123" s="35" t="n">
        <x:v>84</x:v>
      </x:c>
      <x:c r="AA123" s="35" t="n">
        <x:v>10</x:v>
      </x:c>
      <x:c r="AB123" s="35" t="n">
        <x:v>9</x:v>
      </x:c>
      <x:c r="AC123" s="35" t="n">
        <x:v>6</x:v>
      </x:c>
      <x:c r="AD123" s="35" t="n">
        <x:v>83</x:v>
      </x:c>
      <x:c r="AE123" s="35" t="n">
        <x:v>85</x:v>
      </x:c>
      <x:c r="AF123" s="35" t="n">
        <x:v>100</x:v>
      </x:c>
      <x:c r="AG123" s="35" t="n">
        <x:v>100</x:v>
      </x:c>
      <x:c r="AH123" s="35" t="n">
        <x:v>9</x:v>
      </x:c>
      <x:c r="AI123" s="37" t="n">
        <x:v>100</x:v>
      </x:c>
      <x:c r="AJ123" s="37" t="n">
        <x:v>99</x:v>
      </x:c>
      <x:c r="AK123" s="35" t="str">
        <x:v>No</x:v>
      </x:c>
      <x:c r="AL123" s="38" t="n">
        <x:f>IF(AA123=0,0,AB123/AA123)</x:f>
        <x:v>0.9</x:v>
      </x:c>
      <x:c r="AM123" s="38" t="n">
        <x:f>IF(AB123=0,0,AC123/AB123)</x:f>
        <x:v>0.6666666666666666</x:v>
      </x:c>
      <x:c r="AN123" s="37" t="n">
        <x:f>ROUND((AD123*0.20+AE123*0.20+AF123*0.25+AG123*0.15+MIN(100,AC123*12)*0.20),1)</x:f>
        <x:v>88</x:v>
      </x:c>
      <x:c r="AO123" s="37" t="n">
        <x:f>ROUND(MAX(0,MIN(100,(X123*0.35)+(W123/45*100*0.20)+((5-O123)/4*100*0.15)+((5-P123)/4*100*0.10)+((6-Y123)/5*100*0.10)+((100-Z123)*0.10))),1)</x:f>
        <x:v>77.1</x:v>
      </x:c>
      <x:c r="AP123" s="37" t="str">
        <x:f>IF(AO123&gt;=70,"High",IF(AO123&gt;=40,"Moderate","Low"))</x:f>
        <x:v>High</x:v>
      </x:c>
      <x:c r="AQ123" s="37" t="n">
        <x:f>ROUND(MAX(0,MIN(100,(O123/4*100*0.25)+(P123/4*100*0.20)+(Q123/4*100*0.15)+(Y123/5*100*0.20)+(100-AO123)*0.20)),1)</x:f>
        <x:v>44.1</x:v>
      </x:c>
      <x:c r="AR123" s="37" t="n">
        <x:f>ROUND((AI123*0.20+AJ123*0.15+AN123*0.18+AG123*0.12+Z123*0.15+AQ123*0.20),1)</x:f>
        <x:v>84.1</x:v>
      </x:c>
      <x:c r="AS123" s="39" t="n">
        <x:f>ROUND((AC123*AF123*120)+(AH123*350)+(MAX(0,AI123-75)*220)+(MAX(0,AQ123-60)*100),0)</x:f>
        <x:v>80650</x:v>
      </x:c>
    </x:row>
    <x:row r="124">
      <x:c r="A124" s="35" t="n">
        <x:v>123</x:v>
      </x:c>
      <x:c r="B124" s="35" t="n">
        <x:v>49</x:v>
      </x:c>
      <x:c r="C124" s="35" t="str">
        <x:v>Female</x:v>
      </x:c>
      <x:c r="D124" s="35" t="str">
        <x:v>Information Technology</x:v>
      </x:c>
      <x:c r="E124" s="35" t="str">
        <x:v>IT Manager</x:v>
      </x:c>
      <x:c r="F124" s="35" t="str">
        <x:v>Medical</x:v>
      </x:c>
      <x:c r="G124" s="35" t="str">
        <x:v>Single</x:v>
      </x:c>
      <x:c r="H124" s="35" t="n">
        <x:v>4</x:v>
      </x:c>
      <x:c r="I124" s="36" t="n">
        <x:v>15670</x:v>
      </x:c>
      <x:c r="J124" s="35" t="n">
        <x:v>14</x:v>
      </x:c>
      <x:c r="K124" s="35" t="n">
        <x:v>6</x:v>
      </x:c>
      <x:c r="L124" s="35" t="n">
        <x:v>2</x:v>
      </x:c>
      <x:c r="M124" s="35" t="n">
        <x:v>19</x:v>
      </x:c>
      <x:c r="N124" s="35" t="str">
        <x:v>No</x:v>
      </x:c>
      <x:c r="O124" s="35" t="n">
        <x:v>2</x:v>
      </x:c>
      <x:c r="P124" s="35" t="n">
        <x:v>4</x:v>
      </x:c>
      <x:c r="Q124" s="35" t="n">
        <x:v>4</x:v>
      </x:c>
      <x:c r="R124" s="35" t="n">
        <x:v>4</x:v>
      </x:c>
      <x:c r="S124" s="35" t="n">
        <x:v>3</x:v>
      </x:c>
      <x:c r="T124" s="35" t="n">
        <x:v>2</x:v>
      </x:c>
      <x:c r="U124" s="35" t="n">
        <x:v>1</x:v>
      </x:c>
      <x:c r="V124" s="35" t="n">
        <x:v>2</x:v>
      </x:c>
      <x:c r="W124" s="35" t="n">
        <x:v>2</x:v>
      </x:c>
      <x:c r="X124" s="35" t="n">
        <x:v>80</x:v>
      </x:c>
      <x:c r="Y124" s="35" t="n">
        <x:v>4</x:v>
      </x:c>
      <x:c r="Z124" s="35" t="n">
        <x:v>100</x:v>
      </x:c>
      <x:c r="AA124" s="35" t="n">
        <x:v>5</x:v>
      </x:c>
      <x:c r="AB124" s="35" t="n">
        <x:v>3</x:v>
      </x:c>
      <x:c r="AC124" s="35" t="n">
        <x:v>2</x:v>
      </x:c>
      <x:c r="AD124" s="35" t="n">
        <x:v>66</x:v>
      </x:c>
      <x:c r="AE124" s="35" t="n">
        <x:v>76</x:v>
      </x:c>
      <x:c r="AF124" s="35" t="n">
        <x:v>86</x:v>
      </x:c>
      <x:c r="AG124" s="35" t="n">
        <x:v>99</x:v>
      </x:c>
      <x:c r="AH124" s="35" t="n">
        <x:v>4</x:v>
      </x:c>
      <x:c r="AI124" s="37" t="n">
        <x:v>93.6</x:v>
      </x:c>
      <x:c r="AJ124" s="37" t="n">
        <x:v>98.7</x:v>
      </x:c>
      <x:c r="AK124" s="35" t="str">
        <x:v>No</x:v>
      </x:c>
      <x:c r="AL124" s="38" t="n">
        <x:f>IF(AA124=0,0,AB124/AA124)</x:f>
        <x:v>0.6</x:v>
      </x:c>
      <x:c r="AM124" s="38" t="n">
        <x:f>IF(AB124=0,0,AC124/AB124)</x:f>
        <x:v>0.6666666666666666</x:v>
      </x:c>
      <x:c r="AN124" s="37" t="n">
        <x:f>ROUND((AD124*0.20+AE124*0.20+AF124*0.25+AG124*0.15+MIN(100,AC124*12)*0.20),1)</x:f>
        <x:v>69.6</x:v>
      </x:c>
      <x:c r="AO124" s="37" t="n">
        <x:f>ROUND(MAX(0,MIN(100,(X124*0.35)+(W124/45*100*0.20)+((5-O124)/4*100*0.15)+((5-P124)/4*100*0.10)+((6-Y124)/5*100*0.10)+((100-Z124)*0.10))),1)</x:f>
        <x:v>46.6</x:v>
      </x:c>
      <x:c r="AP124" s="37" t="str">
        <x:f>IF(AO124&gt;=70,"High",IF(AO124&gt;=40,"Moderate","Low"))</x:f>
        <x:v>Moderate</x:v>
      </x:c>
      <x:c r="AQ124" s="37" t="n">
        <x:f>ROUND(MAX(0,MIN(100,(O124/4*100*0.25)+(P124/4*100*0.20)+(Q124/4*100*0.15)+(Y124/5*100*0.20)+(100-AO124)*0.20)),1)</x:f>
        <x:v>74.2</x:v>
      </x:c>
      <x:c r="AR124" s="37" t="n">
        <x:f>ROUND((AI124*0.20+AJ124*0.15+AN124*0.18+AG124*0.12+Z124*0.15+AQ124*0.20),1)</x:f>
        <x:v>87.8</x:v>
      </x:c>
      <x:c r="AS124" s="39" t="n">
        <x:f>ROUND((AC124*AF124*120)+(AH124*350)+(MAX(0,AI124-75)*220)+(MAX(0,AQ124-60)*100),0)</x:f>
        <x:v>27552</x:v>
      </x:c>
    </x:row>
    <x:row r="125">
      <x:c r="A125" s="35" t="n">
        <x:v>124</x:v>
      </x:c>
      <x:c r="B125" s="35" t="n">
        <x:v>28</x:v>
      </x:c>
      <x:c r="C125" s="35" t="str">
        <x:v>Female</x:v>
      </x:c>
      <x:c r="D125" s="35" t="str">
        <x:v>Marketing</x:v>
      </x:c>
      <x:c r="E125" s="35" t="str">
        <x:v>Marketing Manager</x:v>
      </x:c>
      <x:c r="F125" s="35" t="str">
        <x:v>Computer Science</x:v>
      </x:c>
      <x:c r="G125" s="35" t="str">
        <x:v>Married</x:v>
      </x:c>
      <x:c r="H125" s="35" t="n">
        <x:v>1</x:v>
      </x:c>
      <x:c r="I125" s="36" t="n">
        <x:v>5040</x:v>
      </x:c>
      <x:c r="J125" s="35" t="n">
        <x:v>6</x:v>
      </x:c>
      <x:c r="K125" s="35" t="n">
        <x:v>4</x:v>
      </x:c>
      <x:c r="L125" s="35" t="n">
        <x:v>2</x:v>
      </x:c>
      <x:c r="M125" s="35" t="n">
        <x:v>14</x:v>
      </x:c>
      <x:c r="N125" s="35" t="str">
        <x:v>No</x:v>
      </x:c>
      <x:c r="O125" s="35" t="n">
        <x:v>3</x:v>
      </x:c>
      <x:c r="P125" s="35" t="n">
        <x:v>3</x:v>
      </x:c>
      <x:c r="Q125" s="35" t="n">
        <x:v>2</x:v>
      </x:c>
      <x:c r="R125" s="35" t="n">
        <x:v>4</x:v>
      </x:c>
      <x:c r="S125" s="35" t="n">
        <x:v>3</x:v>
      </x:c>
      <x:c r="T125" s="35" t="n">
        <x:v>3</x:v>
      </x:c>
      <x:c r="U125" s="35" t="n">
        <x:v>2</x:v>
      </x:c>
      <x:c r="V125" s="35" t="n">
        <x:v>2</x:v>
      </x:c>
      <x:c r="W125" s="35" t="n">
        <x:v>8</x:v>
      </x:c>
      <x:c r="X125" s="35" t="n">
        <x:v>75</x:v>
      </x:c>
      <x:c r="Y125" s="35" t="n">
        <x:v>5</x:v>
      </x:c>
      <x:c r="Z125" s="35" t="n">
        <x:v>100</x:v>
      </x:c>
      <x:c r="AA125" s="35" t="n">
        <x:v>14</x:v>
      </x:c>
      <x:c r="AB125" s="35" t="n">
        <x:v>9</x:v>
      </x:c>
      <x:c r="AC125" s="35" t="n">
        <x:v>8</x:v>
      </x:c>
      <x:c r="AD125" s="35" t="n">
        <x:v>71</x:v>
      </x:c>
      <x:c r="AE125" s="35" t="n">
        <x:v>94</x:v>
      </x:c>
      <x:c r="AF125" s="35" t="n">
        <x:v>100</x:v>
      </x:c>
      <x:c r="AG125" s="35" t="n">
        <x:v>88</x:v>
      </x:c>
      <x:c r="AH125" s="35" t="n">
        <x:v>12</x:v>
      </x:c>
      <x:c r="AI125" s="37" t="n">
        <x:v>100</x:v>
      </x:c>
      <x:c r="AJ125" s="37" t="n">
        <x:v>96.7</x:v>
      </x:c>
      <x:c r="AK125" s="35" t="str">
        <x:v>Yes</x:v>
      </x:c>
      <x:c r="AL125" s="38" t="n">
        <x:f>IF(AA125=0,0,AB125/AA125)</x:f>
        <x:v>0.6428571428571429</x:v>
      </x:c>
      <x:c r="AM125" s="38" t="n">
        <x:f>IF(AB125=0,0,AC125/AB125)</x:f>
        <x:v>0.8888888888888888</x:v>
      </x:c>
      <x:c r="AN125" s="37" t="n">
        <x:f>ROUND((AD125*0.20+AE125*0.20+AF125*0.25+AG125*0.15+MIN(100,AC125*12)*0.20),1)</x:f>
        <x:v>90.4</x:v>
      </x:c>
      <x:c r="AO125" s="37" t="n">
        <x:f>ROUND(MAX(0,MIN(100,(X125*0.35)+(W125/45*100*0.20)+((5-O125)/4*100*0.15)+((5-P125)/4*100*0.10)+((6-Y125)/5*100*0.10)+((100-Z125)*0.10))),1)</x:f>
        <x:v>44.3</x:v>
      </x:c>
      <x:c r="AP125" s="37" t="str">
        <x:f>IF(AO125&gt;=70,"High",IF(AO125&gt;=40,"Moderate","Low"))</x:f>
        <x:v>Moderate</x:v>
      </x:c>
      <x:c r="AQ125" s="37" t="n">
        <x:f>ROUND(MAX(0,MIN(100,(O125/4*100*0.25)+(P125/4*100*0.20)+(Q125/4*100*0.15)+(Y125/5*100*0.20)+(100-AO125)*0.20)),1)</x:f>
        <x:v>72.4</x:v>
      </x:c>
      <x:c r="AR125" s="37" t="n">
        <x:f>ROUND((AI125*0.20+AJ125*0.15+AN125*0.18+AG125*0.12+Z125*0.15+AQ125*0.20),1)</x:f>
        <x:v>90.8</x:v>
      </x:c>
      <x:c r="AS125" s="39" t="n">
        <x:f>ROUND((AC125*AF125*120)+(AH125*350)+(MAX(0,AI125-75)*220)+(MAX(0,AQ125-60)*100),0)</x:f>
        <x:v>106940</x:v>
      </x:c>
    </x:row>
    <x:row r="126">
      <x:c r="A126" s="35" t="n">
        <x:v>125</x:v>
      </x:c>
      <x:c r="B126" s="35" t="n">
        <x:v>53</x:v>
      </x:c>
      <x:c r="C126" s="35" t="str">
        <x:v>Male</x:v>
      </x:c>
      <x:c r="D126" s="35" t="str">
        <x:v>Research &amp; Development</x:v>
      </x:c>
      <x:c r="E126" s="35" t="str">
        <x:v>Data Scientist</x:v>
      </x:c>
      <x:c r="F126" s="35" t="str">
        <x:v>Medical</x:v>
      </x:c>
      <x:c r="G126" s="35" t="str">
        <x:v>Married</x:v>
      </x:c>
      <x:c r="H126" s="35" t="n">
        <x:v>3</x:v>
      </x:c>
      <x:c r="I126" s="36" t="n">
        <x:v>11720</x:v>
      </x:c>
      <x:c r="J126" s="35" t="n">
        <x:v>28</x:v>
      </x:c>
      <x:c r="K126" s="35" t="n">
        <x:v>18</x:v>
      </x:c>
      <x:c r="L126" s="35" t="n">
        <x:v>8</x:v>
      </x:c>
      <x:c r="M126" s="35" t="n">
        <x:v>7</x:v>
      </x:c>
      <x:c r="N126" s="35" t="str">
        <x:v>No</x:v>
      </x:c>
      <x:c r="O126" s="35" t="n">
        <x:v>3</x:v>
      </x:c>
      <x:c r="P126" s="35" t="n">
        <x:v>3</x:v>
      </x:c>
      <x:c r="Q126" s="35" t="n">
        <x:v>3</x:v>
      </x:c>
      <x:c r="R126" s="35" t="n">
        <x:v>2</x:v>
      </x:c>
      <x:c r="S126" s="35" t="n">
        <x:v>3</x:v>
      </x:c>
      <x:c r="T126" s="35" t="n">
        <x:v>1</x:v>
      </x:c>
      <x:c r="U126" s="35" t="n">
        <x:v>1</x:v>
      </x:c>
      <x:c r="V126" s="35" t="n">
        <x:v>6</x:v>
      </x:c>
      <x:c r="W126" s="35" t="n">
        <x:v>0</x:v>
      </x:c>
      <x:c r="X126" s="35" t="n">
        <x:v>52</x:v>
      </x:c>
      <x:c r="Y126" s="35" t="n">
        <x:v>5</x:v>
      </x:c>
      <x:c r="Z126" s="35" t="n">
        <x:v>88</x:v>
      </x:c>
      <x:c r="AA126" s="35" t="n">
        <x:v>3</x:v>
      </x:c>
      <x:c r="AB126" s="35" t="n">
        <x:v>2</x:v>
      </x:c>
      <x:c r="AC126" s="35" t="n">
        <x:v>1</x:v>
      </x:c>
      <x:c r="AD126" s="35" t="n">
        <x:v>56</x:v>
      </x:c>
      <x:c r="AE126" s="35" t="n">
        <x:v>91</x:v>
      </x:c>
      <x:c r="AF126" s="35" t="n">
        <x:v>66</x:v>
      </x:c>
      <x:c r="AG126" s="35" t="n">
        <x:v>90</x:v>
      </x:c>
      <x:c r="AH126" s="35" t="n">
        <x:v>3</x:v>
      </x:c>
      <x:c r="AI126" s="37" t="n">
        <x:v>95.6</x:v>
      </x:c>
      <x:c r="AJ126" s="37" t="n">
        <x:v>85.8</x:v>
      </x:c>
      <x:c r="AK126" s="35" t="str">
        <x:v>No</x:v>
      </x:c>
      <x:c r="AL126" s="38" t="n">
        <x:f>IF(AA126=0,0,AB126/AA126)</x:f>
        <x:v>0.6666666666666666</x:v>
      </x:c>
      <x:c r="AM126" s="38" t="n">
        <x:f>IF(AB126=0,0,AC126/AB126)</x:f>
        <x:v>0.5</x:v>
      </x:c>
      <x:c r="AN126" s="37" t="n">
        <x:f>ROUND((AD126*0.20+AE126*0.20+AF126*0.25+AG126*0.15+MIN(100,AC126*12)*0.20),1)</x:f>
        <x:v>61.8</x:v>
      </x:c>
      <x:c r="AO126" s="37" t="n">
        <x:f>ROUND(MAX(0,MIN(100,(X126*0.35)+(W126/45*100*0.20)+((5-O126)/4*100*0.15)+((5-P126)/4*100*0.10)+((6-Y126)/5*100*0.10)+((100-Z126)*0.10))),1)</x:f>
        <x:v>33.9</x:v>
      </x:c>
      <x:c r="AP126" s="37" t="str">
        <x:f>IF(AO126&gt;=70,"High",IF(AO126&gt;=40,"Moderate","Low"))</x:f>
        <x:v>Low</x:v>
      </x:c>
      <x:c r="AQ126" s="37" t="n">
        <x:f>ROUND(MAX(0,MIN(100,(O126/4*100*0.25)+(P126/4*100*0.20)+(Q126/4*100*0.15)+(Y126/5*100*0.20)+(100-AO126)*0.20)),1)</x:f>
        <x:v>78.2</x:v>
      </x:c>
      <x:c r="AR126" s="37" t="n">
        <x:f>ROUND((AI126*0.20+AJ126*0.15+AN126*0.18+AG126*0.12+Z126*0.15+AQ126*0.20),1)</x:f>
        <x:v>82.8</x:v>
      </x:c>
      <x:c r="AS126" s="39" t="n">
        <x:f>ROUND((AC126*AF126*120)+(AH126*350)+(MAX(0,AI126-75)*220)+(MAX(0,AQ126-60)*100),0)</x:f>
        <x:v>15322</x:v>
      </x:c>
    </x:row>
    <x:row r="127">
      <x:c r="A127" s="35" t="n">
        <x:v>126</x:v>
      </x:c>
      <x:c r="B127" s="35" t="n">
        <x:v>42</x:v>
      </x:c>
      <x:c r="C127" s="35" t="str">
        <x:v>Female</x:v>
      </x:c>
      <x:c r="D127" s="35" t="str">
        <x:v>Marketing</x:v>
      </x:c>
      <x:c r="E127" s="35" t="str">
        <x:v>Digital Marketing Analyst</x:v>
      </x:c>
      <x:c r="F127" s="35" t="str">
        <x:v>Technical Degree</x:v>
      </x:c>
      <x:c r="G127" s="35" t="str">
        <x:v>Single</x:v>
      </x:c>
      <x:c r="H127" s="35" t="n">
        <x:v>3</x:v>
      </x:c>
      <x:c r="I127" s="36" t="n">
        <x:v>13000</x:v>
      </x:c>
      <x:c r="J127" s="35" t="n">
        <x:v>12</x:v>
      </x:c>
      <x:c r="K127" s="35" t="n">
        <x:v>7</x:v>
      </x:c>
      <x:c r="L127" s="35" t="n">
        <x:v>4</x:v>
      </x:c>
      <x:c r="M127" s="35" t="n">
        <x:v>3</x:v>
      </x:c>
      <x:c r="N127" s="35" t="str">
        <x:v>No</x:v>
      </x:c>
      <x:c r="O127" s="35" t="n">
        <x:v>3</x:v>
      </x:c>
      <x:c r="P127" s="35" t="n">
        <x:v>2</x:v>
      </x:c>
      <x:c r="Q127" s="35" t="n">
        <x:v>3</x:v>
      </x:c>
      <x:c r="R127" s="35" t="n">
        <x:v>3</x:v>
      </x:c>
      <x:c r="S127" s="35" t="n">
        <x:v>3</x:v>
      </x:c>
      <x:c r="T127" s="35" t="n">
        <x:v>6</x:v>
      </x:c>
      <x:c r="U127" s="35" t="n">
        <x:v>0</x:v>
      </x:c>
      <x:c r="V127" s="35" t="n">
        <x:v>1</x:v>
      </x:c>
      <x:c r="W127" s="35" t="n">
        <x:v>7</x:v>
      </x:c>
      <x:c r="X127" s="35" t="n">
        <x:v>65</x:v>
      </x:c>
      <x:c r="Y127" s="35" t="n">
        <x:v>4</x:v>
      </x:c>
      <x:c r="Z127" s="35" t="n">
        <x:v>98</x:v>
      </x:c>
      <x:c r="AA127" s="35" t="n">
        <x:v>5</x:v>
      </x:c>
      <x:c r="AB127" s="35" t="n">
        <x:v>4</x:v>
      </x:c>
      <x:c r="AC127" s="35" t="n">
        <x:v>3</x:v>
      </x:c>
      <x:c r="AD127" s="35" t="n">
        <x:v>56</x:v>
      </x:c>
      <x:c r="AE127" s="35" t="n">
        <x:v>82</x:v>
      </x:c>
      <x:c r="AF127" s="35" t="n">
        <x:v>71</x:v>
      </x:c>
      <x:c r="AG127" s="35" t="n">
        <x:v>82</x:v>
      </x:c>
      <x:c r="AH127" s="35" t="n">
        <x:v>8</x:v>
      </x:c>
      <x:c r="AI127" s="37" t="n">
        <x:v>90.4</x:v>
      </x:c>
      <x:c r="AJ127" s="37" t="n">
        <x:v>94.7</x:v>
      </x:c>
      <x:c r="AK127" s="35" t="str">
        <x:v>No</x:v>
      </x:c>
      <x:c r="AL127" s="38" t="n">
        <x:f>IF(AA127=0,0,AB127/AA127)</x:f>
        <x:v>0.8</x:v>
      </x:c>
      <x:c r="AM127" s="38" t="n">
        <x:f>IF(AB127=0,0,AC127/AB127)</x:f>
        <x:v>0.75</x:v>
      </x:c>
      <x:c r="AN127" s="37" t="n">
        <x:f>ROUND((AD127*0.20+AE127*0.20+AF127*0.25+AG127*0.15+MIN(100,AC127*12)*0.20),1)</x:f>
        <x:v>64.9</x:v>
      </x:c>
      <x:c r="AO127" s="37" t="n">
        <x:f>ROUND(MAX(0,MIN(100,(X127*0.35)+(W127/45*100*0.20)+((5-O127)/4*100*0.15)+((5-P127)/4*100*0.10)+((6-Y127)/5*100*0.10)+((100-Z127)*0.10))),1)</x:f>
        <x:v>45.1</x:v>
      </x:c>
      <x:c r="AP127" s="37" t="str">
        <x:f>IF(AO127&gt;=70,"High",IF(AO127&gt;=40,"Moderate","Low"))</x:f>
        <x:v>Moderate</x:v>
      </x:c>
      <x:c r="AQ127" s="37" t="n">
        <x:f>ROUND(MAX(0,MIN(100,(O127/4*100*0.25)+(P127/4*100*0.20)+(Q127/4*100*0.15)+(Y127/5*100*0.20)+(100-AO127)*0.20)),1)</x:f>
        <x:v>67</x:v>
      </x:c>
      <x:c r="AR127" s="37" t="n">
        <x:f>ROUND((AI127*0.20+AJ127*0.15+AN127*0.18+AG127*0.12+Z127*0.15+AQ127*0.20),1)</x:f>
        <x:v>81.9</x:v>
      </x:c>
      <x:c r="AS127" s="39" t="n">
        <x:f>ROUND((AC127*AF127*120)+(AH127*350)+(MAX(0,AI127-75)*220)+(MAX(0,AQ127-60)*100),0)</x:f>
        <x:v>32448</x:v>
      </x:c>
    </x:row>
    <x:row r="128">
      <x:c r="A128" s="35" t="n">
        <x:v>127</x:v>
      </x:c>
      <x:c r="B128" s="35" t="n">
        <x:v>38</x:v>
      </x:c>
      <x:c r="C128" s="35" t="str">
        <x:v>Female</x:v>
      </x:c>
      <x:c r="D128" s="35" t="str">
        <x:v>Research &amp; Development</x:v>
      </x:c>
      <x:c r="E128" s="35" t="str">
        <x:v>Data Scientist</x:v>
      </x:c>
      <x:c r="F128" s="35" t="str">
        <x:v>Computer Science</x:v>
      </x:c>
      <x:c r="G128" s="35" t="str">
        <x:v>Divorced</x:v>
      </x:c>
      <x:c r="H128" s="35" t="n">
        <x:v>2</x:v>
      </x:c>
      <x:c r="I128" s="36" t="n">
        <x:v>8270</x:v>
      </x:c>
      <x:c r="J128" s="35" t="n">
        <x:v>8</x:v>
      </x:c>
      <x:c r="K128" s="35" t="n">
        <x:v>5</x:v>
      </x:c>
      <x:c r="L128" s="35" t="n">
        <x:v>4</x:v>
      </x:c>
      <x:c r="M128" s="35" t="n">
        <x:v>11</x:v>
      </x:c>
      <x:c r="N128" s="35" t="str">
        <x:v>No</x:v>
      </x:c>
      <x:c r="O128" s="35" t="n">
        <x:v>3</x:v>
      </x:c>
      <x:c r="P128" s="35" t="n">
        <x:v>2</x:v>
      </x:c>
      <x:c r="Q128" s="35" t="n">
        <x:v>4</x:v>
      </x:c>
      <x:c r="R128" s="35" t="n">
        <x:v>3</x:v>
      </x:c>
      <x:c r="S128" s="35" t="n">
        <x:v>3</x:v>
      </x:c>
      <x:c r="T128" s="35" t="n">
        <x:v>4</x:v>
      </x:c>
      <x:c r="U128" s="35" t="n">
        <x:v>2</x:v>
      </x:c>
      <x:c r="V128" s="35" t="n">
        <x:v>5</x:v>
      </x:c>
      <x:c r="W128" s="35" t="n">
        <x:v>4</x:v>
      </x:c>
      <x:c r="X128" s="35" t="n">
        <x:v>46</x:v>
      </x:c>
      <x:c r="Y128" s="35" t="n">
        <x:v>5</x:v>
      </x:c>
      <x:c r="Z128" s="35" t="n">
        <x:v>100</x:v>
      </x:c>
      <x:c r="AA128" s="35" t="n">
        <x:v>7</x:v>
      </x:c>
      <x:c r="AB128" s="35" t="n">
        <x:v>6</x:v>
      </x:c>
      <x:c r="AC128" s="35" t="n">
        <x:v>4</x:v>
      </x:c>
      <x:c r="AD128" s="35" t="n">
        <x:v>100</x:v>
      </x:c>
      <x:c r="AE128" s="35" t="n">
        <x:v>74</x:v>
      </x:c>
      <x:c r="AF128" s="35" t="n">
        <x:v>71</x:v>
      </x:c>
      <x:c r="AG128" s="35" t="n">
        <x:v>94</x:v>
      </x:c>
      <x:c r="AH128" s="35" t="n">
        <x:v>8</x:v>
      </x:c>
      <x:c r="AI128" s="37" t="n">
        <x:v>96.6</x:v>
      </x:c>
      <x:c r="AJ128" s="37" t="n">
        <x:v>91.6</x:v>
      </x:c>
      <x:c r="AK128" s="35" t="str">
        <x:v>Yes</x:v>
      </x:c>
      <x:c r="AL128" s="38" t="n">
        <x:f>IF(AA128=0,0,AB128/AA128)</x:f>
        <x:v>0.8571428571428571</x:v>
      </x:c>
      <x:c r="AM128" s="38" t="n">
        <x:f>IF(AB128=0,0,AC128/AB128)</x:f>
        <x:v>0.6666666666666666</x:v>
      </x:c>
      <x:c r="AN128" s="37" t="n">
        <x:f>ROUND((AD128*0.20+AE128*0.20+AF128*0.25+AG128*0.15+MIN(100,AC128*12)*0.20),1)</x:f>
        <x:v>76.3</x:v>
      </x:c>
      <x:c r="AO128" s="37" t="n">
        <x:f>ROUND(MAX(0,MIN(100,(X128*0.35)+(W128/45*100*0.20)+((5-O128)/4*100*0.15)+((5-P128)/4*100*0.10)+((6-Y128)/5*100*0.10)+((100-Z128)*0.10))),1)</x:f>
        <x:v>34.9</x:v>
      </x:c>
      <x:c r="AP128" s="37" t="str">
        <x:f>IF(AO128&gt;=70,"High",IF(AO128&gt;=40,"Moderate","Low"))</x:f>
        <x:v>Low</x:v>
      </x:c>
      <x:c r="AQ128" s="37" t="n">
        <x:f>ROUND(MAX(0,MIN(100,(O128/4*100*0.25)+(P128/4*100*0.20)+(Q128/4*100*0.15)+(Y128/5*100*0.20)+(100-AO128)*0.20)),1)</x:f>
        <x:v>76.8</x:v>
      </x:c>
      <x:c r="AR128" s="37" t="n">
        <x:f>ROUND((AI128*0.20+AJ128*0.15+AN128*0.18+AG128*0.12+Z128*0.15+AQ128*0.20),1)</x:f>
        <x:v>88.4</x:v>
      </x:c>
      <x:c r="AS128" s="39" t="n">
        <x:f>ROUND((AC128*AF128*120)+(AH128*350)+(MAX(0,AI128-75)*220)+(MAX(0,AQ128-60)*100),0)</x:f>
        <x:v>43312</x:v>
      </x:c>
    </x:row>
    <x:row r="129">
      <x:c r="A129" s="35" t="n">
        <x:v>128</x:v>
      </x:c>
      <x:c r="B129" s="35" t="n">
        <x:v>48</x:v>
      </x:c>
      <x:c r="C129" s="35" t="str">
        <x:v>Female</x:v>
      </x:c>
      <x:c r="D129" s="35" t="str">
        <x:v>Operations</x:v>
      </x:c>
      <x:c r="E129" s="35" t="str">
        <x:v>Operations Manager</x:v>
      </x:c>
      <x:c r="F129" s="35" t="str">
        <x:v>Business</x:v>
      </x:c>
      <x:c r="G129" s="35" t="str">
        <x:v>Single</x:v>
      </x:c>
      <x:c r="H129" s="35" t="n">
        <x:v>4</x:v>
      </x:c>
      <x:c r="I129" s="36" t="n">
        <x:v>15220</x:v>
      </x:c>
      <x:c r="J129" s="35" t="n">
        <x:v>24</x:v>
      </x:c>
      <x:c r="K129" s="35" t="n">
        <x:v>15</x:v>
      </x:c>
      <x:c r="L129" s="35" t="n">
        <x:v>10</x:v>
      </x:c>
      <x:c r="M129" s="35" t="n">
        <x:v>9</x:v>
      </x:c>
      <x:c r="N129" s="35" t="str">
        <x:v>No</x:v>
      </x:c>
      <x:c r="O129" s="35" t="n">
        <x:v>2</x:v>
      </x:c>
      <x:c r="P129" s="35" t="n">
        <x:v>3</x:v>
      </x:c>
      <x:c r="Q129" s="35" t="n">
        <x:v>3</x:v>
      </x:c>
      <x:c r="R129" s="35" t="n">
        <x:v>3</x:v>
      </x:c>
      <x:c r="S129" s="35" t="n">
        <x:v>4</x:v>
      </x:c>
      <x:c r="T129" s="35" t="n">
        <x:v>4</x:v>
      </x:c>
      <x:c r="U129" s="35" t="n">
        <x:v>0</x:v>
      </x:c>
      <x:c r="V129" s="35" t="n">
        <x:v>8</x:v>
      </x:c>
      <x:c r="W129" s="35" t="n">
        <x:v>9</x:v>
      </x:c>
      <x:c r="X129" s="35" t="n">
        <x:v>44</x:v>
      </x:c>
      <x:c r="Y129" s="35" t="n">
        <x:v>5</x:v>
      </x:c>
      <x:c r="Z129" s="35" t="n">
        <x:v>100</x:v>
      </x:c>
      <x:c r="AA129" s="35" t="n">
        <x:v>9</x:v>
      </x:c>
      <x:c r="AB129" s="35" t="n">
        <x:v>8</x:v>
      </x:c>
      <x:c r="AC129" s="35" t="n">
        <x:v>5</x:v>
      </x:c>
      <x:c r="AD129" s="35" t="n">
        <x:v>55</x:v>
      </x:c>
      <x:c r="AE129" s="35" t="n">
        <x:v>74</x:v>
      </x:c>
      <x:c r="AF129" s="35" t="n">
        <x:v>92</x:v>
      </x:c>
      <x:c r="AG129" s="35" t="n">
        <x:v>98</x:v>
      </x:c>
      <x:c r="AH129" s="35" t="n">
        <x:v>12</x:v>
      </x:c>
      <x:c r="AI129" s="37" t="n">
        <x:v>100</x:v>
      </x:c>
      <x:c r="AJ129" s="37" t="n">
        <x:v>100</x:v>
      </x:c>
      <x:c r="AK129" s="35" t="str">
        <x:v>Yes</x:v>
      </x:c>
      <x:c r="AL129" s="38" t="n">
        <x:f>IF(AA129=0,0,AB129/AA129)</x:f>
        <x:v>0.8888888888888888</x:v>
      </x:c>
      <x:c r="AM129" s="38" t="n">
        <x:f>IF(AB129=0,0,AC129/AB129)</x:f>
        <x:v>0.625</x:v>
      </x:c>
      <x:c r="AN129" s="37" t="n">
        <x:f>ROUND((AD129*0.20+AE129*0.20+AF129*0.25+AG129*0.15+MIN(100,AC129*12)*0.20),1)</x:f>
        <x:v>75.5</x:v>
      </x:c>
      <x:c r="AO129" s="37" t="n">
        <x:f>ROUND(MAX(0,MIN(100,(X129*0.35)+(W129/45*100*0.20)+((5-O129)/4*100*0.15)+((5-P129)/4*100*0.10)+((6-Y129)/5*100*0.10)+((100-Z129)*0.10))),1)</x:f>
        <x:v>37.7</x:v>
      </x:c>
      <x:c r="AP129" s="37" t="str">
        <x:f>IF(AO129&gt;=70,"High",IF(AO129&gt;=40,"Moderate","Low"))</x:f>
        <x:v>Low</x:v>
      </x:c>
      <x:c r="AQ129" s="37" t="n">
        <x:f>ROUND(MAX(0,MIN(100,(O129/4*100*0.25)+(P129/4*100*0.20)+(Q129/4*100*0.15)+(Y129/5*100*0.20)+(100-AO129)*0.20)),1)</x:f>
        <x:v>71.2</x:v>
      </x:c>
      <x:c r="AR129" s="37" t="n">
        <x:f>ROUND((AI129*0.20+AJ129*0.15+AN129*0.18+AG129*0.12+Z129*0.15+AQ129*0.20),1)</x:f>
        <x:v>89.6</x:v>
      </x:c>
      <x:c r="AS129" s="39" t="n">
        <x:f>ROUND((AC129*AF129*120)+(AH129*350)+(MAX(0,AI129-75)*220)+(MAX(0,AQ129-60)*100),0)</x:f>
        <x:v>66020</x:v>
      </x:c>
    </x:row>
    <x:row r="130">
      <x:c r="A130" s="35" t="n">
        <x:v>129</x:v>
      </x:c>
      <x:c r="B130" s="35" t="n">
        <x:v>45</x:v>
      </x:c>
      <x:c r="C130" s="35" t="str">
        <x:v>Female</x:v>
      </x:c>
      <x:c r="D130" s="35" t="str">
        <x:v>Research &amp; Development</x:v>
      </x:c>
      <x:c r="E130" s="35" t="str">
        <x:v>Data Scientist</x:v>
      </x:c>
      <x:c r="F130" s="35" t="str">
        <x:v>Marketing</x:v>
      </x:c>
      <x:c r="G130" s="35" t="str">
        <x:v>Married</x:v>
      </x:c>
      <x:c r="H130" s="35" t="n">
        <x:v>3</x:v>
      </x:c>
      <x:c r="I130" s="36" t="n">
        <x:v>12310</x:v>
      </x:c>
      <x:c r="J130" s="35" t="n">
        <x:v>14</x:v>
      </x:c>
      <x:c r="K130" s="35" t="n">
        <x:v>9</x:v>
      </x:c>
      <x:c r="L130" s="35" t="n">
        <x:v>5</x:v>
      </x:c>
      <x:c r="M130" s="35" t="n">
        <x:v>12</x:v>
      </x:c>
      <x:c r="N130" s="35" t="str">
        <x:v>No</x:v>
      </x:c>
      <x:c r="O130" s="35" t="n">
        <x:v>3</x:v>
      </x:c>
      <x:c r="P130" s="35" t="n">
        <x:v>2</x:v>
      </x:c>
      <x:c r="Q130" s="35" t="n">
        <x:v>1</x:v>
      </x:c>
      <x:c r="R130" s="35" t="n">
        <x:v>3</x:v>
      </x:c>
      <x:c r="S130" s="35" t="n">
        <x:v>3</x:v>
      </x:c>
      <x:c r="T130" s="35" t="n">
        <x:v>4</x:v>
      </x:c>
      <x:c r="U130" s="35" t="n">
        <x:v>0</x:v>
      </x:c>
      <x:c r="V130" s="35" t="n">
        <x:v>8</x:v>
      </x:c>
      <x:c r="W130" s="35" t="n">
        <x:v>0</x:v>
      </x:c>
      <x:c r="X130" s="35" t="n">
        <x:v>60</x:v>
      </x:c>
      <x:c r="Y130" s="35" t="n">
        <x:v>4</x:v>
      </x:c>
      <x:c r="Z130" s="35" t="n">
        <x:v>95</x:v>
      </x:c>
      <x:c r="AA130" s="35" t="n">
        <x:v>5</x:v>
      </x:c>
      <x:c r="AB130" s="35" t="n">
        <x:v>5</x:v>
      </x:c>
      <x:c r="AC130" s="35" t="n">
        <x:v>4</x:v>
      </x:c>
      <x:c r="AD130" s="35" t="n">
        <x:v>75</x:v>
      </x:c>
      <x:c r="AE130" s="35" t="n">
        <x:v>83</x:v>
      </x:c>
      <x:c r="AF130" s="35" t="n">
        <x:v>78</x:v>
      </x:c>
      <x:c r="AG130" s="35" t="n">
        <x:v>84</x:v>
      </x:c>
      <x:c r="AH130" s="35" t="n">
        <x:v>6</x:v>
      </x:c>
      <x:c r="AI130" s="37" t="n">
        <x:v>90.3</x:v>
      </x:c>
      <x:c r="AJ130" s="37" t="n">
        <x:v>93.7</x:v>
      </x:c>
      <x:c r="AK130" s="35" t="str">
        <x:v>No</x:v>
      </x:c>
      <x:c r="AL130" s="38" t="n">
        <x:f>IF(AA130=0,0,AB130/AA130)</x:f>
        <x:v>1</x:v>
      </x:c>
      <x:c r="AM130" s="38" t="n">
        <x:f>IF(AB130=0,0,AC130/AB130)</x:f>
        <x:v>0.8</x:v>
      </x:c>
      <x:c r="AN130" s="37" t="n">
        <x:f>ROUND((AD130*0.20+AE130*0.20+AF130*0.25+AG130*0.15+MIN(100,AC130*12)*0.20),1)</x:f>
        <x:v>73.3</x:v>
      </x:c>
      <x:c r="AO130" s="37" t="n">
        <x:f>ROUND(MAX(0,MIN(100,(X130*0.35)+(W130/45*100*0.20)+((5-O130)/4*100*0.15)+((5-P130)/4*100*0.10)+((6-Y130)/5*100*0.10)+((100-Z130)*0.10))),1)</x:f>
        <x:v>40.5</x:v>
      </x:c>
      <x:c r="AP130" s="37" t="str">
        <x:f>IF(AO130&gt;=70,"High",IF(AO130&gt;=40,"Moderate","Low"))</x:f>
        <x:v>Moderate</x:v>
      </x:c>
      <x:c r="AQ130" s="37" t="n">
        <x:f>ROUND(MAX(0,MIN(100,(O130/4*100*0.25)+(P130/4*100*0.20)+(Q130/4*100*0.15)+(Y130/5*100*0.20)+(100-AO130)*0.20)),1)</x:f>
        <x:v>60.4</x:v>
      </x:c>
      <x:c r="AR130" s="37" t="n">
        <x:f>ROUND((AI130*0.20+AJ130*0.15+AN130*0.18+AG130*0.12+Z130*0.15+AQ130*0.20),1)</x:f>
        <x:v>81.7</x:v>
      </x:c>
      <x:c r="AS130" s="39" t="n">
        <x:f>ROUND((AC130*AF130*120)+(AH130*350)+(MAX(0,AI130-75)*220)+(MAX(0,AQ130-60)*100),0)</x:f>
        <x:v>42946</x:v>
      </x:c>
    </x:row>
    <x:row r="131">
      <x:c r="A131" s="35" t="n">
        <x:v>130</x:v>
      </x:c>
      <x:c r="B131" s="35" t="n">
        <x:v>37</x:v>
      </x:c>
      <x:c r="C131" s="35" t="str">
        <x:v>Male</x:v>
      </x:c>
      <x:c r="D131" s="35" t="str">
        <x:v>Operations</x:v>
      </x:c>
      <x:c r="E131" s="35" t="str">
        <x:v>Quality Specialist</x:v>
      </x:c>
      <x:c r="F131" s="35" t="str">
        <x:v>Human Resources</x:v>
      </x:c>
      <x:c r="G131" s="35" t="str">
        <x:v>Divorced</x:v>
      </x:c>
      <x:c r="H131" s="35" t="n">
        <x:v>1</x:v>
      </x:c>
      <x:c r="I131" s="36" t="n">
        <x:v>5090</x:v>
      </x:c>
      <x:c r="J131" s="35" t="n">
        <x:v>8</x:v>
      </x:c>
      <x:c r="K131" s="35" t="n">
        <x:v>3</x:v>
      </x:c>
      <x:c r="L131" s="35" t="n">
        <x:v>2</x:v>
      </x:c>
      <x:c r="M131" s="35" t="n">
        <x:v>16</x:v>
      </x:c>
      <x:c r="N131" s="35" t="str">
        <x:v>Yes</x:v>
      </x:c>
      <x:c r="O131" s="35" t="n">
        <x:v>2</x:v>
      </x:c>
      <x:c r="P131" s="35" t="n">
        <x:v>4</x:v>
      </x:c>
      <x:c r="Q131" s="35" t="n">
        <x:v>2</x:v>
      </x:c>
      <x:c r="R131" s="35" t="n">
        <x:v>3</x:v>
      </x:c>
      <x:c r="S131" s="35" t="n">
        <x:v>4</x:v>
      </x:c>
      <x:c r="T131" s="35" t="n">
        <x:v>3</x:v>
      </x:c>
      <x:c r="U131" s="35" t="n">
        <x:v>1</x:v>
      </x:c>
      <x:c r="V131" s="35" t="n">
        <x:v>7</x:v>
      </x:c>
      <x:c r="W131" s="35" t="n">
        <x:v>26</x:v>
      </x:c>
      <x:c r="X131" s="35" t="n">
        <x:v>75</x:v>
      </x:c>
      <x:c r="Y131" s="35" t="n">
        <x:v>5</x:v>
      </x:c>
      <x:c r="Z131" s="35" t="n">
        <x:v>100</x:v>
      </x:c>
      <x:c r="AA131" s="35" t="n">
        <x:v>8</x:v>
      </x:c>
      <x:c r="AB131" s="35" t="n">
        <x:v>4</x:v>
      </x:c>
      <x:c r="AC131" s="35" t="n">
        <x:v>3</x:v>
      </x:c>
      <x:c r="AD131" s="35" t="n">
        <x:v>84</x:v>
      </x:c>
      <x:c r="AE131" s="35" t="n">
        <x:v>80</x:v>
      </x:c>
      <x:c r="AF131" s="35" t="n">
        <x:v>61</x:v>
      </x:c>
      <x:c r="AG131" s="35" t="n">
        <x:v>97</x:v>
      </x:c>
      <x:c r="AH131" s="35" t="n">
        <x:v>12</x:v>
      </x:c>
      <x:c r="AI131" s="37" t="n">
        <x:v>93.1</x:v>
      </x:c>
      <x:c r="AJ131" s="37" t="n">
        <x:v>100</x:v>
      </x:c>
      <x:c r="AK131" s="35" t="str">
        <x:v>Yes</x:v>
      </x:c>
      <x:c r="AL131" s="38" t="n">
        <x:f>IF(AA131=0,0,AB131/AA131)</x:f>
        <x:v>0.5</x:v>
      </x:c>
      <x:c r="AM131" s="38" t="n">
        <x:f>IF(AB131=0,0,AC131/AB131)</x:f>
        <x:v>0.75</x:v>
      </x:c>
      <x:c r="AN131" s="37" t="n">
        <x:f>ROUND((AD131*0.20+AE131*0.20+AF131*0.25+AG131*0.15+MIN(100,AC131*12)*0.20),1)</x:f>
        <x:v>69.8</x:v>
      </x:c>
      <x:c r="AO131" s="37" t="n">
        <x:f>ROUND(MAX(0,MIN(100,(X131*0.35)+(W131/45*100*0.20)+((5-O131)/4*100*0.15)+((5-P131)/4*100*0.10)+((6-Y131)/5*100*0.10)+((100-Z131)*0.10))),1)</x:f>
        <x:v>53.6</x:v>
      </x:c>
      <x:c r="AP131" s="37" t="str">
        <x:f>IF(AO131&gt;=70,"High",IF(AO131&gt;=40,"Moderate","Low"))</x:f>
        <x:v>Moderate</x:v>
      </x:c>
      <x:c r="AQ131" s="37" t="n">
        <x:f>ROUND(MAX(0,MIN(100,(O131/4*100*0.25)+(P131/4*100*0.20)+(Q131/4*100*0.15)+(Y131/5*100*0.20)+(100-AO131)*0.20)),1)</x:f>
        <x:v>69.3</x:v>
      </x:c>
      <x:c r="AR131" s="37" t="n">
        <x:f>ROUND((AI131*0.20+AJ131*0.15+AN131*0.18+AG131*0.12+Z131*0.15+AQ131*0.20),1)</x:f>
        <x:v>86.7</x:v>
      </x:c>
      <x:c r="AS131" s="39" t="n">
        <x:f>ROUND((AC131*AF131*120)+(AH131*350)+(MAX(0,AI131-75)*220)+(MAX(0,AQ131-60)*100),0)</x:f>
        <x:v>31072</x:v>
      </x:c>
    </x:row>
    <x:row r="132">
      <x:c r="A132" s="35" t="n">
        <x:v>131</x:v>
      </x:c>
      <x:c r="B132" s="35" t="n">
        <x:v>24</x:v>
      </x:c>
      <x:c r="C132" s="35" t="str">
        <x:v>Male</x:v>
      </x:c>
      <x:c r="D132" s="35" t="str">
        <x:v>Information Technology</x:v>
      </x:c>
      <x:c r="E132" s="35" t="str">
        <x:v>IT Manager</x:v>
      </x:c>
      <x:c r="F132" s="35" t="str">
        <x:v>Business</x:v>
      </x:c>
      <x:c r="G132" s="35" t="str">
        <x:v>Married</x:v>
      </x:c>
      <x:c r="H132" s="35" t="n">
        <x:v>2</x:v>
      </x:c>
      <x:c r="I132" s="36" t="n">
        <x:v>8800</x:v>
      </x:c>
      <x:c r="J132" s="35" t="n">
        <x:v>2</x:v>
      </x:c>
      <x:c r="K132" s="35" t="n">
        <x:v>1</x:v>
      </x:c>
      <x:c r="L132" s="35" t="n">
        <x:v>0</x:v>
      </x:c>
      <x:c r="M132" s="35" t="n">
        <x:v>2</x:v>
      </x:c>
      <x:c r="N132" s="35" t="str">
        <x:v>Yes</x:v>
      </x:c>
      <x:c r="O132" s="35" t="n">
        <x:v>3</x:v>
      </x:c>
      <x:c r="P132" s="35" t="n">
        <x:v>3</x:v>
      </x:c>
      <x:c r="Q132" s="35" t="n">
        <x:v>3</x:v>
      </x:c>
      <x:c r="R132" s="35" t="n">
        <x:v>3</x:v>
      </x:c>
      <x:c r="S132" s="35" t="n">
        <x:v>3</x:v>
      </x:c>
      <x:c r="T132" s="35" t="n">
        <x:v>4</x:v>
      </x:c>
      <x:c r="U132" s="35" t="n">
        <x:v>0</x:v>
      </x:c>
      <x:c r="V132" s="35" t="n">
        <x:v>0</x:v>
      </x:c>
      <x:c r="W132" s="35" t="n">
        <x:v>15</x:v>
      </x:c>
      <x:c r="X132" s="35" t="n">
        <x:v>68</x:v>
      </x:c>
      <x:c r="Y132" s="35" t="n">
        <x:v>5</x:v>
      </x:c>
      <x:c r="Z132" s="35" t="n">
        <x:v>100</x:v>
      </x:c>
      <x:c r="AA132" s="35" t="n">
        <x:v>7</x:v>
      </x:c>
      <x:c r="AB132" s="35" t="n">
        <x:v>7</x:v>
      </x:c>
      <x:c r="AC132" s="35" t="n">
        <x:v>5</x:v>
      </x:c>
      <x:c r="AD132" s="35" t="n">
        <x:v>72</x:v>
      </x:c>
      <x:c r="AE132" s="35" t="n">
        <x:v>92</x:v>
      </x:c>
      <x:c r="AF132" s="35" t="n">
        <x:v>88</x:v>
      </x:c>
      <x:c r="AG132" s="35" t="n">
        <x:v>92</x:v>
      </x:c>
      <x:c r="AH132" s="35" t="n">
        <x:v>8</x:v>
      </x:c>
      <x:c r="AI132" s="37" t="n">
        <x:v>100</x:v>
      </x:c>
      <x:c r="AJ132" s="37" t="n">
        <x:v>93.6</x:v>
      </x:c>
      <x:c r="AK132" s="35" t="str">
        <x:v>No</x:v>
      </x:c>
      <x:c r="AL132" s="38" t="n">
        <x:f>IF(AA132=0,0,AB132/AA132)</x:f>
        <x:v>1</x:v>
      </x:c>
      <x:c r="AM132" s="38" t="n">
        <x:f>IF(AB132=0,0,AC132/AB132)</x:f>
        <x:v>0.7142857142857143</x:v>
      </x:c>
      <x:c r="AN132" s="37" t="n">
        <x:f>ROUND((AD132*0.20+AE132*0.20+AF132*0.25+AG132*0.15+MIN(100,AC132*12)*0.20),1)</x:f>
        <x:v>80.6</x:v>
      </x:c>
      <x:c r="AO132" s="37" t="n">
        <x:f>ROUND(MAX(0,MIN(100,(X132*0.35)+(W132/45*100*0.20)+((5-O132)/4*100*0.15)+((5-P132)/4*100*0.10)+((6-Y132)/5*100*0.10)+((100-Z132)*0.10))),1)</x:f>
        <x:v>45</x:v>
      </x:c>
      <x:c r="AP132" s="37" t="str">
        <x:f>IF(AO132&gt;=70,"High",IF(AO132&gt;=40,"Moderate","Low"))</x:f>
        <x:v>Moderate</x:v>
      </x:c>
      <x:c r="AQ132" s="37" t="n">
        <x:f>ROUND(MAX(0,MIN(100,(O132/4*100*0.25)+(P132/4*100*0.20)+(Q132/4*100*0.15)+(Y132/5*100*0.20)+(100-AO132)*0.20)),1)</x:f>
        <x:v>76</x:v>
      </x:c>
      <x:c r="AR132" s="37" t="n">
        <x:f>ROUND((AI132*0.20+AJ132*0.15+AN132*0.18+AG132*0.12+Z132*0.15+AQ132*0.20),1)</x:f>
        <x:v>89.8</x:v>
      </x:c>
      <x:c r="AS132" s="39" t="n">
        <x:f>ROUND((AC132*AF132*120)+(AH132*350)+(MAX(0,AI132-75)*220)+(MAX(0,AQ132-60)*100),0)</x:f>
        <x:v>62700</x:v>
      </x:c>
    </x:row>
    <x:row r="133">
      <x:c r="A133" s="35" t="n">
        <x:v>132</x:v>
      </x:c>
      <x:c r="B133" s="35" t="n">
        <x:v>53</x:v>
      </x:c>
      <x:c r="C133" s="35" t="str">
        <x:v>Female</x:v>
      </x:c>
      <x:c r="D133" s="35" t="str">
        <x:v>Information Technology</x:v>
      </x:c>
      <x:c r="E133" s="35" t="str">
        <x:v>IT Manager</x:v>
      </x:c>
      <x:c r="F133" s="35" t="str">
        <x:v>Human Resources</x:v>
      </x:c>
      <x:c r="G133" s="35" t="str">
        <x:v>Single</x:v>
      </x:c>
      <x:c r="H133" s="35" t="n">
        <x:v>4</x:v>
      </x:c>
      <x:c r="I133" s="36" t="n">
        <x:v>17920</x:v>
      </x:c>
      <x:c r="J133" s="35" t="n">
        <x:v>25</x:v>
      </x:c>
      <x:c r="K133" s="35" t="n">
        <x:v>13</x:v>
      </x:c>
      <x:c r="L133" s="35" t="n">
        <x:v>9</x:v>
      </x:c>
      <x:c r="M133" s="35" t="n">
        <x:v>17</x:v>
      </x:c>
      <x:c r="N133" s="35" t="str">
        <x:v>No</x:v>
      </x:c>
      <x:c r="O133" s="35" t="n">
        <x:v>3</x:v>
      </x:c>
      <x:c r="P133" s="35" t="n">
        <x:v>2</x:v>
      </x:c>
      <x:c r="Q133" s="35" t="n">
        <x:v>2</x:v>
      </x:c>
      <x:c r="R133" s="35" t="n">
        <x:v>4</x:v>
      </x:c>
      <x:c r="S133" s="35" t="n">
        <x:v>3</x:v>
      </x:c>
      <x:c r="T133" s="35" t="n">
        <x:v>3</x:v>
      </x:c>
      <x:c r="U133" s="35" t="n">
        <x:v>0</x:v>
      </x:c>
      <x:c r="V133" s="35" t="n">
        <x:v>10</x:v>
      </x:c>
      <x:c r="W133" s="35" t="n">
        <x:v>14</x:v>
      </x:c>
      <x:c r="X133" s="35" t="n">
        <x:v>63</x:v>
      </x:c>
      <x:c r="Y133" s="35" t="n">
        <x:v>5</x:v>
      </x:c>
      <x:c r="Z133" s="35" t="n">
        <x:v>100</x:v>
      </x:c>
      <x:c r="AA133" s="35" t="n">
        <x:v>5</x:v>
      </x:c>
      <x:c r="AB133" s="35" t="n">
        <x:v>5</x:v>
      </x:c>
      <x:c r="AC133" s="35" t="n">
        <x:v>4</x:v>
      </x:c>
      <x:c r="AD133" s="35" t="n">
        <x:v>43</x:v>
      </x:c>
      <x:c r="AE133" s="35" t="n">
        <x:v>70</x:v>
      </x:c>
      <x:c r="AF133" s="35" t="n">
        <x:v>83</x:v>
      </x:c>
      <x:c r="AG133" s="35" t="n">
        <x:v>92</x:v>
      </x:c>
      <x:c r="AH133" s="35" t="n">
        <x:v>6</x:v>
      </x:c>
      <x:c r="AI133" s="37" t="n">
        <x:v>100</x:v>
      </x:c>
      <x:c r="AJ133" s="37" t="n">
        <x:v>100</x:v>
      </x:c>
      <x:c r="AK133" s="35" t="str">
        <x:v>No</x:v>
      </x:c>
      <x:c r="AL133" s="38" t="n">
        <x:f>IF(AA133=0,0,AB133/AA133)</x:f>
        <x:v>1</x:v>
      </x:c>
      <x:c r="AM133" s="38" t="n">
        <x:f>IF(AB133=0,0,AC133/AB133)</x:f>
        <x:v>0.8</x:v>
      </x:c>
      <x:c r="AN133" s="37" t="n">
        <x:f>ROUND((AD133*0.20+AE133*0.20+AF133*0.25+AG133*0.15+MIN(100,AC133*12)*0.20),1)</x:f>
        <x:v>66.8</x:v>
      </x:c>
      <x:c r="AO133" s="37" t="n">
        <x:f>ROUND(MAX(0,MIN(100,(X133*0.35)+(W133/45*100*0.20)+((5-O133)/4*100*0.15)+((5-P133)/4*100*0.10)+((6-Y133)/5*100*0.10)+((100-Z133)*0.10))),1)</x:f>
        <x:v>45.3</x:v>
      </x:c>
      <x:c r="AP133" s="37" t="str">
        <x:f>IF(AO133&gt;=70,"High",IF(AO133&gt;=40,"Moderate","Low"))</x:f>
        <x:v>Moderate</x:v>
      </x:c>
      <x:c r="AQ133" s="37" t="n">
        <x:f>ROUND(MAX(0,MIN(100,(O133/4*100*0.25)+(P133/4*100*0.20)+(Q133/4*100*0.15)+(Y133/5*100*0.20)+(100-AO133)*0.20)),1)</x:f>
        <x:v>67.2</x:v>
      </x:c>
      <x:c r="AR133" s="37" t="n">
        <x:f>ROUND((AI133*0.20+AJ133*0.15+AN133*0.18+AG133*0.12+Z133*0.15+AQ133*0.20),1)</x:f>
        <x:v>86.5</x:v>
      </x:c>
      <x:c r="AS133" s="39" t="n">
        <x:f>ROUND((AC133*AF133*120)+(AH133*350)+(MAX(0,AI133-75)*220)+(MAX(0,AQ133-60)*100),0)</x:f>
        <x:v>48160</x:v>
      </x:c>
    </x:row>
    <x:row r="134">
      <x:c r="A134" s="35" t="n">
        <x:v>133</x:v>
      </x:c>
      <x:c r="B134" s="35" t="n">
        <x:v>41</x:v>
      </x:c>
      <x:c r="C134" s="35" t="str">
        <x:v>Female</x:v>
      </x:c>
      <x:c r="D134" s="35" t="str">
        <x:v>Human Resources</x:v>
      </x:c>
      <x:c r="E134" s="35" t="str">
        <x:v>HR Manager</x:v>
      </x:c>
      <x:c r="F134" s="35" t="str">
        <x:v>Medical</x:v>
      </x:c>
      <x:c r="G134" s="35" t="str">
        <x:v>Married</x:v>
      </x:c>
      <x:c r="H134" s="35" t="n">
        <x:v>2</x:v>
      </x:c>
      <x:c r="I134" s="36" t="n">
        <x:v>9720</x:v>
      </x:c>
      <x:c r="J134" s="35" t="n">
        <x:v>18</x:v>
      </x:c>
      <x:c r="K134" s="35" t="n">
        <x:v>7</x:v>
      </x:c>
      <x:c r="L134" s="35" t="n">
        <x:v>5</x:v>
      </x:c>
      <x:c r="M134" s="35" t="n">
        <x:v>10</x:v>
      </x:c>
      <x:c r="N134" s="35" t="str">
        <x:v>No</x:v>
      </x:c>
      <x:c r="O134" s="35" t="n">
        <x:v>3</x:v>
      </x:c>
      <x:c r="P134" s="35" t="n">
        <x:v>2</x:v>
      </x:c>
      <x:c r="Q134" s="35" t="n">
        <x:v>4</x:v>
      </x:c>
      <x:c r="R134" s="35" t="n">
        <x:v>2</x:v>
      </x:c>
      <x:c r="S134" s="35" t="n">
        <x:v>3</x:v>
      </x:c>
      <x:c r="T134" s="35" t="n">
        <x:v>2</x:v>
      </x:c>
      <x:c r="U134" s="35" t="n">
        <x:v>2</x:v>
      </x:c>
      <x:c r="V134" s="35" t="n">
        <x:v>4</x:v>
      </x:c>
      <x:c r="W134" s="35" t="n">
        <x:v>4</x:v>
      </x:c>
      <x:c r="X134" s="35" t="n">
        <x:v>52</x:v>
      </x:c>
      <x:c r="Y134" s="35" t="n">
        <x:v>5</x:v>
      </x:c>
      <x:c r="Z134" s="35" t="n">
        <x:v>94</x:v>
      </x:c>
      <x:c r="AA134" s="35" t="n">
        <x:v>3</x:v>
      </x:c>
      <x:c r="AB134" s="35" t="n">
        <x:v>3</x:v>
      </x:c>
      <x:c r="AC134" s="35" t="n">
        <x:v>2</x:v>
      </x:c>
      <x:c r="AD134" s="35" t="n">
        <x:v>50</x:v>
      </x:c>
      <x:c r="AE134" s="35" t="n">
        <x:v>74</x:v>
      </x:c>
      <x:c r="AF134" s="35" t="n">
        <x:v>45</x:v>
      </x:c>
      <x:c r="AG134" s="35" t="n">
        <x:v>77</x:v>
      </x:c>
      <x:c r="AH134" s="35" t="n">
        <x:v>4</x:v>
      </x:c>
      <x:c r="AI134" s="37" t="n">
        <x:v>100</x:v>
      </x:c>
      <x:c r="AJ134" s="37" t="n">
        <x:v>90.4</x:v>
      </x:c>
      <x:c r="AK134" s="35" t="str">
        <x:v>No</x:v>
      </x:c>
      <x:c r="AL134" s="38" t="n">
        <x:f>IF(AA134=0,0,AB134/AA134)</x:f>
        <x:v>1</x:v>
      </x:c>
      <x:c r="AM134" s="38" t="n">
        <x:f>IF(AB134=0,0,AC134/AB134)</x:f>
        <x:v>0.6666666666666666</x:v>
      </x:c>
      <x:c r="AN134" s="37" t="n">
        <x:f>ROUND((AD134*0.20+AE134*0.20+AF134*0.25+AG134*0.15+MIN(100,AC134*12)*0.20),1)</x:f>
        <x:v>52.4</x:v>
      </x:c>
      <x:c r="AO134" s="37" t="n">
        <x:f>ROUND(MAX(0,MIN(100,(X134*0.35)+(W134/45*100*0.20)+((5-O134)/4*100*0.15)+((5-P134)/4*100*0.10)+((6-Y134)/5*100*0.10)+((100-Z134)*0.10))),1)</x:f>
        <x:v>37.6</x:v>
      </x:c>
      <x:c r="AP134" s="37" t="str">
        <x:f>IF(AO134&gt;=70,"High",IF(AO134&gt;=40,"Moderate","Low"))</x:f>
        <x:v>Low</x:v>
      </x:c>
      <x:c r="AQ134" s="37" t="n">
        <x:f>ROUND(MAX(0,MIN(100,(O134/4*100*0.25)+(P134/4*100*0.20)+(Q134/4*100*0.15)+(Y134/5*100*0.20)+(100-AO134)*0.20)),1)</x:f>
        <x:v>76.2</x:v>
      </x:c>
      <x:c r="AR134" s="37" t="n">
        <x:f>ROUND((AI134*0.20+AJ134*0.15+AN134*0.18+AG134*0.12+Z134*0.15+AQ134*0.20),1)</x:f>
        <x:v>81.6</x:v>
      </x:c>
      <x:c r="AS134" s="39" t="n">
        <x:f>ROUND((AC134*AF134*120)+(AH134*350)+(MAX(0,AI134-75)*220)+(MAX(0,AQ134-60)*100),0)</x:f>
        <x:v>19320</x:v>
      </x:c>
    </x:row>
    <x:row r="135">
      <x:c r="A135" s="35" t="n">
        <x:v>134</x:v>
      </x:c>
      <x:c r="B135" s="35" t="n">
        <x:v>24</x:v>
      </x:c>
      <x:c r="C135" s="35" t="str">
        <x:v>Female</x:v>
      </x:c>
      <x:c r="D135" s="35" t="str">
        <x:v>Research &amp; Development</x:v>
      </x:c>
      <x:c r="E135" s="35" t="str">
        <x:v>Data Scientist</x:v>
      </x:c>
      <x:c r="F135" s="35" t="str">
        <x:v>Business</x:v>
      </x:c>
      <x:c r="G135" s="35" t="str">
        <x:v>Married</x:v>
      </x:c>
      <x:c r="H135" s="35" t="n">
        <x:v>1</x:v>
      </x:c>
      <x:c r="I135" s="36" t="n">
        <x:v>5850</x:v>
      </x:c>
      <x:c r="J135" s="35" t="n">
        <x:v>2</x:v>
      </x:c>
      <x:c r="K135" s="35" t="n">
        <x:v>1</x:v>
      </x:c>
      <x:c r="L135" s="35" t="n">
        <x:v>0</x:v>
      </x:c>
      <x:c r="M135" s="35" t="n">
        <x:v>16</x:v>
      </x:c>
      <x:c r="N135" s="35" t="str">
        <x:v>Yes</x:v>
      </x:c>
      <x:c r="O135" s="35" t="n">
        <x:v>4</x:v>
      </x:c>
      <x:c r="P135" s="35" t="n">
        <x:v>4</x:v>
      </x:c>
      <x:c r="Q135" s="35" t="n">
        <x:v>2</x:v>
      </x:c>
      <x:c r="R135" s="35" t="n">
        <x:v>3</x:v>
      </x:c>
      <x:c r="S135" s="35" t="n">
        <x:v>3</x:v>
      </x:c>
      <x:c r="T135" s="35" t="n">
        <x:v>6</x:v>
      </x:c>
      <x:c r="U135" s="35" t="n">
        <x:v>0</x:v>
      </x:c>
      <x:c r="V135" s="35" t="n">
        <x:v>4</x:v>
      </x:c>
      <x:c r="W135" s="35" t="n">
        <x:v>30</x:v>
      </x:c>
      <x:c r="X135" s="35" t="n">
        <x:v>70</x:v>
      </x:c>
      <x:c r="Y135" s="35" t="n">
        <x:v>4</x:v>
      </x:c>
      <x:c r="Z135" s="35" t="n">
        <x:v>100</x:v>
      </x:c>
      <x:c r="AA135" s="35" t="n">
        <x:v>7</x:v>
      </x:c>
      <x:c r="AB135" s="35" t="n">
        <x:v>7</x:v>
      </x:c>
      <x:c r="AC135" s="35" t="n">
        <x:v>5</x:v>
      </x:c>
      <x:c r="AD135" s="35" t="n">
        <x:v>75</x:v>
      </x:c>
      <x:c r="AE135" s="35" t="n">
        <x:v>74</x:v>
      </x:c>
      <x:c r="AF135" s="35" t="n">
        <x:v>75</x:v>
      </x:c>
      <x:c r="AG135" s="35" t="n">
        <x:v>83</x:v>
      </x:c>
      <x:c r="AH135" s="35" t="n">
        <x:v>8</x:v>
      </x:c>
      <x:c r="AI135" s="37" t="n">
        <x:v>99.9</x:v>
      </x:c>
      <x:c r="AJ135" s="37" t="n">
        <x:v>97.9</x:v>
      </x:c>
      <x:c r="AK135" s="35" t="str">
        <x:v>No</x:v>
      </x:c>
      <x:c r="AL135" s="38" t="n">
        <x:f>IF(AA135=0,0,AB135/AA135)</x:f>
        <x:v>1</x:v>
      </x:c>
      <x:c r="AM135" s="38" t="n">
        <x:f>IF(AB135=0,0,AC135/AB135)</x:f>
        <x:v>0.7142857142857143</x:v>
      </x:c>
      <x:c r="AN135" s="37" t="n">
        <x:f>ROUND((AD135*0.20+AE135*0.20+AF135*0.25+AG135*0.15+MIN(100,AC135*12)*0.20),1)</x:f>
        <x:v>73</x:v>
      </x:c>
      <x:c r="AO135" s="37" t="n">
        <x:f>ROUND(MAX(0,MIN(100,(X135*0.35)+(W135/45*100*0.20)+((5-O135)/4*100*0.15)+((5-P135)/4*100*0.10)+((6-Y135)/5*100*0.10)+((100-Z135)*0.10))),1)</x:f>
        <x:v>48.1</x:v>
      </x:c>
      <x:c r="AP135" s="37" t="str">
        <x:f>IF(AO135&gt;=70,"High",IF(AO135&gt;=40,"Moderate","Low"))</x:f>
        <x:v>Moderate</x:v>
      </x:c>
      <x:c r="AQ135" s="37" t="n">
        <x:f>ROUND(MAX(0,MIN(100,(O135/4*100*0.25)+(P135/4*100*0.20)+(Q135/4*100*0.15)+(Y135/5*100*0.20)+(100-AO135)*0.20)),1)</x:f>
        <x:v>78.9</x:v>
      </x:c>
      <x:c r="AR135" s="37" t="n">
        <x:f>ROUND((AI135*0.20+AJ135*0.15+AN135*0.18+AG135*0.12+Z135*0.15+AQ135*0.20),1)</x:f>
        <x:v>88.5</x:v>
      </x:c>
      <x:c r="AS135" s="39" t="n">
        <x:f>ROUND((AC135*AF135*120)+(AH135*350)+(MAX(0,AI135-75)*220)+(MAX(0,AQ135-60)*100),0)</x:f>
        <x:v>55168</x:v>
      </x:c>
    </x:row>
    <x:row r="136">
      <x:c r="A136" s="35" t="n">
        <x:v>135</x:v>
      </x:c>
      <x:c r="B136" s="35" t="n">
        <x:v>36</x:v>
      </x:c>
      <x:c r="C136" s="35" t="str">
        <x:v>Female</x:v>
      </x:c>
      <x:c r="D136" s="35" t="str">
        <x:v>Information Technology</x:v>
      </x:c>
      <x:c r="E136" s="35" t="str">
        <x:v>IT Manager</x:v>
      </x:c>
      <x:c r="F136" s="35" t="str">
        <x:v>Medical</x:v>
      </x:c>
      <x:c r="G136" s="35" t="str">
        <x:v>Single</x:v>
      </x:c>
      <x:c r="H136" s="35" t="n">
        <x:v>2</x:v>
      </x:c>
      <x:c r="I136" s="36" t="n">
        <x:v>8520</x:v>
      </x:c>
      <x:c r="J136" s="35" t="n">
        <x:v>12</x:v>
      </x:c>
      <x:c r="K136" s="35" t="n">
        <x:v>3</x:v>
      </x:c>
      <x:c r="L136" s="35" t="n">
        <x:v>1</x:v>
      </x:c>
      <x:c r="M136" s="35" t="n">
        <x:v>4</x:v>
      </x:c>
      <x:c r="N136" s="35" t="str">
        <x:v>Yes</x:v>
      </x:c>
      <x:c r="O136" s="35" t="n">
        <x:v>2</x:v>
      </x:c>
      <x:c r="P136" s="35" t="n">
        <x:v>4</x:v>
      </x:c>
      <x:c r="Q136" s="35" t="n">
        <x:v>2</x:v>
      </x:c>
      <x:c r="R136" s="35" t="n">
        <x:v>3</x:v>
      </x:c>
      <x:c r="S136" s="35" t="n">
        <x:v>3</x:v>
      </x:c>
      <x:c r="T136" s="35" t="n">
        <x:v>5</x:v>
      </x:c>
      <x:c r="U136" s="35" t="n">
        <x:v>3</x:v>
      </x:c>
      <x:c r="V136" s="35" t="n">
        <x:v>6</x:v>
      </x:c>
      <x:c r="W136" s="35" t="n">
        <x:v>19</x:v>
      </x:c>
      <x:c r="X136" s="35" t="n">
        <x:v>79</x:v>
      </x:c>
      <x:c r="Y136" s="35" t="n">
        <x:v>4</x:v>
      </x:c>
      <x:c r="Z136" s="35" t="n">
        <x:v>100</x:v>
      </x:c>
      <x:c r="AA136" s="35" t="n">
        <x:v>5</x:v>
      </x:c>
      <x:c r="AB136" s="35" t="n">
        <x:v>4</x:v>
      </x:c>
      <x:c r="AC136" s="35" t="n">
        <x:v>1</x:v>
      </x:c>
      <x:c r="AD136" s="35" t="n">
        <x:v>71</x:v>
      </x:c>
      <x:c r="AE136" s="35" t="n">
        <x:v>79</x:v>
      </x:c>
      <x:c r="AF136" s="35" t="n">
        <x:v>57</x:v>
      </x:c>
      <x:c r="AG136" s="35" t="n">
        <x:v>91</x:v>
      </x:c>
      <x:c r="AH136" s="35" t="n">
        <x:v>3</x:v>
      </x:c>
      <x:c r="AI136" s="37" t="n">
        <x:v>98.2</x:v>
      </x:c>
      <x:c r="AJ136" s="37" t="n">
        <x:v>90.1</x:v>
      </x:c>
      <x:c r="AK136" s="35" t="str">
        <x:v>No</x:v>
      </x:c>
      <x:c r="AL136" s="38" t="n">
        <x:f>IF(AA136=0,0,AB136/AA136)</x:f>
        <x:v>0.8</x:v>
      </x:c>
      <x:c r="AM136" s="38" t="n">
        <x:f>IF(AB136=0,0,AC136/AB136)</x:f>
        <x:v>0.25</x:v>
      </x:c>
      <x:c r="AN136" s="37" t="n">
        <x:f>ROUND((AD136*0.20+AE136*0.20+AF136*0.25+AG136*0.15+MIN(100,AC136*12)*0.20),1)</x:f>
        <x:v>60.3</x:v>
      </x:c>
      <x:c r="AO136" s="37" t="n">
        <x:f>ROUND(MAX(0,MIN(100,(X136*0.35)+(W136/45*100*0.20)+((5-O136)/4*100*0.15)+((5-P136)/4*100*0.10)+((6-Y136)/5*100*0.10)+((100-Z136)*0.10))),1)</x:f>
        <x:v>53.8</x:v>
      </x:c>
      <x:c r="AP136" s="37" t="str">
        <x:f>IF(AO136&gt;=70,"High",IF(AO136&gt;=40,"Moderate","Low"))</x:f>
        <x:v>Moderate</x:v>
      </x:c>
      <x:c r="AQ136" s="37" t="n">
        <x:f>ROUND(MAX(0,MIN(100,(O136/4*100*0.25)+(P136/4*100*0.20)+(Q136/4*100*0.15)+(Y136/5*100*0.20)+(100-AO136)*0.20)),1)</x:f>
        <x:v>65.2</x:v>
      </x:c>
      <x:c r="AR136" s="37" t="n">
        <x:f>ROUND((AI136*0.20+AJ136*0.15+AN136*0.18+AG136*0.12+Z136*0.15+AQ136*0.20),1)</x:f>
        <x:v>83</x:v>
      </x:c>
      <x:c r="AS136" s="39" t="n">
        <x:f>ROUND((AC136*AF136*120)+(AH136*350)+(MAX(0,AI136-75)*220)+(MAX(0,AQ136-60)*100),0)</x:f>
        <x:v>13514</x:v>
      </x:c>
    </x:row>
    <x:row r="137">
      <x:c r="A137" s="35" t="n">
        <x:v>136</x:v>
      </x:c>
      <x:c r="B137" s="35" t="n">
        <x:v>33</x:v>
      </x:c>
      <x:c r="C137" s="35" t="str">
        <x:v>Female</x:v>
      </x:c>
      <x:c r="D137" s="35" t="str">
        <x:v>Research &amp; Development</x:v>
      </x:c>
      <x:c r="E137" s="35" t="str">
        <x:v>R&amp;D Manager</x:v>
      </x:c>
      <x:c r="F137" s="35" t="str">
        <x:v>Computer Science</x:v>
      </x:c>
      <x:c r="G137" s="35" t="str">
        <x:v>Married</x:v>
      </x:c>
      <x:c r="H137" s="35" t="n">
        <x:v>2</x:v>
      </x:c>
      <x:c r="I137" s="36" t="n">
        <x:v>9180</x:v>
      </x:c>
      <x:c r="J137" s="35" t="n">
        <x:v>7</x:v>
      </x:c>
      <x:c r="K137" s="35" t="n">
        <x:v>3</x:v>
      </x:c>
      <x:c r="L137" s="35" t="n">
        <x:v>2</x:v>
      </x:c>
      <x:c r="M137" s="35" t="n">
        <x:v>9</x:v>
      </x:c>
      <x:c r="N137" s="35" t="str">
        <x:v>No</x:v>
      </x:c>
      <x:c r="O137" s="35" t="n">
        <x:v>3</x:v>
      </x:c>
      <x:c r="P137" s="35" t="n">
        <x:v>2</x:v>
      </x:c>
      <x:c r="Q137" s="35" t="n">
        <x:v>2</x:v>
      </x:c>
      <x:c r="R137" s="35" t="n">
        <x:v>3</x:v>
      </x:c>
      <x:c r="S137" s="35" t="n">
        <x:v>3</x:v>
      </x:c>
      <x:c r="T137" s="35" t="n">
        <x:v>4</x:v>
      </x:c>
      <x:c r="U137" s="35" t="n">
        <x:v>0</x:v>
      </x:c>
      <x:c r="V137" s="35" t="n">
        <x:v>7</x:v>
      </x:c>
      <x:c r="W137" s="35" t="n">
        <x:v>9</x:v>
      </x:c>
      <x:c r="X137" s="35" t="n">
        <x:v>55</x:v>
      </x:c>
      <x:c r="Y137" s="35" t="n">
        <x:v>5</x:v>
      </x:c>
      <x:c r="Z137" s="35" t="n">
        <x:v>100</x:v>
      </x:c>
      <x:c r="AA137" s="35" t="n">
        <x:v>3</x:v>
      </x:c>
      <x:c r="AB137" s="35" t="n">
        <x:v>1</x:v>
      </x:c>
      <x:c r="AC137" s="35" t="n">
        <x:v>1</x:v>
      </x:c>
      <x:c r="AD137" s="35" t="n">
        <x:v>62</x:v>
      </x:c>
      <x:c r="AE137" s="35" t="n">
        <x:v>70</x:v>
      </x:c>
      <x:c r="AF137" s="35" t="n">
        <x:v>59</x:v>
      </x:c>
      <x:c r="AG137" s="35" t="n">
        <x:v>96</x:v>
      </x:c>
      <x:c r="AH137" s="35" t="n">
        <x:v>3</x:v>
      </x:c>
      <x:c r="AI137" s="37" t="n">
        <x:v>94.2</x:v>
      </x:c>
      <x:c r="AJ137" s="37" t="n">
        <x:v>97.1</x:v>
      </x:c>
      <x:c r="AK137" s="35" t="str">
        <x:v>No</x:v>
      </x:c>
      <x:c r="AL137" s="38" t="n">
        <x:f>IF(AA137=0,0,AB137/AA137)</x:f>
        <x:v>0.3333333333333333</x:v>
      </x:c>
      <x:c r="AM137" s="38" t="n">
        <x:f>IF(AB137=0,0,AC137/AB137)</x:f>
        <x:v>1</x:v>
      </x:c>
      <x:c r="AN137" s="37" t="n">
        <x:f>ROUND((AD137*0.20+AE137*0.20+AF137*0.25+AG137*0.15+MIN(100,AC137*12)*0.20),1)</x:f>
        <x:v>58</x:v>
      </x:c>
      <x:c r="AO137" s="37" t="n">
        <x:f>ROUND(MAX(0,MIN(100,(X137*0.35)+(W137/45*100*0.20)+((5-O137)/4*100*0.15)+((5-P137)/4*100*0.10)+((6-Y137)/5*100*0.10)+((100-Z137)*0.10))),1)</x:f>
        <x:v>40.3</x:v>
      </x:c>
      <x:c r="AP137" s="37" t="str">
        <x:f>IF(AO137&gt;=70,"High",IF(AO137&gt;=40,"Moderate","Low"))</x:f>
        <x:v>Moderate</x:v>
      </x:c>
      <x:c r="AQ137" s="37" t="n">
        <x:f>ROUND(MAX(0,MIN(100,(O137/4*100*0.25)+(P137/4*100*0.20)+(Q137/4*100*0.15)+(Y137/5*100*0.20)+(100-AO137)*0.20)),1)</x:f>
        <x:v>68.2</x:v>
      </x:c>
      <x:c r="AR137" s="37" t="n">
        <x:f>ROUND((AI137*0.20+AJ137*0.15+AN137*0.18+AG137*0.12+Z137*0.15+AQ137*0.20),1)</x:f>
        <x:v>84</x:v>
      </x:c>
      <x:c r="AS137" s="39" t="n">
        <x:f>ROUND((AC137*AF137*120)+(AH137*350)+(MAX(0,AI137-75)*220)+(MAX(0,AQ137-60)*100),0)</x:f>
        <x:v>13174</x:v>
      </x:c>
    </x:row>
    <x:row r="138">
      <x:c r="A138" s="35" t="n">
        <x:v>137</x:v>
      </x:c>
      <x:c r="B138" s="35" t="n">
        <x:v>21</x:v>
      </x:c>
      <x:c r="C138" s="35" t="str">
        <x:v>Male</x:v>
      </x:c>
      <x:c r="D138" s="35" t="str">
        <x:v>Information Technology</x:v>
      </x:c>
      <x:c r="E138" s="35" t="str">
        <x:v>IT Support</x:v>
      </x:c>
      <x:c r="F138" s="35" t="str">
        <x:v>Marketing</x:v>
      </x:c>
      <x:c r="G138" s="35" t="str">
        <x:v>Divorced</x:v>
      </x:c>
      <x:c r="H138" s="35" t="n">
        <x:v>2</x:v>
      </x:c>
      <x:c r="I138" s="36" t="n">
        <x:v>12040</x:v>
      </x:c>
      <x:c r="J138" s="35" t="n">
        <x:v>0</x:v>
      </x:c>
      <x:c r="K138" s="35" t="n">
        <x:v>0</x:v>
      </x:c>
      <x:c r="L138" s="35" t="n">
        <x:v>0</x:v>
      </x:c>
      <x:c r="M138" s="35" t="n">
        <x:v>15</x:v>
      </x:c>
      <x:c r="N138" s="35" t="str">
        <x:v>No</x:v>
      </x:c>
      <x:c r="O138" s="35" t="n">
        <x:v>3</x:v>
      </x:c>
      <x:c r="P138" s="35" t="n">
        <x:v>3</x:v>
      </x:c>
      <x:c r="Q138" s="35" t="n">
        <x:v>3</x:v>
      </x:c>
      <x:c r="R138" s="35" t="n">
        <x:v>2</x:v>
      </x:c>
      <x:c r="S138" s="35" t="n">
        <x:v>3</x:v>
      </x:c>
      <x:c r="T138" s="35" t="n">
        <x:v>4</x:v>
      </x:c>
      <x:c r="U138" s="35" t="n">
        <x:v>1</x:v>
      </x:c>
      <x:c r="V138" s="35" t="n">
        <x:v>4</x:v>
      </x:c>
      <x:c r="W138" s="35" t="n">
        <x:v>4</x:v>
      </x:c>
      <x:c r="X138" s="35" t="n">
        <x:v>66</x:v>
      </x:c>
      <x:c r="Y138" s="35" t="n">
        <x:v>4</x:v>
      </x:c>
      <x:c r="Z138" s="35" t="n">
        <x:v>95</x:v>
      </x:c>
      <x:c r="AA138" s="35" t="n">
        <x:v>4</x:v>
      </x:c>
      <x:c r="AB138" s="35" t="n">
        <x:v>3</x:v>
      </x:c>
      <x:c r="AC138" s="35" t="n">
        <x:v>3</x:v>
      </x:c>
      <x:c r="AD138" s="35" t="n">
        <x:v>74</x:v>
      </x:c>
      <x:c r="AE138" s="35" t="n">
        <x:v>81</x:v>
      </x:c>
      <x:c r="AF138" s="35" t="n">
        <x:v>73</x:v>
      </x:c>
      <x:c r="AG138" s="35" t="n">
        <x:v>87</x:v>
      </x:c>
      <x:c r="AH138" s="35" t="n">
        <x:v>8</x:v>
      </x:c>
      <x:c r="AI138" s="37" t="n">
        <x:v>97.5</x:v>
      </x:c>
      <x:c r="AJ138" s="37" t="n">
        <x:v>81.5</x:v>
      </x:c>
      <x:c r="AK138" s="35" t="str">
        <x:v>No</x:v>
      </x:c>
      <x:c r="AL138" s="38" t="n">
        <x:f>IF(AA138=0,0,AB138/AA138)</x:f>
        <x:v>0.75</x:v>
      </x:c>
      <x:c r="AM138" s="38" t="n">
        <x:f>IF(AB138=0,0,AC138/AB138)</x:f>
        <x:v>1</x:v>
      </x:c>
      <x:c r="AN138" s="37" t="n">
        <x:f>ROUND((AD138*0.20+AE138*0.20+AF138*0.25+AG138*0.15+MIN(100,AC138*12)*0.20),1)</x:f>
        <x:v>69.5</x:v>
      </x:c>
      <x:c r="AO138" s="37" t="n">
        <x:f>ROUND(MAX(0,MIN(100,(X138*0.35)+(W138/45*100*0.20)+((5-O138)/4*100*0.15)+((5-P138)/4*100*0.10)+((6-Y138)/5*100*0.10)+((100-Z138)*0.10))),1)</x:f>
        <x:v>41.9</x:v>
      </x:c>
      <x:c r="AP138" s="37" t="str">
        <x:f>IF(AO138&gt;=70,"High",IF(AO138&gt;=40,"Moderate","Low"))</x:f>
        <x:v>Moderate</x:v>
      </x:c>
      <x:c r="AQ138" s="37" t="n">
        <x:f>ROUND(MAX(0,MIN(100,(O138/4*100*0.25)+(P138/4*100*0.20)+(Q138/4*100*0.15)+(Y138/5*100*0.20)+(100-AO138)*0.20)),1)</x:f>
        <x:v>72.6</x:v>
      </x:c>
      <x:c r="AR138" s="37" t="n">
        <x:f>ROUND((AI138*0.20+AJ138*0.15+AN138*0.18+AG138*0.12+Z138*0.15+AQ138*0.20),1)</x:f>
        <x:v>83.4</x:v>
      </x:c>
      <x:c r="AS138" s="39" t="n">
        <x:f>ROUND((AC138*AF138*120)+(AH138*350)+(MAX(0,AI138-75)*220)+(MAX(0,AQ138-60)*100),0)</x:f>
        <x:v>35290</x:v>
      </x:c>
    </x:row>
    <x:row r="139">
      <x:c r="A139" s="35" t="n">
        <x:v>138</x:v>
      </x:c>
      <x:c r="B139" s="35" t="n">
        <x:v>36</x:v>
      </x:c>
      <x:c r="C139" s="35" t="str">
        <x:v>Male</x:v>
      </x:c>
      <x:c r="D139" s="35" t="str">
        <x:v>Information Technology</x:v>
      </x:c>
      <x:c r="E139" s="35" t="str">
        <x:v>IT Support</x:v>
      </x:c>
      <x:c r="F139" s="35" t="str">
        <x:v>Computer Science</x:v>
      </x:c>
      <x:c r="G139" s="35" t="str">
        <x:v>Divorced</x:v>
      </x:c>
      <x:c r="H139" s="35" t="n">
        <x:v>1</x:v>
      </x:c>
      <x:c r="I139" s="36" t="n">
        <x:v>6750</x:v>
      </x:c>
      <x:c r="J139" s="35" t="n">
        <x:v>13</x:v>
      </x:c>
      <x:c r="K139" s="35" t="n">
        <x:v>10</x:v>
      </x:c>
      <x:c r="L139" s="35" t="n">
        <x:v>5</x:v>
      </x:c>
      <x:c r="M139" s="35" t="n">
        <x:v>15</x:v>
      </x:c>
      <x:c r="N139" s="35" t="str">
        <x:v>Yes</x:v>
      </x:c>
      <x:c r="O139" s="35" t="n">
        <x:v>3</x:v>
      </x:c>
      <x:c r="P139" s="35" t="n">
        <x:v>4</x:v>
      </x:c>
      <x:c r="Q139" s="35" t="n">
        <x:v>2</x:v>
      </x:c>
      <x:c r="R139" s="35" t="n">
        <x:v>3</x:v>
      </x:c>
      <x:c r="S139" s="35" t="n">
        <x:v>3</x:v>
      </x:c>
      <x:c r="T139" s="35" t="n">
        <x:v>3</x:v>
      </x:c>
      <x:c r="U139" s="35" t="n">
        <x:v>2</x:v>
      </x:c>
      <x:c r="V139" s="35" t="n">
        <x:v>8</x:v>
      </x:c>
      <x:c r="W139" s="35" t="n">
        <x:v>12</x:v>
      </x:c>
      <x:c r="X139" s="35" t="n">
        <x:v>54</x:v>
      </x:c>
      <x:c r="Y139" s="35" t="n">
        <x:v>5</x:v>
      </x:c>
      <x:c r="Z139" s="35" t="n">
        <x:v>100</x:v>
      </x:c>
      <x:c r="AA139" s="35" t="n">
        <x:v>4</x:v>
      </x:c>
      <x:c r="AB139" s="35" t="n">
        <x:v>2</x:v>
      </x:c>
      <x:c r="AC139" s="35" t="n">
        <x:v>1</x:v>
      </x:c>
      <x:c r="AD139" s="35" t="n">
        <x:v>72</x:v>
      </x:c>
      <x:c r="AE139" s="35" t="n">
        <x:v>76</x:v>
      </x:c>
      <x:c r="AF139" s="35" t="n">
        <x:v>90</x:v>
      </x:c>
      <x:c r="AG139" s="35" t="n">
        <x:v>98</x:v>
      </x:c>
      <x:c r="AH139" s="35" t="n">
        <x:v>3</x:v>
      </x:c>
      <x:c r="AI139" s="37" t="n">
        <x:v>100</x:v>
      </x:c>
      <x:c r="AJ139" s="37" t="n">
        <x:v>98.8</x:v>
      </x:c>
      <x:c r="AK139" s="35" t="str">
        <x:v>No</x:v>
      </x:c>
      <x:c r="AL139" s="38" t="n">
        <x:f>IF(AA139=0,0,AB139/AA139)</x:f>
        <x:v>0.5</x:v>
      </x:c>
      <x:c r="AM139" s="38" t="n">
        <x:f>IF(AB139=0,0,AC139/AB139)</x:f>
        <x:v>0.5</x:v>
      </x:c>
      <x:c r="AN139" s="37" t="n">
        <x:f>ROUND((AD139*0.20+AE139*0.20+AF139*0.25+AG139*0.15+MIN(100,AC139*12)*0.20),1)</x:f>
        <x:v>69.2</x:v>
      </x:c>
      <x:c r="AO139" s="37" t="n">
        <x:f>ROUND(MAX(0,MIN(100,(X139*0.35)+(W139/45*100*0.20)+((5-O139)/4*100*0.15)+((5-P139)/4*100*0.10)+((6-Y139)/5*100*0.10)+((100-Z139)*0.10))),1)</x:f>
        <x:v>36.2</x:v>
      </x:c>
      <x:c r="AP139" s="37" t="str">
        <x:f>IF(AO139&gt;=70,"High",IF(AO139&gt;=40,"Moderate","Low"))</x:f>
        <x:v>Low</x:v>
      </x:c>
      <x:c r="AQ139" s="37" t="n">
        <x:f>ROUND(MAX(0,MIN(100,(O139/4*100*0.25)+(P139/4*100*0.20)+(Q139/4*100*0.15)+(Y139/5*100*0.20)+(100-AO139)*0.20)),1)</x:f>
        <x:v>79</x:v>
      </x:c>
      <x:c r="AR139" s="37" t="n">
        <x:f>ROUND((AI139*0.20+AJ139*0.15+AN139*0.18+AG139*0.12+Z139*0.15+AQ139*0.20),1)</x:f>
        <x:v>89.8</x:v>
      </x:c>
      <x:c r="AS139" s="39" t="n">
        <x:f>ROUND((AC139*AF139*120)+(AH139*350)+(MAX(0,AI139-75)*220)+(MAX(0,AQ139-60)*100),0)</x:f>
        <x:v>19250</x:v>
      </x:c>
    </x:row>
    <x:row r="140">
      <x:c r="A140" s="35" t="n">
        <x:v>139</x:v>
      </x:c>
      <x:c r="B140" s="35" t="n">
        <x:v>34</x:v>
      </x:c>
      <x:c r="C140" s="35" t="str">
        <x:v>Female</x:v>
      </x:c>
      <x:c r="D140" s="35" t="str">
        <x:v>Sales</x:v>
      </x:c>
      <x:c r="E140" s="35" t="str">
        <x:v>Sales Executive</x:v>
      </x:c>
      <x:c r="F140" s="35" t="str">
        <x:v>Human Resources</x:v>
      </x:c>
      <x:c r="G140" s="35" t="str">
        <x:v>Single</x:v>
      </x:c>
      <x:c r="H140" s="35" t="n">
        <x:v>2</x:v>
      </x:c>
      <x:c r="I140" s="36" t="n">
        <x:v>10360</x:v>
      </x:c>
      <x:c r="J140" s="35" t="n">
        <x:v>8</x:v>
      </x:c>
      <x:c r="K140" s="35" t="n">
        <x:v>5</x:v>
      </x:c>
      <x:c r="L140" s="35" t="n">
        <x:v>4</x:v>
      </x:c>
      <x:c r="M140" s="35" t="n">
        <x:v>6</x:v>
      </x:c>
      <x:c r="N140" s="35" t="str">
        <x:v>No</x:v>
      </x:c>
      <x:c r="O140" s="35" t="n">
        <x:v>3</x:v>
      </x:c>
      <x:c r="P140" s="35" t="n">
        <x:v>2</x:v>
      </x:c>
      <x:c r="Q140" s="35" t="n">
        <x:v>4</x:v>
      </x:c>
      <x:c r="R140" s="35" t="n">
        <x:v>2</x:v>
      </x:c>
      <x:c r="S140" s="35" t="n">
        <x:v>3</x:v>
      </x:c>
      <x:c r="T140" s="35" t="n">
        <x:v>2</x:v>
      </x:c>
      <x:c r="U140" s="35" t="n">
        <x:v>1</x:v>
      </x:c>
      <x:c r="V140" s="35" t="n">
        <x:v>8</x:v>
      </x:c>
      <x:c r="W140" s="35" t="n">
        <x:v>11</x:v>
      </x:c>
      <x:c r="X140" s="35" t="n">
        <x:v>65</x:v>
      </x:c>
      <x:c r="Y140" s="35" t="n">
        <x:v>4</x:v>
      </x:c>
      <x:c r="Z140" s="35" t="n">
        <x:v>81</x:v>
      </x:c>
      <x:c r="AA140" s="35" t="n">
        <x:v>4</x:v>
      </x:c>
      <x:c r="AB140" s="35" t="n">
        <x:v>2</x:v>
      </x:c>
      <x:c r="AC140" s="35" t="n">
        <x:v>1</x:v>
      </x:c>
      <x:c r="AD140" s="35" t="n">
        <x:v>50</x:v>
      </x:c>
      <x:c r="AE140" s="35" t="n">
        <x:v>61</x:v>
      </x:c>
      <x:c r="AF140" s="35" t="n">
        <x:v>76</x:v>
      </x:c>
      <x:c r="AG140" s="35" t="n">
        <x:v>64</x:v>
      </x:c>
      <x:c r="AH140" s="35" t="n">
        <x:v>8</x:v>
      </x:c>
      <x:c r="AI140" s="37" t="n">
        <x:v>100</x:v>
      </x:c>
      <x:c r="AJ140" s="37" t="n">
        <x:v>93.3</x:v>
      </x:c>
      <x:c r="AK140" s="35" t="str">
        <x:v>No</x:v>
      </x:c>
      <x:c r="AL140" s="38" t="n">
        <x:f>IF(AA140=0,0,AB140/AA140)</x:f>
        <x:v>0.5</x:v>
      </x:c>
      <x:c r="AM140" s="38" t="n">
        <x:f>IF(AB140=0,0,AC140/AB140)</x:f>
        <x:v>0.5</x:v>
      </x:c>
      <x:c r="AN140" s="37" t="n">
        <x:f>ROUND((AD140*0.20+AE140*0.20+AF140*0.25+AG140*0.15+MIN(100,AC140*12)*0.20),1)</x:f>
        <x:v>53.2</x:v>
      </x:c>
      <x:c r="AO140" s="37" t="n">
        <x:f>ROUND(MAX(0,MIN(100,(X140*0.35)+(W140/45*100*0.20)+((5-O140)/4*100*0.15)+((5-P140)/4*100*0.10)+((6-Y140)/5*100*0.10)+((100-Z140)*0.10))),1)</x:f>
        <x:v>48.5</x:v>
      </x:c>
      <x:c r="AP140" s="37" t="str">
        <x:f>IF(AO140&gt;=70,"High",IF(AO140&gt;=40,"Moderate","Low"))</x:f>
        <x:v>Moderate</x:v>
      </x:c>
      <x:c r="AQ140" s="37" t="n">
        <x:f>ROUND(MAX(0,MIN(100,(O140/4*100*0.25)+(P140/4*100*0.20)+(Q140/4*100*0.15)+(Y140/5*100*0.20)+(100-AO140)*0.20)),1)</x:f>
        <x:v>70.1</x:v>
      </x:c>
      <x:c r="AR140" s="37" t="n">
        <x:f>ROUND((AI140*0.20+AJ140*0.15+AN140*0.18+AG140*0.12+Z140*0.15+AQ140*0.20),1)</x:f>
        <x:v>77.4</x:v>
      </x:c>
      <x:c r="AS140" s="39" t="n">
        <x:f>ROUND((AC140*AF140*120)+(AH140*350)+(MAX(0,AI140-75)*220)+(MAX(0,AQ140-60)*100),0)</x:f>
        <x:v>18430</x:v>
      </x:c>
    </x:row>
    <x:row r="141">
      <x:c r="A141" s="35" t="n">
        <x:v>140</x:v>
      </x:c>
      <x:c r="B141" s="35" t="n">
        <x:v>22</x:v>
      </x:c>
      <x:c r="C141" s="35" t="str">
        <x:v>Male</x:v>
      </x:c>
      <x:c r="D141" s="35" t="str">
        <x:v>Sales</x:v>
      </x:c>
      <x:c r="E141" s="35" t="str">
        <x:v>Sales Executive</x:v>
      </x:c>
      <x:c r="F141" s="35" t="str">
        <x:v>Business</x:v>
      </x:c>
      <x:c r="G141" s="35" t="str">
        <x:v>Married</x:v>
      </x:c>
      <x:c r="H141" s="35" t="n">
        <x:v>1</x:v>
      </x:c>
      <x:c r="I141" s="36" t="n">
        <x:v>4660</x:v>
      </x:c>
      <x:c r="J141" s="35" t="n">
        <x:v>1</x:v>
      </x:c>
      <x:c r="K141" s="35" t="n">
        <x:v>1</x:v>
      </x:c>
      <x:c r="L141" s="35" t="n">
        <x:v>1</x:v>
      </x:c>
      <x:c r="M141" s="35" t="n">
        <x:v>10</x:v>
      </x:c>
      <x:c r="N141" s="35" t="str">
        <x:v>No</x:v>
      </x:c>
      <x:c r="O141" s="35" t="n">
        <x:v>3</x:v>
      </x:c>
      <x:c r="P141" s="35" t="n">
        <x:v>3</x:v>
      </x:c>
      <x:c r="Q141" s="35" t="n">
        <x:v>1</x:v>
      </x:c>
      <x:c r="R141" s="35" t="n">
        <x:v>3</x:v>
      </x:c>
      <x:c r="S141" s="35" t="n">
        <x:v>3</x:v>
      </x:c>
      <x:c r="T141" s="35" t="n">
        <x:v>1</x:v>
      </x:c>
      <x:c r="U141" s="35" t="n">
        <x:v>1</x:v>
      </x:c>
      <x:c r="V141" s="35" t="n">
        <x:v>8</x:v>
      </x:c>
      <x:c r="W141" s="35" t="n">
        <x:v>7</x:v>
      </x:c>
      <x:c r="X141" s="35" t="n">
        <x:v>40</x:v>
      </x:c>
      <x:c r="Y141" s="35" t="n">
        <x:v>5</x:v>
      </x:c>
      <x:c r="Z141" s="35" t="n">
        <x:v>100</x:v>
      </x:c>
      <x:c r="AA141" s="35" t="n">
        <x:v>5</x:v>
      </x:c>
      <x:c r="AB141" s="35" t="n">
        <x:v>2</x:v>
      </x:c>
      <x:c r="AC141" s="35" t="n">
        <x:v>2</x:v>
      </x:c>
      <x:c r="AD141" s="35" t="n">
        <x:v>72</x:v>
      </x:c>
      <x:c r="AE141" s="35" t="n">
        <x:v>88</x:v>
      </x:c>
      <x:c r="AF141" s="35" t="n">
        <x:v>70</x:v>
      </x:c>
      <x:c r="AG141" s="35" t="n">
        <x:v>93</x:v>
      </x:c>
      <x:c r="AH141" s="35" t="n">
        <x:v>5</x:v>
      </x:c>
      <x:c r="AI141" s="37" t="n">
        <x:v>87.8</x:v>
      </x:c>
      <x:c r="AJ141" s="37" t="n">
        <x:v>95.8</x:v>
      </x:c>
      <x:c r="AK141" s="35" t="str">
        <x:v>No</x:v>
      </x:c>
      <x:c r="AL141" s="38" t="n">
        <x:f>IF(AA141=0,0,AB141/AA141)</x:f>
        <x:v>0.4</x:v>
      </x:c>
      <x:c r="AM141" s="38" t="n">
        <x:f>IF(AB141=0,0,AC141/AB141)</x:f>
        <x:v>1</x:v>
      </x:c>
      <x:c r="AN141" s="37" t="n">
        <x:f>ROUND((AD141*0.20+AE141*0.20+AF141*0.25+AG141*0.15+MIN(100,AC141*12)*0.20),1)</x:f>
        <x:v>68.3</x:v>
      </x:c>
      <x:c r="AO141" s="37" t="n">
        <x:f>ROUND(MAX(0,MIN(100,(X141*0.35)+(W141/45*100*0.20)+((5-O141)/4*100*0.15)+((5-P141)/4*100*0.10)+((6-Y141)/5*100*0.10)+((100-Z141)*0.10))),1)</x:f>
        <x:v>31.6</x:v>
      </x:c>
      <x:c r="AP141" s="37" t="str">
        <x:f>IF(AO141&gt;=70,"High",IF(AO141&gt;=40,"Moderate","Low"))</x:f>
        <x:v>Low</x:v>
      </x:c>
      <x:c r="AQ141" s="37" t="n">
        <x:f>ROUND(MAX(0,MIN(100,(O141/4*100*0.25)+(P141/4*100*0.20)+(Q141/4*100*0.15)+(Y141/5*100*0.20)+(100-AO141)*0.20)),1)</x:f>
        <x:v>71.2</x:v>
      </x:c>
      <x:c r="AR141" s="37" t="n">
        <x:f>ROUND((AI141*0.20+AJ141*0.15+AN141*0.18+AG141*0.12+Z141*0.15+AQ141*0.20),1)</x:f>
        <x:v>84.6</x:v>
      </x:c>
      <x:c r="AS141" s="39" t="n">
        <x:f>ROUND((AC141*AF141*120)+(AH141*350)+(MAX(0,AI141-75)*220)+(MAX(0,AQ141-60)*100),0)</x:f>
        <x:v>22486</x:v>
      </x:c>
    </x:row>
    <x:row r="142">
      <x:c r="A142" s="35" t="n">
        <x:v>141</x:v>
      </x:c>
      <x:c r="B142" s="35" t="n">
        <x:v>52</x:v>
      </x:c>
      <x:c r="C142" s="35" t="str">
        <x:v>Female</x:v>
      </x:c>
      <x:c r="D142" s="35" t="str">
        <x:v>Research &amp; Development</x:v>
      </x:c>
      <x:c r="E142" s="35" t="str">
        <x:v>Research Scientist</x:v>
      </x:c>
      <x:c r="F142" s="35" t="str">
        <x:v>Business</x:v>
      </x:c>
      <x:c r="G142" s="35" t="str">
        <x:v>Married</x:v>
      </x:c>
      <x:c r="H142" s="35" t="n">
        <x:v>4</x:v>
      </x:c>
      <x:c r="I142" s="36" t="n">
        <x:v>16390</x:v>
      </x:c>
      <x:c r="J142" s="35" t="n">
        <x:v>22</x:v>
      </x:c>
      <x:c r="K142" s="35" t="n">
        <x:v>10</x:v>
      </x:c>
      <x:c r="L142" s="35" t="n">
        <x:v>4</x:v>
      </x:c>
      <x:c r="M142" s="35" t="n">
        <x:v>4</x:v>
      </x:c>
      <x:c r="N142" s="35" t="str">
        <x:v>No</x:v>
      </x:c>
      <x:c r="O142" s="35" t="n">
        <x:v>2</x:v>
      </x:c>
      <x:c r="P142" s="35" t="n">
        <x:v>3</x:v>
      </x:c>
      <x:c r="Q142" s="35" t="n">
        <x:v>3</x:v>
      </x:c>
      <x:c r="R142" s="35" t="n">
        <x:v>2</x:v>
      </x:c>
      <x:c r="S142" s="35" t="n">
        <x:v>3</x:v>
      </x:c>
      <x:c r="T142" s="35" t="n">
        <x:v>6</x:v>
      </x:c>
      <x:c r="U142" s="35" t="n">
        <x:v>1</x:v>
      </x:c>
      <x:c r="V142" s="35" t="n">
        <x:v>10</x:v>
      </x:c>
      <x:c r="W142" s="35" t="n">
        <x:v>5</x:v>
      </x:c>
      <x:c r="X142" s="35" t="n">
        <x:v>77</x:v>
      </x:c>
      <x:c r="Y142" s="35" t="n">
        <x:v>4</x:v>
      </x:c>
      <x:c r="Z142" s="35" t="n">
        <x:v>87</x:v>
      </x:c>
      <x:c r="AA142" s="35" t="n">
        <x:v>5</x:v>
      </x:c>
      <x:c r="AB142" s="35" t="n">
        <x:v>5</x:v>
      </x:c>
      <x:c r="AC142" s="35" t="n">
        <x:v>2</x:v>
      </x:c>
      <x:c r="AD142" s="35" t="n">
        <x:v>62</x:v>
      </x:c>
      <x:c r="AE142" s="35" t="n">
        <x:v>84</x:v>
      </x:c>
      <x:c r="AF142" s="35" t="n">
        <x:v>82</x:v>
      </x:c>
      <x:c r="AG142" s="35" t="n">
        <x:v>75</x:v>
      </x:c>
      <x:c r="AH142" s="35" t="n">
        <x:v>4</x:v>
      </x:c>
      <x:c r="AI142" s="37" t="n">
        <x:v>93.3</x:v>
      </x:c>
      <x:c r="AJ142" s="37" t="n">
        <x:v>95.1</x:v>
      </x:c>
      <x:c r="AK142" s="35" t="str">
        <x:v>Yes</x:v>
      </x:c>
      <x:c r="AL142" s="38" t="n">
        <x:f>IF(AA142=0,0,AB142/AA142)</x:f>
        <x:v>1</x:v>
      </x:c>
      <x:c r="AM142" s="38" t="n">
        <x:f>IF(AB142=0,0,AC142/AB142)</x:f>
        <x:v>0.4</x:v>
      </x:c>
      <x:c r="AN142" s="37" t="n">
        <x:f>ROUND((AD142*0.20+AE142*0.20+AF142*0.25+AG142*0.15+MIN(100,AC142*12)*0.20),1)</x:f>
        <x:v>65.8</x:v>
      </x:c>
      <x:c r="AO142" s="37" t="n">
        <x:f>ROUND(MAX(0,MIN(100,(X142*0.35)+(W142/45*100*0.20)+((5-O142)/4*100*0.15)+((5-P142)/4*100*0.10)+((6-Y142)/5*100*0.10)+((100-Z142)*0.10))),1)</x:f>
        <x:v>50.7</x:v>
      </x:c>
      <x:c r="AP142" s="37" t="str">
        <x:f>IF(AO142&gt;=70,"High",IF(AO142&gt;=40,"Moderate","Low"))</x:f>
        <x:v>Moderate</x:v>
      </x:c>
      <x:c r="AQ142" s="37" t="n">
        <x:f>ROUND(MAX(0,MIN(100,(O142/4*100*0.25)+(P142/4*100*0.20)+(Q142/4*100*0.15)+(Y142/5*100*0.20)+(100-AO142)*0.20)),1)</x:f>
        <x:v>64.6</x:v>
      </x:c>
      <x:c r="AR142" s="37" t="n">
        <x:f>ROUND((AI142*0.20+AJ142*0.15+AN142*0.18+AG142*0.12+Z142*0.15+AQ142*0.20),1)</x:f>
        <x:v>79.7</x:v>
      </x:c>
      <x:c r="AS142" s="39" t="n">
        <x:f>ROUND((AC142*AF142*120)+(AH142*350)+(MAX(0,AI142-75)*220)+(MAX(0,AQ142-60)*100),0)</x:f>
        <x:v>25566</x:v>
      </x:c>
    </x:row>
    <x:row r="143">
      <x:c r="A143" s="35" t="n">
        <x:v>142</x:v>
      </x:c>
      <x:c r="B143" s="35" t="n">
        <x:v>32</x:v>
      </x:c>
      <x:c r="C143" s="35" t="str">
        <x:v>Male</x:v>
      </x:c>
      <x:c r="D143" s="35" t="str">
        <x:v>Sales</x:v>
      </x:c>
      <x:c r="E143" s="35" t="str">
        <x:v>Sales Representative</x:v>
      </x:c>
      <x:c r="F143" s="35" t="str">
        <x:v>Human Resources</x:v>
      </x:c>
      <x:c r="G143" s="35" t="str">
        <x:v>Married</x:v>
      </x:c>
      <x:c r="H143" s="35" t="n">
        <x:v>2</x:v>
      </x:c>
      <x:c r="I143" s="36" t="n">
        <x:v>8160</x:v>
      </x:c>
      <x:c r="J143" s="35" t="n">
        <x:v>8</x:v>
      </x:c>
      <x:c r="K143" s="35" t="n">
        <x:v>5</x:v>
      </x:c>
      <x:c r="L143" s="35" t="n">
        <x:v>2</x:v>
      </x:c>
      <x:c r="M143" s="35" t="n">
        <x:v>3</x:v>
      </x:c>
      <x:c r="N143" s="35" t="str">
        <x:v>No</x:v>
      </x:c>
      <x:c r="O143" s="35" t="n">
        <x:v>3</x:v>
      </x:c>
      <x:c r="P143" s="35" t="n">
        <x:v>2</x:v>
      </x:c>
      <x:c r="Q143" s="35" t="n">
        <x:v>3</x:v>
      </x:c>
      <x:c r="R143" s="35" t="n">
        <x:v>3</x:v>
      </x:c>
      <x:c r="S143" s="35" t="n">
        <x:v>3</x:v>
      </x:c>
      <x:c r="T143" s="35" t="n">
        <x:v>3</x:v>
      </x:c>
      <x:c r="U143" s="35" t="n">
        <x:v>2</x:v>
      </x:c>
      <x:c r="V143" s="35" t="n">
        <x:v>10</x:v>
      </x:c>
      <x:c r="W143" s="35" t="n">
        <x:v>0</x:v>
      </x:c>
      <x:c r="X143" s="35" t="n">
        <x:v>63</x:v>
      </x:c>
      <x:c r="Y143" s="35" t="n">
        <x:v>5</x:v>
      </x:c>
      <x:c r="Z143" s="35" t="n">
        <x:v>91</x:v>
      </x:c>
      <x:c r="AA143" s="35" t="n">
        <x:v>4</x:v>
      </x:c>
      <x:c r="AB143" s="35" t="n">
        <x:v>4</x:v>
      </x:c>
      <x:c r="AC143" s="35" t="n">
        <x:v>3</x:v>
      </x:c>
      <x:c r="AD143" s="35" t="n">
        <x:v>51</x:v>
      </x:c>
      <x:c r="AE143" s="35" t="n">
        <x:v>81</x:v>
      </x:c>
      <x:c r="AF143" s="35" t="n">
        <x:v>71</x:v>
      </x:c>
      <x:c r="AG143" s="35" t="n">
        <x:v>87</x:v>
      </x:c>
      <x:c r="AH143" s="35" t="n">
        <x:v>4</x:v>
      </x:c>
      <x:c r="AI143" s="37" t="n">
        <x:v>100</x:v>
      </x:c>
      <x:c r="AJ143" s="37" t="n">
        <x:v>94</x:v>
      </x:c>
      <x:c r="AK143" s="35" t="str">
        <x:v>No</x:v>
      </x:c>
      <x:c r="AL143" s="38" t="n">
        <x:f>IF(AA143=0,0,AB143/AA143)</x:f>
        <x:v>1</x:v>
      </x:c>
      <x:c r="AM143" s="38" t="n">
        <x:f>IF(AB143=0,0,AC143/AB143)</x:f>
        <x:v>0.75</x:v>
      </x:c>
      <x:c r="AN143" s="37" t="n">
        <x:f>ROUND((AD143*0.20+AE143*0.20+AF143*0.25+AG143*0.15+MIN(100,AC143*12)*0.20),1)</x:f>
        <x:v>64.4</x:v>
      </x:c>
      <x:c r="AO143" s="37" t="n">
        <x:f>ROUND(MAX(0,MIN(100,(X143*0.35)+(W143/45*100*0.20)+((5-O143)/4*100*0.15)+((5-P143)/4*100*0.10)+((6-Y143)/5*100*0.10)+((100-Z143)*0.10))),1)</x:f>
        <x:v>39.9</x:v>
      </x:c>
      <x:c r="AP143" s="37" t="str">
        <x:f>IF(AO143&gt;=70,"High",IF(AO143&gt;=40,"Moderate","Low"))</x:f>
        <x:v>Low</x:v>
      </x:c>
      <x:c r="AQ143" s="37" t="n">
        <x:f>ROUND(MAX(0,MIN(100,(O143/4*100*0.25)+(P143/4*100*0.20)+(Q143/4*100*0.15)+(Y143/5*100*0.20)+(100-AO143)*0.20)),1)</x:f>
        <x:v>72</x:v>
      </x:c>
      <x:c r="AR143" s="37" t="n">
        <x:f>ROUND((AI143*0.20+AJ143*0.15+AN143*0.18+AG143*0.12+Z143*0.15+AQ143*0.20),1)</x:f>
        <x:v>84.2</x:v>
      </x:c>
      <x:c r="AS143" s="39" t="n">
        <x:f>ROUND((AC143*AF143*120)+(AH143*350)+(MAX(0,AI143-75)*220)+(MAX(0,AQ143-60)*100),0)</x:f>
        <x:v>33660</x:v>
      </x:c>
    </x:row>
    <x:row r="144">
      <x:c r="A144" s="35" t="n">
        <x:v>143</x:v>
      </x:c>
      <x:c r="B144" s="35" t="n">
        <x:v>21</x:v>
      </x:c>
      <x:c r="C144" s="35" t="str">
        <x:v>Female</x:v>
      </x:c>
      <x:c r="D144" s="35" t="str">
        <x:v>Research &amp; Development</x:v>
      </x:c>
      <x:c r="E144" s="35" t="str">
        <x:v>Research Scientist</x:v>
      </x:c>
      <x:c r="F144" s="35" t="str">
        <x:v>Human Resources</x:v>
      </x:c>
      <x:c r="G144" s="35" t="str">
        <x:v>Married</x:v>
      </x:c>
      <x:c r="H144" s="35" t="n">
        <x:v>1</x:v>
      </x:c>
      <x:c r="I144" s="36" t="n">
        <x:v>6130</x:v>
      </x:c>
      <x:c r="J144" s="35" t="n">
        <x:v>0</x:v>
      </x:c>
      <x:c r="K144" s="35" t="n">
        <x:v>0</x:v>
      </x:c>
      <x:c r="L144" s="35" t="n">
        <x:v>0</x:v>
      </x:c>
      <x:c r="M144" s="35" t="n">
        <x:v>10</x:v>
      </x:c>
      <x:c r="N144" s="35" t="str">
        <x:v>No</x:v>
      </x:c>
      <x:c r="O144" s="35" t="n">
        <x:v>2</x:v>
      </x:c>
      <x:c r="P144" s="35" t="n">
        <x:v>3</x:v>
      </x:c>
      <x:c r="Q144" s="35" t="n">
        <x:v>2</x:v>
      </x:c>
      <x:c r="R144" s="35" t="n">
        <x:v>3</x:v>
      </x:c>
      <x:c r="S144" s="35" t="n">
        <x:v>3</x:v>
      </x:c>
      <x:c r="T144" s="35" t="n">
        <x:v>3</x:v>
      </x:c>
      <x:c r="U144" s="35" t="n">
        <x:v>0</x:v>
      </x:c>
      <x:c r="V144" s="35" t="n">
        <x:v>7</x:v>
      </x:c>
      <x:c r="W144" s="35" t="n">
        <x:v>3</x:v>
      </x:c>
      <x:c r="X144" s="35" t="n">
        <x:v>61</x:v>
      </x:c>
      <x:c r="Y144" s="35" t="n">
        <x:v>4</x:v>
      </x:c>
      <x:c r="Z144" s="35" t="n">
        <x:v>100</x:v>
      </x:c>
      <x:c r="AA144" s="35" t="n">
        <x:v>8</x:v>
      </x:c>
      <x:c r="AB144" s="35" t="n">
        <x:v>6</x:v>
      </x:c>
      <x:c r="AC144" s="35" t="n">
        <x:v>4</x:v>
      </x:c>
      <x:c r="AD144" s="35" t="n">
        <x:v>92</x:v>
      </x:c>
      <x:c r="AE144" s="35" t="n">
        <x:v>86</x:v>
      </x:c>
      <x:c r="AF144" s="35" t="n">
        <x:v>64</x:v>
      </x:c>
      <x:c r="AG144" s="35" t="n">
        <x:v>86</x:v>
      </x:c>
      <x:c r="AH144" s="35" t="n">
        <x:v>5</x:v>
      </x:c>
      <x:c r="AI144" s="37" t="n">
        <x:v>92.5</x:v>
      </x:c>
      <x:c r="AJ144" s="37" t="n">
        <x:v>98.7</x:v>
      </x:c>
      <x:c r="AK144" s="35" t="str">
        <x:v>No</x:v>
      </x:c>
      <x:c r="AL144" s="38" t="n">
        <x:f>IF(AA144=0,0,AB144/AA144)</x:f>
        <x:v>0.75</x:v>
      </x:c>
      <x:c r="AM144" s="38" t="n">
        <x:f>IF(AB144=0,0,AC144/AB144)</x:f>
        <x:v>0.6666666666666666</x:v>
      </x:c>
      <x:c r="AN144" s="37" t="n">
        <x:f>ROUND((AD144*0.20+AE144*0.20+AF144*0.25+AG144*0.15+MIN(100,AC144*12)*0.20),1)</x:f>
        <x:v>74.1</x:v>
      </x:c>
      <x:c r="AO144" s="37" t="n">
        <x:f>ROUND(MAX(0,MIN(100,(X144*0.35)+(W144/45*100*0.20)+((5-O144)/4*100*0.15)+((5-P144)/4*100*0.10)+((6-Y144)/5*100*0.10)+((100-Z144)*0.10))),1)</x:f>
        <x:v>42.9</x:v>
      </x:c>
      <x:c r="AP144" s="37" t="str">
        <x:f>IF(AO144&gt;=70,"High",IF(AO144&gt;=40,"Moderate","Low"))</x:f>
        <x:v>Moderate</x:v>
      </x:c>
      <x:c r="AQ144" s="37" t="n">
        <x:f>ROUND(MAX(0,MIN(100,(O144/4*100*0.25)+(P144/4*100*0.20)+(Q144/4*100*0.15)+(Y144/5*100*0.20)+(100-AO144)*0.20)),1)</x:f>
        <x:v>62.4</x:v>
      </x:c>
      <x:c r="AR144" s="37" t="n">
        <x:f>ROUND((AI144*0.20+AJ144*0.15+AN144*0.18+AG144*0.12+Z144*0.15+AQ144*0.20),1)</x:f>
        <x:v>84.4</x:v>
      </x:c>
      <x:c r="AS144" s="39" t="n">
        <x:f>ROUND((AC144*AF144*120)+(AH144*350)+(MAX(0,AI144-75)*220)+(MAX(0,AQ144-60)*100),0)</x:f>
        <x:v>36560</x:v>
      </x:c>
    </x:row>
    <x:row r="145">
      <x:c r="A145" s="35" t="n">
        <x:v>144</x:v>
      </x:c>
      <x:c r="B145" s="35" t="n">
        <x:v>39</x:v>
      </x:c>
      <x:c r="C145" s="35" t="str">
        <x:v>Female</x:v>
      </x:c>
      <x:c r="D145" s="35" t="str">
        <x:v>Human Resources</x:v>
      </x:c>
      <x:c r="E145" s="35" t="str">
        <x:v>Talent Development Specialist</x:v>
      </x:c>
      <x:c r="F145" s="35" t="str">
        <x:v>Life Sciences</x:v>
      </x:c>
      <x:c r="G145" s="35" t="str">
        <x:v>Married</x:v>
      </x:c>
      <x:c r="H145" s="35" t="n">
        <x:v>3</x:v>
      </x:c>
      <x:c r="I145" s="36" t="n">
        <x:v>15580</x:v>
      </x:c>
      <x:c r="J145" s="35" t="n">
        <x:v>11</x:v>
      </x:c>
      <x:c r="K145" s="35" t="n">
        <x:v>4</x:v>
      </x:c>
      <x:c r="L145" s="35" t="n">
        <x:v>2</x:v>
      </x:c>
      <x:c r="M145" s="35" t="n">
        <x:v>37</x:v>
      </x:c>
      <x:c r="N145" s="35" t="str">
        <x:v>No</x:v>
      </x:c>
      <x:c r="O145" s="35" t="n">
        <x:v>2</x:v>
      </x:c>
      <x:c r="P145" s="35" t="n">
        <x:v>3</x:v>
      </x:c>
      <x:c r="Q145" s="35" t="n">
        <x:v>2</x:v>
      </x:c>
      <x:c r="R145" s="35" t="n">
        <x:v>4</x:v>
      </x:c>
      <x:c r="S145" s="35" t="n">
        <x:v>4</x:v>
      </x:c>
      <x:c r="T145" s="35" t="n">
        <x:v>4</x:v>
      </x:c>
      <x:c r="U145" s="35" t="n">
        <x:v>0</x:v>
      </x:c>
      <x:c r="V145" s="35" t="n">
        <x:v>8</x:v>
      </x:c>
      <x:c r="W145" s="35" t="n">
        <x:v>0</x:v>
      </x:c>
      <x:c r="X145" s="35" t="n">
        <x:v>65</x:v>
      </x:c>
      <x:c r="Y145" s="35" t="n">
        <x:v>5</x:v>
      </x:c>
      <x:c r="Z145" s="35" t="n">
        <x:v>100</x:v>
      </x:c>
      <x:c r="AA145" s="35" t="n">
        <x:v>8</x:v>
      </x:c>
      <x:c r="AB145" s="35" t="n">
        <x:v>8</x:v>
      </x:c>
      <x:c r="AC145" s="35" t="n">
        <x:v>7</x:v>
      </x:c>
      <x:c r="AD145" s="35" t="n">
        <x:v>87</x:v>
      </x:c>
      <x:c r="AE145" s="35" t="n">
        <x:v>91</x:v>
      </x:c>
      <x:c r="AF145" s="35" t="n">
        <x:v>100</x:v>
      </x:c>
      <x:c r="AG145" s="35" t="n">
        <x:v>100</x:v>
      </x:c>
      <x:c r="AH145" s="35" t="n">
        <x:v>12</x:v>
      </x:c>
      <x:c r="AI145" s="37" t="n">
        <x:v>100</x:v>
      </x:c>
      <x:c r="AJ145" s="37" t="n">
        <x:v>100</x:v>
      </x:c>
      <x:c r="AK145" s="35" t="str">
        <x:v>No</x:v>
      </x:c>
      <x:c r="AL145" s="38" t="n">
        <x:f>IF(AA145=0,0,AB145/AA145)</x:f>
        <x:v>1</x:v>
      </x:c>
      <x:c r="AM145" s="38" t="n">
        <x:f>IF(AB145=0,0,AC145/AB145)</x:f>
        <x:v>0.875</x:v>
      </x:c>
      <x:c r="AN145" s="37" t="n">
        <x:f>ROUND((AD145*0.20+AE145*0.20+AF145*0.25+AG145*0.15+MIN(100,AC145*12)*0.20),1)</x:f>
        <x:v>92.4</x:v>
      </x:c>
      <x:c r="AO145" s="37" t="n">
        <x:f>ROUND(MAX(0,MIN(100,(X145*0.35)+(W145/45*100*0.20)+((5-O145)/4*100*0.15)+((5-P145)/4*100*0.10)+((6-Y145)/5*100*0.10)+((100-Z145)*0.10))),1)</x:f>
        <x:v>41</x:v>
      </x:c>
      <x:c r="AP145" s="37" t="str">
        <x:f>IF(AO145&gt;=70,"High",IF(AO145&gt;=40,"Moderate","Low"))</x:f>
        <x:v>Moderate</x:v>
      </x:c>
      <x:c r="AQ145" s="37" t="n">
        <x:f>ROUND(MAX(0,MIN(100,(O145/4*100*0.25)+(P145/4*100*0.20)+(Q145/4*100*0.15)+(Y145/5*100*0.20)+(100-AO145)*0.20)),1)</x:f>
        <x:v>66.8</x:v>
      </x:c>
      <x:c r="AR145" s="37" t="n">
        <x:f>ROUND((AI145*0.20+AJ145*0.15+AN145*0.18+AG145*0.12+Z145*0.15+AQ145*0.20),1)</x:f>
        <x:v>92</x:v>
      </x:c>
      <x:c r="AS145" s="39" t="n">
        <x:f>ROUND((AC145*AF145*120)+(AH145*350)+(MAX(0,AI145-75)*220)+(MAX(0,AQ145-60)*100),0)</x:f>
        <x:v>94380</x:v>
      </x:c>
    </x:row>
    <x:row r="146">
      <x:c r="A146" s="35" t="n">
        <x:v>145</x:v>
      </x:c>
      <x:c r="B146" s="35" t="n">
        <x:v>45</x:v>
      </x:c>
      <x:c r="C146" s="35" t="str">
        <x:v>Male</x:v>
      </x:c>
      <x:c r="D146" s="35" t="str">
        <x:v>Research &amp; Development</x:v>
      </x:c>
      <x:c r="E146" s="35" t="str">
        <x:v>Data Scientist</x:v>
      </x:c>
      <x:c r="F146" s="35" t="str">
        <x:v>Technical Degree</x:v>
      </x:c>
      <x:c r="G146" s="35" t="str">
        <x:v>Married</x:v>
      </x:c>
      <x:c r="H146" s="35" t="n">
        <x:v>3</x:v>
      </x:c>
      <x:c r="I146" s="36" t="n">
        <x:v>14150</x:v>
      </x:c>
      <x:c r="J146" s="35" t="n">
        <x:v>15</x:v>
      </x:c>
      <x:c r="K146" s="35" t="n">
        <x:v>9</x:v>
      </x:c>
      <x:c r="L146" s="35" t="n">
        <x:v>6</x:v>
      </x:c>
      <x:c r="M146" s="35" t="n">
        <x:v>10</x:v>
      </x:c>
      <x:c r="N146" s="35" t="str">
        <x:v>No</x:v>
      </x:c>
      <x:c r="O146" s="35" t="n">
        <x:v>3</x:v>
      </x:c>
      <x:c r="P146" s="35" t="n">
        <x:v>3</x:v>
      </x:c>
      <x:c r="Q146" s="35" t="n">
        <x:v>2</x:v>
      </x:c>
      <x:c r="R146" s="35" t="n">
        <x:v>3</x:v>
      </x:c>
      <x:c r="S146" s="35" t="n">
        <x:v>3</x:v>
      </x:c>
      <x:c r="T146" s="35" t="n">
        <x:v>6</x:v>
      </x:c>
      <x:c r="U146" s="35" t="n">
        <x:v>0</x:v>
      </x:c>
      <x:c r="V146" s="35" t="n">
        <x:v>6</x:v>
      </x:c>
      <x:c r="W146" s="35" t="n">
        <x:v>8</x:v>
      </x:c>
      <x:c r="X146" s="35" t="n">
        <x:v>68</x:v>
      </x:c>
      <x:c r="Y146" s="35" t="n">
        <x:v>5</x:v>
      </x:c>
      <x:c r="Z146" s="35" t="n">
        <x:v>100</x:v>
      </x:c>
      <x:c r="AA146" s="35" t="n">
        <x:v>3</x:v>
      </x:c>
      <x:c r="AB146" s="35" t="n">
        <x:v>0</x:v>
      </x:c>
      <x:c r="AC146" s="35" t="n">
        <x:v>0</x:v>
      </x:c>
      <x:c r="AD146" s="35" t="n">
        <x:v>76</x:v>
      </x:c>
      <x:c r="AE146" s="35" t="n">
        <x:v>81</x:v>
      </x:c>
      <x:c r="AF146" s="35" t="n">
        <x:v>82</x:v>
      </x:c>
      <x:c r="AG146" s="35" t="n">
        <x:v>93</x:v>
      </x:c>
      <x:c r="AH146" s="35" t="n">
        <x:v>4</x:v>
      </x:c>
      <x:c r="AI146" s="37" t="n">
        <x:v>92.5</x:v>
      </x:c>
      <x:c r="AJ146" s="37" t="n">
        <x:v>90</x:v>
      </x:c>
      <x:c r="AK146" s="35" t="str">
        <x:v>No</x:v>
      </x:c>
      <x:c r="AL146" s="38" t="n">
        <x:f>IF(AA146=0,0,AB146/AA146)</x:f>
        <x:v>0</x:v>
      </x:c>
      <x:c r="AM146" s="38" t="n">
        <x:f>IF(AB146=0,0,AC146/AB146)</x:f>
        <x:v>0</x:v>
      </x:c>
      <x:c r="AN146" s="37" t="n">
        <x:f>ROUND((AD146*0.20+AE146*0.20+AF146*0.25+AG146*0.15+MIN(100,AC146*12)*0.20),1)</x:f>
        <x:v>65.9</x:v>
      </x:c>
      <x:c r="AO146" s="37" t="n">
        <x:f>ROUND(MAX(0,MIN(100,(X146*0.35)+(W146/45*100*0.20)+((5-O146)/4*100*0.15)+((5-P146)/4*100*0.10)+((6-Y146)/5*100*0.10)+((100-Z146)*0.10))),1)</x:f>
        <x:v>41.9</x:v>
      </x:c>
      <x:c r="AP146" s="37" t="str">
        <x:f>IF(AO146&gt;=70,"High",IF(AO146&gt;=40,"Moderate","Low"))</x:f>
        <x:v>Moderate</x:v>
      </x:c>
      <x:c r="AQ146" s="37" t="n">
        <x:f>ROUND(MAX(0,MIN(100,(O146/4*100*0.25)+(P146/4*100*0.20)+(Q146/4*100*0.15)+(Y146/5*100*0.20)+(100-AO146)*0.20)),1)</x:f>
        <x:v>72.9</x:v>
      </x:c>
      <x:c r="AR146" s="37" t="n">
        <x:f>ROUND((AI146*0.20+AJ146*0.15+AN146*0.18+AG146*0.12+Z146*0.15+AQ146*0.20),1)</x:f>
        <x:v>84.6</x:v>
      </x:c>
      <x:c r="AS146" s="39" t="n">
        <x:f>ROUND((AC146*AF146*120)+(AH146*350)+(MAX(0,AI146-75)*220)+(MAX(0,AQ146-60)*100),0)</x:f>
        <x:v>6540</x:v>
      </x:c>
    </x:row>
    <x:row r="147">
      <x:c r="A147" s="35" t="n">
        <x:v>146</x:v>
      </x:c>
      <x:c r="B147" s="35" t="n">
        <x:v>43</x:v>
      </x:c>
      <x:c r="C147" s="35" t="str">
        <x:v>Male</x:v>
      </x:c>
      <x:c r="D147" s="35" t="str">
        <x:v>Finance</x:v>
      </x:c>
      <x:c r="E147" s="35" t="str">
        <x:v>Financial Analyst</x:v>
      </x:c>
      <x:c r="F147" s="35" t="str">
        <x:v>Human Resources</x:v>
      </x:c>
      <x:c r="G147" s="35" t="str">
        <x:v>Married</x:v>
      </x:c>
      <x:c r="H147" s="35" t="n">
        <x:v>3</x:v>
      </x:c>
      <x:c r="I147" s="36" t="n">
        <x:v>15500</x:v>
      </x:c>
      <x:c r="J147" s="35" t="n">
        <x:v>11</x:v>
      </x:c>
      <x:c r="K147" s="35" t="n">
        <x:v>6</x:v>
      </x:c>
      <x:c r="L147" s="35" t="n">
        <x:v>3</x:v>
      </x:c>
      <x:c r="M147" s="35" t="n">
        <x:v>11</x:v>
      </x:c>
      <x:c r="N147" s="35" t="str">
        <x:v>No</x:v>
      </x:c>
      <x:c r="O147" s="35" t="n">
        <x:v>2</x:v>
      </x:c>
      <x:c r="P147" s="35" t="n">
        <x:v>4</x:v>
      </x:c>
      <x:c r="Q147" s="35" t="n">
        <x:v>3</x:v>
      </x:c>
      <x:c r="R147" s="35" t="n">
        <x:v>2</x:v>
      </x:c>
      <x:c r="S147" s="35" t="n">
        <x:v>3</x:v>
      </x:c>
      <x:c r="T147" s="35" t="n">
        <x:v>3</x:v>
      </x:c>
      <x:c r="U147" s="35" t="n">
        <x:v>0</x:v>
      </x:c>
      <x:c r="V147" s="35" t="n">
        <x:v>4</x:v>
      </x:c>
      <x:c r="W147" s="35" t="n">
        <x:v>1</x:v>
      </x:c>
      <x:c r="X147" s="35" t="n">
        <x:v>40</x:v>
      </x:c>
      <x:c r="Y147" s="35" t="n">
        <x:v>5</x:v>
      </x:c>
      <x:c r="Z147" s="35" t="n">
        <x:v>100</x:v>
      </x:c>
      <x:c r="AA147" s="35" t="n">
        <x:v>6</x:v>
      </x:c>
      <x:c r="AB147" s="35" t="n">
        <x:v>6</x:v>
      </x:c>
      <x:c r="AC147" s="35" t="n">
        <x:v>5</x:v>
      </x:c>
      <x:c r="AD147" s="35" t="n">
        <x:v>70</x:v>
      </x:c>
      <x:c r="AE147" s="35" t="n">
        <x:v>90</x:v>
      </x:c>
      <x:c r="AF147" s="35" t="n">
        <x:v>80</x:v>
      </x:c>
      <x:c r="AG147" s="35" t="n">
        <x:v>71</x:v>
      </x:c>
      <x:c r="AH147" s="35" t="n">
        <x:v>5</x:v>
      </x:c>
      <x:c r="AI147" s="37" t="n">
        <x:v>95.8</x:v>
      </x:c>
      <x:c r="AJ147" s="37" t="n">
        <x:v>99.8</x:v>
      </x:c>
      <x:c r="AK147" s="35" t="str">
        <x:v>No</x:v>
      </x:c>
      <x:c r="AL147" s="38" t="n">
        <x:f>IF(AA147=0,0,AB147/AA147)</x:f>
        <x:v>1</x:v>
      </x:c>
      <x:c r="AM147" s="38" t="n">
        <x:f>IF(AB147=0,0,AC147/AB147)</x:f>
        <x:v>0.8333333333333334</x:v>
      </x:c>
      <x:c r="AN147" s="37" t="n">
        <x:f>ROUND((AD147*0.20+AE147*0.20+AF147*0.25+AG147*0.15+MIN(100,AC147*12)*0.20),1)</x:f>
        <x:v>74.7</x:v>
      </x:c>
      <x:c r="AO147" s="37" t="n">
        <x:f>ROUND(MAX(0,MIN(100,(X147*0.35)+(W147/45*100*0.20)+((5-O147)/4*100*0.15)+((5-P147)/4*100*0.10)+((6-Y147)/5*100*0.10)+((100-Z147)*0.10))),1)</x:f>
        <x:v>30.2</x:v>
      </x:c>
      <x:c r="AP147" s="37" t="str">
        <x:f>IF(AO147&gt;=70,"High",IF(AO147&gt;=40,"Moderate","Low"))</x:f>
        <x:v>Low</x:v>
      </x:c>
      <x:c r="AQ147" s="37" t="n">
        <x:f>ROUND(MAX(0,MIN(100,(O147/4*100*0.25)+(P147/4*100*0.20)+(Q147/4*100*0.15)+(Y147/5*100*0.20)+(100-AO147)*0.20)),1)</x:f>
        <x:v>77.7</x:v>
      </x:c>
      <x:c r="AR147" s="37" t="n">
        <x:f>ROUND((AI147*0.20+AJ147*0.15+AN147*0.18+AG147*0.12+Z147*0.15+AQ147*0.20),1)</x:f>
        <x:v>86.6</x:v>
      </x:c>
      <x:c r="AS147" s="39" t="n">
        <x:f>ROUND((AC147*AF147*120)+(AH147*350)+(MAX(0,AI147-75)*220)+(MAX(0,AQ147-60)*100),0)</x:f>
        <x:v>56096</x:v>
      </x:c>
    </x:row>
    <x:row r="148">
      <x:c r="A148" s="35" t="n">
        <x:v>147</x:v>
      </x:c>
      <x:c r="B148" s="35" t="n">
        <x:v>46</x:v>
      </x:c>
      <x:c r="C148" s="35" t="str">
        <x:v>Female</x:v>
      </x:c>
      <x:c r="D148" s="35" t="str">
        <x:v>Research &amp; Development</x:v>
      </x:c>
      <x:c r="E148" s="35" t="str">
        <x:v>Data Scientist</x:v>
      </x:c>
      <x:c r="F148" s="35" t="str">
        <x:v>Medical</x:v>
      </x:c>
      <x:c r="G148" s="35" t="str">
        <x:v>Married</x:v>
      </x:c>
      <x:c r="H148" s="35" t="n">
        <x:v>3</x:v>
      </x:c>
      <x:c r="I148" s="36" t="n">
        <x:v>13680</x:v>
      </x:c>
      <x:c r="J148" s="35" t="n">
        <x:v>17</x:v>
      </x:c>
      <x:c r="K148" s="35" t="n">
        <x:v>12</x:v>
      </x:c>
      <x:c r="L148" s="35" t="n">
        <x:v>9</x:v>
      </x:c>
      <x:c r="M148" s="35" t="n">
        <x:v>6</x:v>
      </x:c>
      <x:c r="N148" s="35" t="str">
        <x:v>No</x:v>
      </x:c>
      <x:c r="O148" s="35" t="n">
        <x:v>2</x:v>
      </x:c>
      <x:c r="P148" s="35" t="n">
        <x:v>3</x:v>
      </x:c>
      <x:c r="Q148" s="35" t="n">
        <x:v>3</x:v>
      </x:c>
      <x:c r="R148" s="35" t="n">
        <x:v>3</x:v>
      </x:c>
      <x:c r="S148" s="35" t="n">
        <x:v>4</x:v>
      </x:c>
      <x:c r="T148" s="35" t="n">
        <x:v>3</x:v>
      </x:c>
      <x:c r="U148" s="35" t="n">
        <x:v>0</x:v>
      </x:c>
      <x:c r="V148" s="35" t="n">
        <x:v>8</x:v>
      </x:c>
      <x:c r="W148" s="35" t="n">
        <x:v>0</x:v>
      </x:c>
      <x:c r="X148" s="35" t="n">
        <x:v>82</x:v>
      </x:c>
      <x:c r="Y148" s="35" t="n">
        <x:v>4</x:v>
      </x:c>
      <x:c r="Z148" s="35" t="n">
        <x:v>100</x:v>
      </x:c>
      <x:c r="AA148" s="35" t="n">
        <x:v>6</x:v>
      </x:c>
      <x:c r="AB148" s="35" t="n">
        <x:v>3</x:v>
      </x:c>
      <x:c r="AC148" s="35" t="n">
        <x:v>3</x:v>
      </x:c>
      <x:c r="AD148" s="35" t="n">
        <x:v>100</x:v>
      </x:c>
      <x:c r="AE148" s="35" t="n">
        <x:v>81</x:v>
      </x:c>
      <x:c r="AF148" s="35" t="n">
        <x:v>86</x:v>
      </x:c>
      <x:c r="AG148" s="35" t="n">
        <x:v>88</x:v>
      </x:c>
      <x:c r="AH148" s="35" t="n">
        <x:v>9</x:v>
      </x:c>
      <x:c r="AI148" s="37" t="n">
        <x:v>100</x:v>
      </x:c>
      <x:c r="AJ148" s="37" t="n">
        <x:v>100</x:v>
      </x:c>
      <x:c r="AK148" s="35" t="str">
        <x:v>No</x:v>
      </x:c>
      <x:c r="AL148" s="38" t="n">
        <x:f>IF(AA148=0,0,AB148/AA148)</x:f>
        <x:v>0.5</x:v>
      </x:c>
      <x:c r="AM148" s="38" t="n">
        <x:f>IF(AB148=0,0,AC148/AB148)</x:f>
        <x:v>1</x:v>
      </x:c>
      <x:c r="AN148" s="37" t="n">
        <x:f>ROUND((AD148*0.20+AE148*0.20+AF148*0.25+AG148*0.15+MIN(100,AC148*12)*0.20),1)</x:f>
        <x:v>78.1</x:v>
      </x:c>
      <x:c r="AO148" s="37" t="n">
        <x:f>ROUND(MAX(0,MIN(100,(X148*0.35)+(W148/45*100*0.20)+((5-O148)/4*100*0.15)+((5-P148)/4*100*0.10)+((6-Y148)/5*100*0.10)+((100-Z148)*0.10))),1)</x:f>
        <x:v>49</x:v>
      </x:c>
      <x:c r="AP148" s="37" t="str">
        <x:f>IF(AO148&gt;=70,"High",IF(AO148&gt;=40,"Moderate","Low"))</x:f>
        <x:v>Moderate</x:v>
      </x:c>
      <x:c r="AQ148" s="37" t="n">
        <x:f>ROUND(MAX(0,MIN(100,(O148/4*100*0.25)+(P148/4*100*0.20)+(Q148/4*100*0.15)+(Y148/5*100*0.20)+(100-AO148)*0.20)),1)</x:f>
        <x:v>65</x:v>
      </x:c>
      <x:c r="AR148" s="37" t="n">
        <x:f>ROUND((AI148*0.20+AJ148*0.15+AN148*0.18+AG148*0.12+Z148*0.15+AQ148*0.20),1)</x:f>
        <x:v>87.6</x:v>
      </x:c>
      <x:c r="AS148" s="39" t="n">
        <x:f>ROUND((AC148*AF148*120)+(AH148*350)+(MAX(0,AI148-75)*220)+(MAX(0,AQ148-60)*100),0)</x:f>
        <x:v>40110</x:v>
      </x:c>
    </x:row>
    <x:row r="149">
      <x:c r="A149" s="35" t="n">
        <x:v>148</x:v>
      </x:c>
      <x:c r="B149" s="35" t="n">
        <x:v>31</x:v>
      </x:c>
      <x:c r="C149" s="35" t="str">
        <x:v>Male</x:v>
      </x:c>
      <x:c r="D149" s="35" t="str">
        <x:v>Information Technology</x:v>
      </x:c>
      <x:c r="E149" s="35" t="str">
        <x:v>Systems Analyst</x:v>
      </x:c>
      <x:c r="F149" s="35" t="str">
        <x:v>Technical Degree</x:v>
      </x:c>
      <x:c r="G149" s="35" t="str">
        <x:v>Married</x:v>
      </x:c>
      <x:c r="H149" s="35" t="n">
        <x:v>1</x:v>
      </x:c>
      <x:c r="I149" s="36" t="n">
        <x:v>4000</x:v>
      </x:c>
      <x:c r="J149" s="35" t="n">
        <x:v>6</x:v>
      </x:c>
      <x:c r="K149" s="35" t="n">
        <x:v>2</x:v>
      </x:c>
      <x:c r="L149" s="35" t="n">
        <x:v>2</x:v>
      </x:c>
      <x:c r="M149" s="35" t="n">
        <x:v>17</x:v>
      </x:c>
      <x:c r="N149" s="35" t="str">
        <x:v>No</x:v>
      </x:c>
      <x:c r="O149" s="35" t="n">
        <x:v>3</x:v>
      </x:c>
      <x:c r="P149" s="35" t="n">
        <x:v>3</x:v>
      </x:c>
      <x:c r="Q149" s="35" t="n">
        <x:v>3</x:v>
      </x:c>
      <x:c r="R149" s="35" t="n">
        <x:v>3</x:v>
      </x:c>
      <x:c r="S149" s="35" t="n">
        <x:v>3</x:v>
      </x:c>
      <x:c r="T149" s="35" t="n">
        <x:v>4</x:v>
      </x:c>
      <x:c r="U149" s="35" t="n">
        <x:v>2</x:v>
      </x:c>
      <x:c r="V149" s="35" t="n">
        <x:v>5</x:v>
      </x:c>
      <x:c r="W149" s="35" t="n">
        <x:v>2</x:v>
      </x:c>
      <x:c r="X149" s="35" t="n">
        <x:v>72</x:v>
      </x:c>
      <x:c r="Y149" s="35" t="n">
        <x:v>5</x:v>
      </x:c>
      <x:c r="Z149" s="35" t="n">
        <x:v>100</x:v>
      </x:c>
      <x:c r="AA149" s="35" t="n">
        <x:v>5</x:v>
      </x:c>
      <x:c r="AB149" s="35" t="n">
        <x:v>5</x:v>
      </x:c>
      <x:c r="AC149" s="35" t="n">
        <x:v>3</x:v>
      </x:c>
      <x:c r="AD149" s="35" t="n">
        <x:v>72</x:v>
      </x:c>
      <x:c r="AE149" s="35" t="n">
        <x:v>78</x:v>
      </x:c>
      <x:c r="AF149" s="35" t="n">
        <x:v>55</x:v>
      </x:c>
      <x:c r="AG149" s="35" t="n">
        <x:v>97</x:v>
      </x:c>
      <x:c r="AH149" s="35" t="n">
        <x:v>9</x:v>
      </x:c>
      <x:c r="AI149" s="37" t="n">
        <x:v>100</x:v>
      </x:c>
      <x:c r="AJ149" s="37" t="n">
        <x:v>99.8</x:v>
      </x:c>
      <x:c r="AK149" s="35" t="str">
        <x:v>No</x:v>
      </x:c>
      <x:c r="AL149" s="38" t="n">
        <x:f>IF(AA149=0,0,AB149/AA149)</x:f>
        <x:v>1</x:v>
      </x:c>
      <x:c r="AM149" s="38" t="n">
        <x:f>IF(AB149=0,0,AC149/AB149)</x:f>
        <x:v>0.6</x:v>
      </x:c>
      <x:c r="AN149" s="37" t="n">
        <x:f>ROUND((AD149*0.20+AE149*0.20+AF149*0.25+AG149*0.15+MIN(100,AC149*12)*0.20),1)</x:f>
        <x:v>65.5</x:v>
      </x:c>
      <x:c r="AO149" s="37" t="n">
        <x:f>ROUND(MAX(0,MIN(100,(X149*0.35)+(W149/45*100*0.20)+((5-O149)/4*100*0.15)+((5-P149)/4*100*0.10)+((6-Y149)/5*100*0.10)+((100-Z149)*0.10))),1)</x:f>
        <x:v>40.6</x:v>
      </x:c>
      <x:c r="AP149" s="37" t="str">
        <x:f>IF(AO149&gt;=70,"High",IF(AO149&gt;=40,"Moderate","Low"))</x:f>
        <x:v>Moderate</x:v>
      </x:c>
      <x:c r="AQ149" s="37" t="n">
        <x:f>ROUND(MAX(0,MIN(100,(O149/4*100*0.25)+(P149/4*100*0.20)+(Q149/4*100*0.15)+(Y149/5*100*0.20)+(100-AO149)*0.20)),1)</x:f>
        <x:v>76.9</x:v>
      </x:c>
      <x:c r="AR149" s="37" t="n">
        <x:f>ROUND((AI149*0.20+AJ149*0.15+AN149*0.18+AG149*0.12+Z149*0.15+AQ149*0.20),1)</x:f>
        <x:v>88.8</x:v>
      </x:c>
      <x:c r="AS149" s="39" t="n">
        <x:f>ROUND((AC149*AF149*120)+(AH149*350)+(MAX(0,AI149-75)*220)+(MAX(0,AQ149-60)*100),0)</x:f>
        <x:v>30140</x:v>
      </x:c>
    </x:row>
    <x:row r="150">
      <x:c r="A150" s="35" t="n">
        <x:v>149</x:v>
      </x:c>
      <x:c r="B150" s="35" t="n">
        <x:v>43</x:v>
      </x:c>
      <x:c r="C150" s="35" t="str">
        <x:v>Male</x:v>
      </x:c>
      <x:c r="D150" s="35" t="str">
        <x:v>Sales</x:v>
      </x:c>
      <x:c r="E150" s="35" t="str">
        <x:v>Sales Representative</x:v>
      </x:c>
      <x:c r="F150" s="35" t="str">
        <x:v>Marketing</x:v>
      </x:c>
      <x:c r="G150" s="35" t="str">
        <x:v>Single</x:v>
      </x:c>
      <x:c r="H150" s="35" t="n">
        <x:v>2</x:v>
      </x:c>
      <x:c r="I150" s="36" t="n">
        <x:v>8030</x:v>
      </x:c>
      <x:c r="J150" s="35" t="n">
        <x:v>13</x:v>
      </x:c>
      <x:c r="K150" s="35" t="n">
        <x:v>6</x:v>
      </x:c>
      <x:c r="L150" s="35" t="n">
        <x:v>2</x:v>
      </x:c>
      <x:c r="M150" s="35" t="n">
        <x:v>11</x:v>
      </x:c>
      <x:c r="N150" s="35" t="str">
        <x:v>No</x:v>
      </x:c>
      <x:c r="O150" s="35" t="n">
        <x:v>4</x:v>
      </x:c>
      <x:c r="P150" s="35" t="n">
        <x:v>1</x:v>
      </x:c>
      <x:c r="Q150" s="35" t="n">
        <x:v>1</x:v>
      </x:c>
      <x:c r="R150" s="35" t="n">
        <x:v>4</x:v>
      </x:c>
      <x:c r="S150" s="35" t="n">
        <x:v>3</x:v>
      </x:c>
      <x:c r="T150" s="35" t="n">
        <x:v>5</x:v>
      </x:c>
      <x:c r="U150" s="35" t="n">
        <x:v>3</x:v>
      </x:c>
      <x:c r="V150" s="35" t="n">
        <x:v>3</x:v>
      </x:c>
      <x:c r="W150" s="35" t="n">
        <x:v>11</x:v>
      </x:c>
      <x:c r="X150" s="35" t="n">
        <x:v>65</x:v>
      </x:c>
      <x:c r="Y150" s="35" t="n">
        <x:v>4</x:v>
      </x:c>
      <x:c r="Z150" s="35" t="n">
        <x:v>100</x:v>
      </x:c>
      <x:c r="AA150" s="35" t="n">
        <x:v>8</x:v>
      </x:c>
      <x:c r="AB150" s="35" t="n">
        <x:v>8</x:v>
      </x:c>
      <x:c r="AC150" s="35" t="n">
        <x:v>7</x:v>
      </x:c>
      <x:c r="AD150" s="35" t="n">
        <x:v>63</x:v>
      </x:c>
      <x:c r="AE150" s="35" t="n">
        <x:v>83</x:v>
      </x:c>
      <x:c r="AF150" s="35" t="n">
        <x:v>96</x:v>
      </x:c>
      <x:c r="AG150" s="35" t="n">
        <x:v>100</x:v>
      </x:c>
      <x:c r="AH150" s="35" t="n">
        <x:v>12</x:v>
      </x:c>
      <x:c r="AI150" s="37" t="n">
        <x:v>85.3</x:v>
      </x:c>
      <x:c r="AJ150" s="37" t="n">
        <x:v>95.1</x:v>
      </x:c>
      <x:c r="AK150" s="35" t="str">
        <x:v>No</x:v>
      </x:c>
      <x:c r="AL150" s="38" t="n">
        <x:f>IF(AA150=0,0,AB150/AA150)</x:f>
        <x:v>1</x:v>
      </x:c>
      <x:c r="AM150" s="38" t="n">
        <x:f>IF(AB150=0,0,AC150/AB150)</x:f>
        <x:v>0.875</x:v>
      </x:c>
      <x:c r="AN150" s="37" t="n">
        <x:f>ROUND((AD150*0.20+AE150*0.20+AF150*0.25+AG150*0.15+MIN(100,AC150*12)*0.20),1)</x:f>
        <x:v>85</x:v>
      </x:c>
      <x:c r="AO150" s="37" t="n">
        <x:f>ROUND(MAX(0,MIN(100,(X150*0.35)+(W150/45*100*0.20)+((5-O150)/4*100*0.15)+((5-P150)/4*100*0.10)+((6-Y150)/5*100*0.10)+((100-Z150)*0.10))),1)</x:f>
        <x:v>45.4</x:v>
      </x:c>
      <x:c r="AP150" s="37" t="str">
        <x:f>IF(AO150&gt;=70,"High",IF(AO150&gt;=40,"Moderate","Low"))</x:f>
        <x:v>Moderate</x:v>
      </x:c>
      <x:c r="AQ150" s="37" t="n">
        <x:f>ROUND(MAX(0,MIN(100,(O150/4*100*0.25)+(P150/4*100*0.20)+(Q150/4*100*0.15)+(Y150/5*100*0.20)+(100-AO150)*0.20)),1)</x:f>
        <x:v>60.7</x:v>
      </x:c>
      <x:c r="AR150" s="37" t="n">
        <x:f>ROUND((AI150*0.20+AJ150*0.15+AN150*0.18+AG150*0.12+Z150*0.15+AQ150*0.20),1)</x:f>
        <x:v>85.8</x:v>
      </x:c>
      <x:c r="AS150" s="39" t="n">
        <x:f>ROUND((AC150*AF150*120)+(AH150*350)+(MAX(0,AI150-75)*220)+(MAX(0,AQ150-60)*100),0)</x:f>
        <x:v>87176</x:v>
      </x:c>
    </x:row>
    <x:row r="151">
      <x:c r="A151" s="35" t="n">
        <x:v>150</x:v>
      </x:c>
      <x:c r="B151" s="35" t="n">
        <x:v>43</x:v>
      </x:c>
      <x:c r="C151" s="35" t="str">
        <x:v>Male</x:v>
      </x:c>
      <x:c r="D151" s="35" t="str">
        <x:v>Research &amp; Development</x:v>
      </x:c>
      <x:c r="E151" s="35" t="str">
        <x:v>Research Scientist</x:v>
      </x:c>
      <x:c r="F151" s="35" t="str">
        <x:v>Marketing</x:v>
      </x:c>
      <x:c r="G151" s="35" t="str">
        <x:v>Married</x:v>
      </x:c>
      <x:c r="H151" s="35" t="n">
        <x:v>2</x:v>
      </x:c>
      <x:c r="I151" s="36" t="n">
        <x:v>8770</x:v>
      </x:c>
      <x:c r="J151" s="35" t="n">
        <x:v>15</x:v>
      </x:c>
      <x:c r="K151" s="35" t="n">
        <x:v>5</x:v>
      </x:c>
      <x:c r="L151" s="35" t="n">
        <x:v>2</x:v>
      </x:c>
      <x:c r="M151" s="35" t="n">
        <x:v>4</x:v>
      </x:c>
      <x:c r="N151" s="35" t="str">
        <x:v>No</x:v>
      </x:c>
      <x:c r="O151" s="35" t="n">
        <x:v>2</x:v>
      </x:c>
      <x:c r="P151" s="35" t="n">
        <x:v>1</x:v>
      </x:c>
      <x:c r="Q151" s="35" t="n">
        <x:v>2</x:v>
      </x:c>
      <x:c r="R151" s="35" t="n">
        <x:v>3</x:v>
      </x:c>
      <x:c r="S151" s="35" t="n">
        <x:v>3</x:v>
      </x:c>
      <x:c r="T151" s="35" t="n">
        <x:v>1</x:v>
      </x:c>
      <x:c r="U151" s="35" t="n">
        <x:v>1</x:v>
      </x:c>
      <x:c r="V151" s="35" t="n">
        <x:v>8</x:v>
      </x:c>
      <x:c r="W151" s="35" t="n">
        <x:v>5</x:v>
      </x:c>
      <x:c r="X151" s="35" t="n">
        <x:v>90</x:v>
      </x:c>
      <x:c r="Y151" s="35" t="n">
        <x:v>4</x:v>
      </x:c>
      <x:c r="Z151" s="35" t="n">
        <x:v>85</x:v>
      </x:c>
      <x:c r="AA151" s="35" t="n">
        <x:v>1</x:v>
      </x:c>
      <x:c r="AB151" s="35" t="n">
        <x:v>1</x:v>
      </x:c>
      <x:c r="AC151" s="35" t="n">
        <x:v>1</x:v>
      </x:c>
      <x:c r="AD151" s="35" t="n">
        <x:v>73</x:v>
      </x:c>
      <x:c r="AE151" s="35" t="n">
        <x:v>90</x:v>
      </x:c>
      <x:c r="AF151" s="35" t="n">
        <x:v>81</x:v>
      </x:c>
      <x:c r="AG151" s="35" t="n">
        <x:v>87</x:v>
      </x:c>
      <x:c r="AH151" s="35" t="n">
        <x:v>1</x:v>
      </x:c>
      <x:c r="AI151" s="37" t="n">
        <x:v>95.3</x:v>
      </x:c>
      <x:c r="AJ151" s="37" t="n">
        <x:v>90.6</x:v>
      </x:c>
      <x:c r="AK151" s="35" t="str">
        <x:v>Yes</x:v>
      </x:c>
      <x:c r="AL151" s="38" t="n">
        <x:f>IF(AA151=0,0,AB151/AA151)</x:f>
        <x:v>1</x:v>
      </x:c>
      <x:c r="AM151" s="38" t="n">
        <x:f>IF(AB151=0,0,AC151/AB151)</x:f>
        <x:v>1</x:v>
      </x:c>
      <x:c r="AN151" s="37" t="n">
        <x:f>ROUND((AD151*0.20+AE151*0.20+AF151*0.25+AG151*0.15+MIN(100,AC151*12)*0.20),1)</x:f>
        <x:v>68.3</x:v>
      </x:c>
      <x:c r="AO151" s="37" t="n">
        <x:f>ROUND(MAX(0,MIN(100,(X151*0.35)+(W151/45*100*0.20)+((5-O151)/4*100*0.15)+((5-P151)/4*100*0.10)+((6-Y151)/5*100*0.10)+((100-Z151)*0.10))),1)</x:f>
        <x:v>60.5</x:v>
      </x:c>
      <x:c r="AP151" s="37" t="str">
        <x:f>IF(AO151&gt;=70,"High",IF(AO151&gt;=40,"Moderate","Low"))</x:f>
        <x:v>Moderate</x:v>
      </x:c>
      <x:c r="AQ151" s="37" t="n">
        <x:f>ROUND(MAX(0,MIN(100,(O151/4*100*0.25)+(P151/4*100*0.20)+(Q151/4*100*0.15)+(Y151/5*100*0.20)+(100-AO151)*0.20)),1)</x:f>
        <x:v>48.9</x:v>
      </x:c>
      <x:c r="AR151" s="37" t="n">
        <x:f>ROUND((AI151*0.20+AJ151*0.15+AN151*0.18+AG151*0.12+Z151*0.15+AQ151*0.20),1)</x:f>
        <x:v>77.9</x:v>
      </x:c>
      <x:c r="AS151" s="39" t="n">
        <x:f>ROUND((AC151*AF151*120)+(AH151*350)+(MAX(0,AI151-75)*220)+(MAX(0,AQ151-60)*100),0)</x:f>
        <x:v>14536</x:v>
      </x:c>
    </x:row>
    <x:row r="152">
      <x:c r="A152" s="35" t="n">
        <x:v>151</x:v>
      </x:c>
      <x:c r="B152" s="35" t="n">
        <x:v>49</x:v>
      </x:c>
      <x:c r="C152" s="35" t="str">
        <x:v>Female</x:v>
      </x:c>
      <x:c r="D152" s="35" t="str">
        <x:v>Human Resources</x:v>
      </x:c>
      <x:c r="E152" s="35" t="str">
        <x:v>HR Manager</x:v>
      </x:c>
      <x:c r="F152" s="35" t="str">
        <x:v>Computer Science</x:v>
      </x:c>
      <x:c r="G152" s="35" t="str">
        <x:v>Single</x:v>
      </x:c>
      <x:c r="H152" s="35" t="n">
        <x:v>5</x:v>
      </x:c>
      <x:c r="I152" s="36" t="n">
        <x:v>27980</x:v>
      </x:c>
      <x:c r="J152" s="35" t="n">
        <x:v>24</x:v>
      </x:c>
      <x:c r="K152" s="35" t="n">
        <x:v>12</x:v>
      </x:c>
      <x:c r="L152" s="35" t="n">
        <x:v>4</x:v>
      </x:c>
      <x:c r="M152" s="35" t="n">
        <x:v>14</x:v>
      </x:c>
      <x:c r="N152" s="35" t="str">
        <x:v>No</x:v>
      </x:c>
      <x:c r="O152" s="35" t="n">
        <x:v>3</x:v>
      </x:c>
      <x:c r="P152" s="35" t="n">
        <x:v>2</x:v>
      </x:c>
      <x:c r="Q152" s="35" t="n">
        <x:v>2</x:v>
      </x:c>
      <x:c r="R152" s="35" t="n">
        <x:v>3</x:v>
      </x:c>
      <x:c r="S152" s="35" t="n">
        <x:v>3</x:v>
      </x:c>
      <x:c r="T152" s="35" t="n">
        <x:v>0</x:v>
      </x:c>
      <x:c r="U152" s="35" t="n">
        <x:v>1</x:v>
      </x:c>
      <x:c r="V152" s="35" t="n">
        <x:v>1</x:v>
      </x:c>
      <x:c r="W152" s="35" t="n">
        <x:v>7</x:v>
      </x:c>
      <x:c r="X152" s="35" t="n">
        <x:v>68</x:v>
      </x:c>
      <x:c r="Y152" s="35" t="n">
        <x:v>5</x:v>
      </x:c>
      <x:c r="Z152" s="35" t="n">
        <x:v>100</x:v>
      </x:c>
      <x:c r="AA152" s="35" t="n">
        <x:v>2</x:v>
      </x:c>
      <x:c r="AB152" s="35" t="n">
        <x:v>2</x:v>
      </x:c>
      <x:c r="AC152" s="35" t="n">
        <x:v>1</x:v>
      </x:c>
      <x:c r="AD152" s="35" t="n">
        <x:v>56</x:v>
      </x:c>
      <x:c r="AE152" s="35" t="n">
        <x:v>74</x:v>
      </x:c>
      <x:c r="AF152" s="35" t="n">
        <x:v>98</x:v>
      </x:c>
      <x:c r="AG152" s="35" t="n">
        <x:v>100</x:v>
      </x:c>
      <x:c r="AH152" s="35" t="n">
        <x:v>7</x:v>
      </x:c>
      <x:c r="AI152" s="37" t="n">
        <x:v>100</x:v>
      </x:c>
      <x:c r="AJ152" s="37" t="n">
        <x:v>99.4</x:v>
      </x:c>
      <x:c r="AK152" s="35" t="str">
        <x:v>No</x:v>
      </x:c>
      <x:c r="AL152" s="38" t="n">
        <x:f>IF(AA152=0,0,AB152/AA152)</x:f>
        <x:v>1</x:v>
      </x:c>
      <x:c r="AM152" s="38" t="n">
        <x:f>IF(AB152=0,0,AC152/AB152)</x:f>
        <x:v>0.5</x:v>
      </x:c>
      <x:c r="AN152" s="37" t="n">
        <x:f>ROUND((AD152*0.20+AE152*0.20+AF152*0.25+AG152*0.15+MIN(100,AC152*12)*0.20),1)</x:f>
        <x:v>67.9</x:v>
      </x:c>
      <x:c r="AO152" s="37" t="n">
        <x:f>ROUND(MAX(0,MIN(100,(X152*0.35)+(W152/45*100*0.20)+((5-O152)/4*100*0.15)+((5-P152)/4*100*0.10)+((6-Y152)/5*100*0.10)+((100-Z152)*0.10))),1)</x:f>
        <x:v>43.9</x:v>
      </x:c>
      <x:c r="AP152" s="37" t="str">
        <x:f>IF(AO152&gt;=70,"High",IF(AO152&gt;=40,"Moderate","Low"))</x:f>
        <x:v>Moderate</x:v>
      </x:c>
      <x:c r="AQ152" s="37" t="n">
        <x:f>ROUND(MAX(0,MIN(100,(O152/4*100*0.25)+(P152/4*100*0.20)+(Q152/4*100*0.15)+(Y152/5*100*0.20)+(100-AO152)*0.20)),1)</x:f>
        <x:v>67.5</x:v>
      </x:c>
      <x:c r="AR152" s="37" t="n">
        <x:f>ROUND((AI152*0.20+AJ152*0.15+AN152*0.18+AG152*0.12+Z152*0.15+AQ152*0.20),1)</x:f>
        <x:v>87.6</x:v>
      </x:c>
      <x:c r="AS152" s="39" t="n">
        <x:f>ROUND((AC152*AF152*120)+(AH152*350)+(MAX(0,AI152-75)*220)+(MAX(0,AQ152-60)*100),0)</x:f>
        <x:v>20460</x:v>
      </x:c>
    </x:row>
    <x:row r="153">
      <x:c r="A153" s="35" t="n">
        <x:v>152</x:v>
      </x:c>
      <x:c r="B153" s="35" t="n">
        <x:v>41</x:v>
      </x:c>
      <x:c r="C153" s="35" t="str">
        <x:v>Female</x:v>
      </x:c>
      <x:c r="D153" s="35" t="str">
        <x:v>Research &amp; Development</x:v>
      </x:c>
      <x:c r="E153" s="35" t="str">
        <x:v>Data Scientist</x:v>
      </x:c>
      <x:c r="F153" s="35" t="str">
        <x:v>Human Resources</x:v>
      </x:c>
      <x:c r="G153" s="35" t="str">
        <x:v>Divorced</x:v>
      </x:c>
      <x:c r="H153" s="35" t="n">
        <x:v>3</x:v>
      </x:c>
      <x:c r="I153" s="36" t="n">
        <x:v>13320</x:v>
      </x:c>
      <x:c r="J153" s="35" t="n">
        <x:v>10</x:v>
      </x:c>
      <x:c r="K153" s="35" t="n">
        <x:v>3</x:v>
      </x:c>
      <x:c r="L153" s="35" t="n">
        <x:v>2</x:v>
      </x:c>
      <x:c r="M153" s="35" t="n">
        <x:v>11</x:v>
      </x:c>
      <x:c r="N153" s="35" t="str">
        <x:v>Yes</x:v>
      </x:c>
      <x:c r="O153" s="35" t="n">
        <x:v>2</x:v>
      </x:c>
      <x:c r="P153" s="35" t="n">
        <x:v>2</x:v>
      </x:c>
      <x:c r="Q153" s="35" t="n">
        <x:v>4</x:v>
      </x:c>
      <x:c r="R153" s="35" t="n">
        <x:v>2</x:v>
      </x:c>
      <x:c r="S153" s="35" t="n">
        <x:v>3</x:v>
      </x:c>
      <x:c r="T153" s="35" t="n">
        <x:v>4</x:v>
      </x:c>
      <x:c r="U153" s="35" t="n">
        <x:v>1</x:v>
      </x:c>
      <x:c r="V153" s="35" t="n">
        <x:v>10</x:v>
      </x:c>
      <x:c r="W153" s="35" t="n">
        <x:v>17</x:v>
      </x:c>
      <x:c r="X153" s="35" t="n">
        <x:v>63</x:v>
      </x:c>
      <x:c r="Y153" s="35" t="n">
        <x:v>4</x:v>
      </x:c>
      <x:c r="Z153" s="35" t="n">
        <x:v>89</x:v>
      </x:c>
      <x:c r="AA153" s="35" t="n">
        <x:v>2</x:v>
      </x:c>
      <x:c r="AB153" s="35" t="n">
        <x:v>0</x:v>
      </x:c>
      <x:c r="AC153" s="35" t="n">
        <x:v>0</x:v>
      </x:c>
      <x:c r="AD153" s="35" t="n">
        <x:v>73</x:v>
      </x:c>
      <x:c r="AE153" s="35" t="n">
        <x:v>74</x:v>
      </x:c>
      <x:c r="AF153" s="35" t="n">
        <x:v>62</x:v>
      </x:c>
      <x:c r="AG153" s="35" t="n">
        <x:v>80</x:v>
      </x:c>
      <x:c r="AH153" s="35" t="n">
        <x:v>5</x:v>
      </x:c>
      <x:c r="AI153" s="37" t="n">
        <x:v>98.8</x:v>
      </x:c>
      <x:c r="AJ153" s="37" t="n">
        <x:v>100</x:v>
      </x:c>
      <x:c r="AK153" s="35" t="str">
        <x:v>Yes</x:v>
      </x:c>
      <x:c r="AL153" s="38" t="n">
        <x:f>IF(AA153=0,0,AB153/AA153)</x:f>
        <x:v>0</x:v>
      </x:c>
      <x:c r="AM153" s="38" t="n">
        <x:f>IF(AB153=0,0,AC153/AB153)</x:f>
        <x:v>0</x:v>
      </x:c>
      <x:c r="AN153" s="37" t="n">
        <x:f>ROUND((AD153*0.20+AE153*0.20+AF153*0.25+AG153*0.15+MIN(100,AC153*12)*0.20),1)</x:f>
        <x:v>56.9</x:v>
      </x:c>
      <x:c r="AO153" s="37" t="n">
        <x:f>ROUND(MAX(0,MIN(100,(X153*0.35)+(W153/45*100*0.20)+((5-O153)/4*100*0.15)+((5-P153)/4*100*0.10)+((6-Y153)/5*100*0.10)+((100-Z153)*0.10))),1)</x:f>
        <x:v>53.5</x:v>
      </x:c>
      <x:c r="AP153" s="37" t="str">
        <x:f>IF(AO153&gt;=70,"High",IF(AO153&gt;=40,"Moderate","Low"))</x:f>
        <x:v>Moderate</x:v>
      </x:c>
      <x:c r="AQ153" s="37" t="n">
        <x:f>ROUND(MAX(0,MIN(100,(O153/4*100*0.25)+(P153/4*100*0.20)+(Q153/4*100*0.15)+(Y153/5*100*0.20)+(100-AO153)*0.20)),1)</x:f>
        <x:v>62.8</x:v>
      </x:c>
      <x:c r="AR153" s="37" t="n">
        <x:f>ROUND((AI153*0.20+AJ153*0.15+AN153*0.18+AG153*0.12+Z153*0.15+AQ153*0.20),1)</x:f>
        <x:v>80.5</x:v>
      </x:c>
      <x:c r="AS153" s="39" t="n">
        <x:f>ROUND((AC153*AF153*120)+(AH153*350)+(MAX(0,AI153-75)*220)+(MAX(0,AQ153-60)*100),0)</x:f>
        <x:v>7266</x:v>
      </x:c>
    </x:row>
    <x:row r="154">
      <x:c r="A154" s="35" t="n">
        <x:v>153</x:v>
      </x:c>
      <x:c r="B154" s="35" t="n">
        <x:v>37</x:v>
      </x:c>
      <x:c r="C154" s="35" t="str">
        <x:v>Female</x:v>
      </x:c>
      <x:c r="D154" s="35" t="str">
        <x:v>Operations</x:v>
      </x:c>
      <x:c r="E154" s="35" t="str">
        <x:v>Operations Manager</x:v>
      </x:c>
      <x:c r="F154" s="35" t="str">
        <x:v>Life Sciences</x:v>
      </x:c>
      <x:c r="G154" s="35" t="str">
        <x:v>Single</x:v>
      </x:c>
      <x:c r="H154" s="35" t="n">
        <x:v>2</x:v>
      </x:c>
      <x:c r="I154" s="36" t="n">
        <x:v>8970</x:v>
      </x:c>
      <x:c r="J154" s="35" t="n">
        <x:v>8</x:v>
      </x:c>
      <x:c r="K154" s="35" t="n">
        <x:v>6</x:v>
      </x:c>
      <x:c r="L154" s="35" t="n">
        <x:v>5</x:v>
      </x:c>
      <x:c r="M154" s="35" t="n">
        <x:v>6</x:v>
      </x:c>
      <x:c r="N154" s="35" t="str">
        <x:v>No</x:v>
      </x:c>
      <x:c r="O154" s="35" t="n">
        <x:v>2</x:v>
      </x:c>
      <x:c r="P154" s="35" t="n">
        <x:v>1</x:v>
      </x:c>
      <x:c r="Q154" s="35" t="n">
        <x:v>3</x:v>
      </x:c>
      <x:c r="R154" s="35" t="n">
        <x:v>3</x:v>
      </x:c>
      <x:c r="S154" s="35" t="n">
        <x:v>4</x:v>
      </x:c>
      <x:c r="T154" s="35" t="n">
        <x:v>0</x:v>
      </x:c>
      <x:c r="U154" s="35" t="n">
        <x:v>1</x:v>
      </x:c>
      <x:c r="V154" s="35" t="n">
        <x:v>6</x:v>
      </x:c>
      <x:c r="W154" s="35" t="n">
        <x:v>12</x:v>
      </x:c>
      <x:c r="X154" s="35" t="n">
        <x:v>87</x:v>
      </x:c>
      <x:c r="Y154" s="35" t="n">
        <x:v>4</x:v>
      </x:c>
      <x:c r="Z154" s="35" t="n">
        <x:v>82</x:v>
      </x:c>
      <x:c r="AA154" s="35" t="n">
        <x:v>6</x:v>
      </x:c>
      <x:c r="AB154" s="35" t="n">
        <x:v>5</x:v>
      </x:c>
      <x:c r="AC154" s="35" t="n">
        <x:v>4</x:v>
      </x:c>
      <x:c r="AD154" s="35" t="n">
        <x:v>59</x:v>
      </x:c>
      <x:c r="AE154" s="35" t="n">
        <x:v>87</x:v>
      </x:c>
      <x:c r="AF154" s="35" t="n">
        <x:v>75</x:v>
      </x:c>
      <x:c r="AG154" s="35" t="n">
        <x:v>96</x:v>
      </x:c>
      <x:c r="AH154" s="35" t="n">
        <x:v>10</x:v>
      </x:c>
      <x:c r="AI154" s="37" t="n">
        <x:v>98.8</x:v>
      </x:c>
      <x:c r="AJ154" s="37" t="n">
        <x:v>100</x:v>
      </x:c>
      <x:c r="AK154" s="35" t="str">
        <x:v>Yes</x:v>
      </x:c>
      <x:c r="AL154" s="38" t="n">
        <x:f>IF(AA154=0,0,AB154/AA154)</x:f>
        <x:v>0.8333333333333334</x:v>
      </x:c>
      <x:c r="AM154" s="38" t="n">
        <x:f>IF(AB154=0,0,AC154/AB154)</x:f>
        <x:v>0.8</x:v>
      </x:c>
      <x:c r="AN154" s="37" t="n">
        <x:f>ROUND((AD154*0.20+AE154*0.20+AF154*0.25+AG154*0.15+MIN(100,AC154*12)*0.20),1)</x:f>
        <x:v>72</x:v>
      </x:c>
      <x:c r="AO154" s="37" t="n">
        <x:f>ROUND(MAX(0,MIN(100,(X154*0.35)+(W154/45*100*0.20)+((5-O154)/4*100*0.15)+((5-P154)/4*100*0.10)+((6-Y154)/5*100*0.10)+((100-Z154)*0.10))),1)</x:f>
        <x:v>62.8</x:v>
      </x:c>
      <x:c r="AP154" s="37" t="str">
        <x:f>IF(AO154&gt;=70,"High",IF(AO154&gt;=40,"Moderate","Low"))</x:f>
        <x:v>Moderate</x:v>
      </x:c>
      <x:c r="AQ154" s="37" t="n">
        <x:f>ROUND(MAX(0,MIN(100,(O154/4*100*0.25)+(P154/4*100*0.20)+(Q154/4*100*0.15)+(Y154/5*100*0.20)+(100-AO154)*0.20)),1)</x:f>
        <x:v>52.2</x:v>
      </x:c>
      <x:c r="AR154" s="37" t="n">
        <x:f>ROUND((AI154*0.20+AJ154*0.15+AN154*0.18+AG154*0.12+Z154*0.15+AQ154*0.20),1)</x:f>
        <x:v>82</x:v>
      </x:c>
      <x:c r="AS154" s="39" t="n">
        <x:f>ROUND((AC154*AF154*120)+(AH154*350)+(MAX(0,AI154-75)*220)+(MAX(0,AQ154-60)*100),0)</x:f>
        <x:v>44736</x:v>
      </x:c>
    </x:row>
    <x:row r="155">
      <x:c r="A155" s="35" t="n">
        <x:v>154</x:v>
      </x:c>
      <x:c r="B155" s="35" t="n">
        <x:v>33</x:v>
      </x:c>
      <x:c r="C155" s="35" t="str">
        <x:v>Female</x:v>
      </x:c>
      <x:c r="D155" s="35" t="str">
        <x:v>Finance</x:v>
      </x:c>
      <x:c r="E155" s="35" t="str">
        <x:v>Finance Manager</x:v>
      </x:c>
      <x:c r="F155" s="35" t="str">
        <x:v>Human Resources</x:v>
      </x:c>
      <x:c r="G155" s="35" t="str">
        <x:v>Single</x:v>
      </x:c>
      <x:c r="H155" s="35" t="n">
        <x:v>3</x:v>
      </x:c>
      <x:c r="I155" s="36" t="n">
        <x:v>13620</x:v>
      </x:c>
      <x:c r="J155" s="35" t="n">
        <x:v>8</x:v>
      </x:c>
      <x:c r="K155" s="35" t="n">
        <x:v>5</x:v>
      </x:c>
      <x:c r="L155" s="35" t="n">
        <x:v>3</x:v>
      </x:c>
      <x:c r="M155" s="35" t="n">
        <x:v>4</x:v>
      </x:c>
      <x:c r="N155" s="35" t="str">
        <x:v>Yes</x:v>
      </x:c>
      <x:c r="O155" s="35" t="n">
        <x:v>2</x:v>
      </x:c>
      <x:c r="P155" s="35" t="n">
        <x:v>4</x:v>
      </x:c>
      <x:c r="Q155" s="35" t="n">
        <x:v>3</x:v>
      </x:c>
      <x:c r="R155" s="35" t="n">
        <x:v>3</x:v>
      </x:c>
      <x:c r="S155" s="35" t="n">
        <x:v>3</x:v>
      </x:c>
      <x:c r="T155" s="35" t="n">
        <x:v>3</x:v>
      </x:c>
      <x:c r="U155" s="35" t="n">
        <x:v>1</x:v>
      </x:c>
      <x:c r="V155" s="35" t="n">
        <x:v>9</x:v>
      </x:c>
      <x:c r="W155" s="35" t="n">
        <x:v>7</x:v>
      </x:c>
      <x:c r="X155" s="35" t="n">
        <x:v>73</x:v>
      </x:c>
      <x:c r="Y155" s="35" t="n">
        <x:v>4</x:v>
      </x:c>
      <x:c r="Z155" s="35" t="n">
        <x:v>100</x:v>
      </x:c>
      <x:c r="AA155" s="35" t="n">
        <x:v>8</x:v>
      </x:c>
      <x:c r="AB155" s="35" t="n">
        <x:v>5</x:v>
      </x:c>
      <x:c r="AC155" s="35" t="n">
        <x:v>5</x:v>
      </x:c>
      <x:c r="AD155" s="35" t="n">
        <x:v>82</x:v>
      </x:c>
      <x:c r="AE155" s="35" t="n">
        <x:v>84</x:v>
      </x:c>
      <x:c r="AF155" s="35" t="n">
        <x:v>100</x:v>
      </x:c>
      <x:c r="AG155" s="35" t="n">
        <x:v>100</x:v>
      </x:c>
      <x:c r="AH155" s="35" t="n">
        <x:v>8</x:v>
      </x:c>
      <x:c r="AI155" s="37" t="n">
        <x:v>93.1</x:v>
      </x:c>
      <x:c r="AJ155" s="37" t="n">
        <x:v>91.5</x:v>
      </x:c>
      <x:c r="AK155" s="35" t="str">
        <x:v>No</x:v>
      </x:c>
      <x:c r="AL155" s="38" t="n">
        <x:f>IF(AA155=0,0,AB155/AA155)</x:f>
        <x:v>0.625</x:v>
      </x:c>
      <x:c r="AM155" s="38" t="n">
        <x:f>IF(AB155=0,0,AC155/AB155)</x:f>
        <x:v>1</x:v>
      </x:c>
      <x:c r="AN155" s="37" t="n">
        <x:f>ROUND((AD155*0.20+AE155*0.20+AF155*0.25+AG155*0.15+MIN(100,AC155*12)*0.20),1)</x:f>
        <x:v>85.2</x:v>
      </x:c>
      <x:c r="AO155" s="37" t="n">
        <x:f>ROUND(MAX(0,MIN(100,(X155*0.35)+(W155/45*100*0.20)+((5-O155)/4*100*0.15)+((5-P155)/4*100*0.10)+((6-Y155)/5*100*0.10)+((100-Z155)*0.10))),1)</x:f>
        <x:v>46.4</x:v>
      </x:c>
      <x:c r="AP155" s="37" t="str">
        <x:f>IF(AO155&gt;=70,"High",IF(AO155&gt;=40,"Moderate","Low"))</x:f>
        <x:v>Moderate</x:v>
      </x:c>
      <x:c r="AQ155" s="37" t="n">
        <x:f>ROUND(MAX(0,MIN(100,(O155/4*100*0.25)+(P155/4*100*0.20)+(Q155/4*100*0.15)+(Y155/5*100*0.20)+(100-AO155)*0.20)),1)</x:f>
        <x:v>70.5</x:v>
      </x:c>
      <x:c r="AR155" s="37" t="n">
        <x:f>ROUND((AI155*0.20+AJ155*0.15+AN155*0.18+AG155*0.12+Z155*0.15+AQ155*0.20),1)</x:f>
        <x:v>88.8</x:v>
      </x:c>
      <x:c r="AS155" s="39" t="n">
        <x:f>ROUND((AC155*AF155*120)+(AH155*350)+(MAX(0,AI155-75)*220)+(MAX(0,AQ155-60)*100),0)</x:f>
        <x:v>67832</x:v>
      </x:c>
    </x:row>
    <x:row r="156">
      <x:c r="A156" s="35" t="n">
        <x:v>155</x:v>
      </x:c>
      <x:c r="B156" s="35" t="n">
        <x:v>28</x:v>
      </x:c>
      <x:c r="C156" s="35" t="str">
        <x:v>Male</x:v>
      </x:c>
      <x:c r="D156" s="35" t="str">
        <x:v>Finance</x:v>
      </x:c>
      <x:c r="E156" s="35" t="str">
        <x:v>Finance Manager</x:v>
      </x:c>
      <x:c r="F156" s="35" t="str">
        <x:v>Technical Degree</x:v>
      </x:c>
      <x:c r="G156" s="35" t="str">
        <x:v>Married</x:v>
      </x:c>
      <x:c r="H156" s="35" t="n">
        <x:v>1</x:v>
      </x:c>
      <x:c r="I156" s="36" t="n">
        <x:v>5260</x:v>
      </x:c>
      <x:c r="J156" s="35" t="n">
        <x:v>4</x:v>
      </x:c>
      <x:c r="K156" s="35" t="n">
        <x:v>2</x:v>
      </x:c>
      <x:c r="L156" s="35" t="n">
        <x:v>1</x:v>
      </x:c>
      <x:c r="M156" s="35" t="n">
        <x:v>17</x:v>
      </x:c>
      <x:c r="N156" s="35" t="str">
        <x:v>No</x:v>
      </x:c>
      <x:c r="O156" s="35" t="n">
        <x:v>2</x:v>
      </x:c>
      <x:c r="P156" s="35" t="n">
        <x:v>2</x:v>
      </x:c>
      <x:c r="Q156" s="35" t="n">
        <x:v>4</x:v>
      </x:c>
      <x:c r="R156" s="35" t="n">
        <x:v>2</x:v>
      </x:c>
      <x:c r="S156" s="35" t="n">
        <x:v>3</x:v>
      </x:c>
      <x:c r="T156" s="35" t="n">
        <x:v>5</x:v>
      </x:c>
      <x:c r="U156" s="35" t="n">
        <x:v>0</x:v>
      </x:c>
      <x:c r="V156" s="35" t="n">
        <x:v>9</x:v>
      </x:c>
      <x:c r="W156" s="35" t="n">
        <x:v>14</x:v>
      </x:c>
      <x:c r="X156" s="35" t="n">
        <x:v>59</x:v>
      </x:c>
      <x:c r="Y156" s="35" t="n">
        <x:v>5</x:v>
      </x:c>
      <x:c r="Z156" s="35" t="n">
        <x:v>93</x:v>
      </x:c>
      <x:c r="AA156" s="35" t="n">
        <x:v>10</x:v>
      </x:c>
      <x:c r="AB156" s="35" t="n">
        <x:v>7</x:v>
      </x:c>
      <x:c r="AC156" s="35" t="n">
        <x:v>6</x:v>
      </x:c>
      <x:c r="AD156" s="35" t="n">
        <x:v>73</x:v>
      </x:c>
      <x:c r="AE156" s="35" t="n">
        <x:v>93</x:v>
      </x:c>
      <x:c r="AF156" s="35" t="n">
        <x:v>71</x:v>
      </x:c>
      <x:c r="AG156" s="35" t="n">
        <x:v>81</x:v>
      </x:c>
      <x:c r="AH156" s="35" t="n">
        <x:v>10</x:v>
      </x:c>
      <x:c r="AI156" s="37" t="n">
        <x:v>98.8</x:v>
      </x:c>
      <x:c r="AJ156" s="37" t="n">
        <x:v>94.1</x:v>
      </x:c>
      <x:c r="AK156" s="35" t="str">
        <x:v>No</x:v>
      </x:c>
      <x:c r="AL156" s="38" t="n">
        <x:f>IF(AA156=0,0,AB156/AA156)</x:f>
        <x:v>0.7</x:v>
      </x:c>
      <x:c r="AM156" s="38" t="n">
        <x:f>IF(AB156=0,0,AC156/AB156)</x:f>
        <x:v>0.8571428571428571</x:v>
      </x:c>
      <x:c r="AN156" s="37" t="n">
        <x:f>ROUND((AD156*0.20+AE156*0.20+AF156*0.25+AG156*0.15+MIN(100,AC156*12)*0.20),1)</x:f>
        <x:v>77.5</x:v>
      </x:c>
      <x:c r="AO156" s="37" t="n">
        <x:f>ROUND(MAX(0,MIN(100,(X156*0.35)+(W156/45*100*0.20)+((5-O156)/4*100*0.15)+((5-P156)/4*100*0.10)+((6-Y156)/5*100*0.10)+((100-Z156)*0.10))),1)</x:f>
        <x:v>48.3</x:v>
      </x:c>
      <x:c r="AP156" s="37" t="str">
        <x:f>IF(AO156&gt;=70,"High",IF(AO156&gt;=40,"Moderate","Low"))</x:f>
        <x:v>Moderate</x:v>
      </x:c>
      <x:c r="AQ156" s="37" t="n">
        <x:f>ROUND(MAX(0,MIN(100,(O156/4*100*0.25)+(P156/4*100*0.20)+(Q156/4*100*0.15)+(Y156/5*100*0.20)+(100-AO156)*0.20)),1)</x:f>
        <x:v>67.8</x:v>
      </x:c>
      <x:c r="AR156" s="37" t="n">
        <x:f>ROUND((AI156*0.20+AJ156*0.15+AN156*0.18+AG156*0.12+Z156*0.15+AQ156*0.20),1)</x:f>
        <x:v>85.1</x:v>
      </x:c>
      <x:c r="AS156" s="39" t="n">
        <x:f>ROUND((AC156*AF156*120)+(AH156*350)+(MAX(0,AI156-75)*220)+(MAX(0,AQ156-60)*100),0)</x:f>
        <x:v>60636</x:v>
      </x:c>
    </x:row>
    <x:row r="157">
      <x:c r="A157" s="35" t="n">
        <x:v>156</x:v>
      </x:c>
      <x:c r="B157" s="35" t="n">
        <x:v>30</x:v>
      </x:c>
      <x:c r="C157" s="35" t="str">
        <x:v>Male</x:v>
      </x:c>
      <x:c r="D157" s="35" t="str">
        <x:v>Marketing</x:v>
      </x:c>
      <x:c r="E157" s="35" t="str">
        <x:v>Digital Marketing Analyst</x:v>
      </x:c>
      <x:c r="F157" s="35" t="str">
        <x:v>Human Resources</x:v>
      </x:c>
      <x:c r="G157" s="35" t="str">
        <x:v>Single</x:v>
      </x:c>
      <x:c r="H157" s="35" t="n">
        <x:v>1</x:v>
      </x:c>
      <x:c r="I157" s="36" t="n">
        <x:v>4420</x:v>
      </x:c>
      <x:c r="J157" s="35" t="n">
        <x:v>7</x:v>
      </x:c>
      <x:c r="K157" s="35" t="n">
        <x:v>2</x:v>
      </x:c>
      <x:c r="L157" s="35" t="n">
        <x:v>2</x:v>
      </x:c>
      <x:c r="M157" s="35" t="n">
        <x:v>6</x:v>
      </x:c>
      <x:c r="N157" s="35" t="str">
        <x:v>No</x:v>
      </x:c>
      <x:c r="O157" s="35" t="n">
        <x:v>1</x:v>
      </x:c>
      <x:c r="P157" s="35" t="n">
        <x:v>3</x:v>
      </x:c>
      <x:c r="Q157" s="35" t="n">
        <x:v>4</x:v>
      </x:c>
      <x:c r="R157" s="35" t="n">
        <x:v>3</x:v>
      </x:c>
      <x:c r="S157" s="35" t="n">
        <x:v>4</x:v>
      </x:c>
      <x:c r="T157" s="35" t="n">
        <x:v>4</x:v>
      </x:c>
      <x:c r="U157" s="35" t="n">
        <x:v>1</x:v>
      </x:c>
      <x:c r="V157" s="35" t="n">
        <x:v>9</x:v>
      </x:c>
      <x:c r="W157" s="35" t="n">
        <x:v>6</x:v>
      </x:c>
      <x:c r="X157" s="35" t="n">
        <x:v>79</x:v>
      </x:c>
      <x:c r="Y157" s="35" t="n">
        <x:v>4</x:v>
      </x:c>
      <x:c r="Z157" s="35" t="n">
        <x:v>100</x:v>
      </x:c>
      <x:c r="AA157" s="35" t="n">
        <x:v>6</x:v>
      </x:c>
      <x:c r="AB157" s="35" t="n">
        <x:v>3</x:v>
      </x:c>
      <x:c r="AC157" s="35" t="n">
        <x:v>3</x:v>
      </x:c>
      <x:c r="AD157" s="35" t="n">
        <x:v>68</x:v>
      </x:c>
      <x:c r="AE157" s="35" t="n">
        <x:v>85</x:v>
      </x:c>
      <x:c r="AF157" s="35" t="n">
        <x:v>74</x:v>
      </x:c>
      <x:c r="AG157" s="35" t="n">
        <x:v>94</x:v>
      </x:c>
      <x:c r="AH157" s="35" t="n">
        <x:v>10</x:v>
      </x:c>
      <x:c r="AI157" s="37" t="n">
        <x:v>95.9</x:v>
      </x:c>
      <x:c r="AJ157" s="37" t="n">
        <x:v>92.3</x:v>
      </x:c>
      <x:c r="AK157" s="35" t="str">
        <x:v>No</x:v>
      </x:c>
      <x:c r="AL157" s="38" t="n">
        <x:f>IF(AA157=0,0,AB157/AA157)</x:f>
        <x:v>0.5</x:v>
      </x:c>
      <x:c r="AM157" s="38" t="n">
        <x:f>IF(AB157=0,0,AC157/AB157)</x:f>
        <x:v>1</x:v>
      </x:c>
      <x:c r="AN157" s="37" t="n">
        <x:f>ROUND((AD157*0.20+AE157*0.20+AF157*0.25+AG157*0.15+MIN(100,AC157*12)*0.20),1)</x:f>
        <x:v>70.4</x:v>
      </x:c>
      <x:c r="AO157" s="37" t="n">
        <x:f>ROUND(MAX(0,MIN(100,(X157*0.35)+(W157/45*100*0.20)+((5-O157)/4*100*0.15)+((5-P157)/4*100*0.10)+((6-Y157)/5*100*0.10)+((100-Z157)*0.10))),1)</x:f>
        <x:v>54.3</x:v>
      </x:c>
      <x:c r="AP157" s="37" t="str">
        <x:f>IF(AO157&gt;=70,"High",IF(AO157&gt;=40,"Moderate","Low"))</x:f>
        <x:v>Moderate</x:v>
      </x:c>
      <x:c r="AQ157" s="37" t="n">
        <x:f>ROUND(MAX(0,MIN(100,(O157/4*100*0.25)+(P157/4*100*0.20)+(Q157/4*100*0.15)+(Y157/5*100*0.20)+(100-AO157)*0.20)),1)</x:f>
        <x:v>61.4</x:v>
      </x:c>
      <x:c r="AR157" s="37" t="n">
        <x:f>ROUND((AI157*0.20+AJ157*0.15+AN157*0.18+AG157*0.12+Z157*0.15+AQ157*0.20),1)</x:f>
        <x:v>84.3</x:v>
      </x:c>
      <x:c r="AS157" s="39" t="n">
        <x:f>ROUND((AC157*AF157*120)+(AH157*350)+(MAX(0,AI157-75)*220)+(MAX(0,AQ157-60)*100),0)</x:f>
        <x:v>34878</x:v>
      </x:c>
    </x:row>
    <x:row r="158">
      <x:c r="A158" s="35" t="n">
        <x:v>157</x:v>
      </x:c>
      <x:c r="B158" s="35" t="n">
        <x:v>35</x:v>
      </x:c>
      <x:c r="C158" s="35" t="str">
        <x:v>Female</x:v>
      </x:c>
      <x:c r="D158" s="35" t="str">
        <x:v>Information Technology</x:v>
      </x:c>
      <x:c r="E158" s="35" t="str">
        <x:v>Software Engineer</x:v>
      </x:c>
      <x:c r="F158" s="35" t="str">
        <x:v>Human Resources</x:v>
      </x:c>
      <x:c r="G158" s="35" t="str">
        <x:v>Married</x:v>
      </x:c>
      <x:c r="H158" s="35" t="n">
        <x:v>3</x:v>
      </x:c>
      <x:c r="I158" s="36" t="n">
        <x:v>15320</x:v>
      </x:c>
      <x:c r="J158" s="35" t="n">
        <x:v>12</x:v>
      </x:c>
      <x:c r="K158" s="35" t="n">
        <x:v>3</x:v>
      </x:c>
      <x:c r="L158" s="35" t="n">
        <x:v>2</x:v>
      </x:c>
      <x:c r="M158" s="35" t="n">
        <x:v>5</x:v>
      </x:c>
      <x:c r="N158" s="35" t="str">
        <x:v>No</x:v>
      </x:c>
      <x:c r="O158" s="35" t="n">
        <x:v>3</x:v>
      </x:c>
      <x:c r="P158" s="35" t="n">
        <x:v>3</x:v>
      </x:c>
      <x:c r="Q158" s="35" t="n">
        <x:v>4</x:v>
      </x:c>
      <x:c r="R158" s="35" t="n">
        <x:v>2</x:v>
      </x:c>
      <x:c r="S158" s="35" t="n">
        <x:v>4</x:v>
      </x:c>
      <x:c r="T158" s="35" t="n">
        <x:v>3</x:v>
      </x:c>
      <x:c r="U158" s="35" t="n">
        <x:v>2</x:v>
      </x:c>
      <x:c r="V158" s="35" t="n">
        <x:v>6</x:v>
      </x:c>
      <x:c r="W158" s="35" t="n">
        <x:v>17</x:v>
      </x:c>
      <x:c r="X158" s="35" t="n">
        <x:v>58</x:v>
      </x:c>
      <x:c r="Y158" s="35" t="n">
        <x:v>5</x:v>
      </x:c>
      <x:c r="Z158" s="35" t="n">
        <x:v>100</x:v>
      </x:c>
      <x:c r="AA158" s="35" t="n">
        <x:v>4</x:v>
      </x:c>
      <x:c r="AB158" s="35" t="n">
        <x:v>1</x:v>
      </x:c>
      <x:c r="AC158" s="35" t="n">
        <x:v>0</x:v>
      </x:c>
      <x:c r="AD158" s="35" t="n">
        <x:v>77</x:v>
      </x:c>
      <x:c r="AE158" s="35" t="n">
        <x:v>83</x:v>
      </x:c>
      <x:c r="AF158" s="35" t="n">
        <x:v>77</x:v>
      </x:c>
      <x:c r="AG158" s="35" t="n">
        <x:v>89</x:v>
      </x:c>
      <x:c r="AH158" s="35" t="n">
        <x:v>7</x:v>
      </x:c>
      <x:c r="AI158" s="37" t="n">
        <x:v>96.8</x:v>
      </x:c>
      <x:c r="AJ158" s="37" t="n">
        <x:v>90.5</x:v>
      </x:c>
      <x:c r="AK158" s="35" t="str">
        <x:v>No</x:v>
      </x:c>
      <x:c r="AL158" s="38" t="n">
        <x:f>IF(AA158=0,0,AB158/AA158)</x:f>
        <x:v>0.25</x:v>
      </x:c>
      <x:c r="AM158" s="38" t="n">
        <x:f>IF(AB158=0,0,AC158/AB158)</x:f>
        <x:v>0</x:v>
      </x:c>
      <x:c r="AN158" s="37" t="n">
        <x:f>ROUND((AD158*0.20+AE158*0.20+AF158*0.25+AG158*0.15+MIN(100,AC158*12)*0.20),1)</x:f>
        <x:v>64.6</x:v>
      </x:c>
      <x:c r="AO158" s="37" t="n">
        <x:f>ROUND(MAX(0,MIN(100,(X158*0.35)+(W158/45*100*0.20)+((5-O158)/4*100*0.15)+((5-P158)/4*100*0.10)+((6-Y158)/5*100*0.10)+((100-Z158)*0.10))),1)</x:f>
        <x:v>42.4</x:v>
      </x:c>
      <x:c r="AP158" s="37" t="str">
        <x:f>IF(AO158&gt;=70,"High",IF(AO158&gt;=40,"Moderate","Low"))</x:f>
        <x:v>Moderate</x:v>
      </x:c>
      <x:c r="AQ158" s="37" t="n">
        <x:f>ROUND(MAX(0,MIN(100,(O158/4*100*0.25)+(P158/4*100*0.20)+(Q158/4*100*0.15)+(Y158/5*100*0.20)+(100-AO158)*0.20)),1)</x:f>
        <x:v>80.3</x:v>
      </x:c>
      <x:c r="AR158" s="37" t="n">
        <x:f>ROUND((AI158*0.20+AJ158*0.15+AN158*0.18+AG158*0.12+Z158*0.15+AQ158*0.20),1)</x:f>
        <x:v>86.3</x:v>
      </x:c>
      <x:c r="AS158" s="39" t="n">
        <x:f>ROUND((AC158*AF158*120)+(AH158*350)+(MAX(0,AI158-75)*220)+(MAX(0,AQ158-60)*100),0)</x:f>
        <x:v>9276</x:v>
      </x:c>
    </x:row>
    <x:row r="159">
      <x:c r="A159" s="35" t="n">
        <x:v>158</x:v>
      </x:c>
      <x:c r="B159" s="35" t="n">
        <x:v>30</x:v>
      </x:c>
      <x:c r="C159" s="35" t="str">
        <x:v>Male</x:v>
      </x:c>
      <x:c r="D159" s="35" t="str">
        <x:v>Sales</x:v>
      </x:c>
      <x:c r="E159" s="35" t="str">
        <x:v>Account Manager</x:v>
      </x:c>
      <x:c r="F159" s="35" t="str">
        <x:v>Technical Degree</x:v>
      </x:c>
      <x:c r="G159" s="35" t="str">
        <x:v>Married</x:v>
      </x:c>
      <x:c r="H159" s="35" t="n">
        <x:v>1</x:v>
      </x:c>
      <x:c r="I159" s="36" t="n">
        <x:v>4000</x:v>
      </x:c>
      <x:c r="J159" s="35" t="n">
        <x:v>7</x:v>
      </x:c>
      <x:c r="K159" s="35" t="n">
        <x:v>6</x:v>
      </x:c>
      <x:c r="L159" s="35" t="n">
        <x:v>3</x:v>
      </x:c>
      <x:c r="M159" s="35" t="n">
        <x:v>8</x:v>
      </x:c>
      <x:c r="N159" s="35" t="str">
        <x:v>No</x:v>
      </x:c>
      <x:c r="O159" s="35" t="n">
        <x:v>3</x:v>
      </x:c>
      <x:c r="P159" s="35" t="n">
        <x:v>2</x:v>
      </x:c>
      <x:c r="Q159" s="35" t="n">
        <x:v>3</x:v>
      </x:c>
      <x:c r="R159" s="35" t="n">
        <x:v>3</x:v>
      </x:c>
      <x:c r="S159" s="35" t="n">
        <x:v>4</x:v>
      </x:c>
      <x:c r="T159" s="35" t="n">
        <x:v>2</x:v>
      </x:c>
      <x:c r="U159" s="35" t="n">
        <x:v>0</x:v>
      </x:c>
      <x:c r="V159" s="35" t="n">
        <x:v>3</x:v>
      </x:c>
      <x:c r="W159" s="35" t="n">
        <x:v>5</x:v>
      </x:c>
      <x:c r="X159" s="35" t="n">
        <x:v>64</x:v>
      </x:c>
      <x:c r="Y159" s="35" t="n">
        <x:v>5</x:v>
      </x:c>
      <x:c r="Z159" s="35" t="n">
        <x:v>95</x:v>
      </x:c>
      <x:c r="AA159" s="35" t="n">
        <x:v>3</x:v>
      </x:c>
      <x:c r="AB159" s="35" t="n">
        <x:v>3</x:v>
      </x:c>
      <x:c r="AC159" s="35" t="n">
        <x:v>2</x:v>
      </x:c>
      <x:c r="AD159" s="35" t="n">
        <x:v>77</x:v>
      </x:c>
      <x:c r="AE159" s="35" t="n">
        <x:v>66</x:v>
      </x:c>
      <x:c r="AF159" s="35" t="n">
        <x:v>72</x:v>
      </x:c>
      <x:c r="AG159" s="35" t="n">
        <x:v>94</x:v>
      </x:c>
      <x:c r="AH159" s="35" t="n">
        <x:v>11</x:v>
      </x:c>
      <x:c r="AI159" s="37" t="n">
        <x:v>100</x:v>
      </x:c>
      <x:c r="AJ159" s="37" t="n">
        <x:v>90.2</x:v>
      </x:c>
      <x:c r="AK159" s="35" t="str">
        <x:v>No</x:v>
      </x:c>
      <x:c r="AL159" s="38" t="n">
        <x:f>IF(AA159=0,0,AB159/AA159)</x:f>
        <x:v>1</x:v>
      </x:c>
      <x:c r="AM159" s="38" t="n">
        <x:f>IF(AB159=0,0,AC159/AB159)</x:f>
        <x:v>0.6666666666666666</x:v>
      </x:c>
      <x:c r="AN159" s="37" t="n">
        <x:f>ROUND((AD159*0.20+AE159*0.20+AF159*0.25+AG159*0.15+MIN(100,AC159*12)*0.20),1)</x:f>
        <x:v>65.5</x:v>
      </x:c>
      <x:c r="AO159" s="37" t="n">
        <x:f>ROUND(MAX(0,MIN(100,(X159*0.35)+(W159/45*100*0.20)+((5-O159)/4*100*0.15)+((5-P159)/4*100*0.10)+((6-Y159)/5*100*0.10)+((100-Z159)*0.10))),1)</x:f>
        <x:v>42.1</x:v>
      </x:c>
      <x:c r="AP159" s="37" t="str">
        <x:f>IF(AO159&gt;=70,"High",IF(AO159&gt;=40,"Moderate","Low"))</x:f>
        <x:v>Moderate</x:v>
      </x:c>
      <x:c r="AQ159" s="37" t="n">
        <x:f>ROUND(MAX(0,MIN(100,(O159/4*100*0.25)+(P159/4*100*0.20)+(Q159/4*100*0.15)+(Y159/5*100*0.20)+(100-AO159)*0.20)),1)</x:f>
        <x:v>71.6</x:v>
      </x:c>
      <x:c r="AR159" s="37" t="n">
        <x:f>ROUND((AI159*0.20+AJ159*0.15+AN159*0.18+AG159*0.12+Z159*0.15+AQ159*0.20),1)</x:f>
        <x:v>85.2</x:v>
      </x:c>
      <x:c r="AS159" s="39" t="n">
        <x:f>ROUND((AC159*AF159*120)+(AH159*350)+(MAX(0,AI159-75)*220)+(MAX(0,AQ159-60)*100),0)</x:f>
        <x:v>27790</x:v>
      </x:c>
    </x:row>
    <x:row r="160">
      <x:c r="A160" s="35" t="n">
        <x:v>159</x:v>
      </x:c>
      <x:c r="B160" s="35" t="n">
        <x:v>50</x:v>
      </x:c>
      <x:c r="C160" s="35" t="str">
        <x:v>Female</x:v>
      </x:c>
      <x:c r="D160" s="35" t="str">
        <x:v>Operations</x:v>
      </x:c>
      <x:c r="E160" s="35" t="str">
        <x:v>Quality Specialist</x:v>
      </x:c>
      <x:c r="F160" s="35" t="str">
        <x:v>Business</x:v>
      </x:c>
      <x:c r="G160" s="35" t="str">
        <x:v>Divorced</x:v>
      </x:c>
      <x:c r="H160" s="35" t="n">
        <x:v>4</x:v>
      </x:c>
      <x:c r="I160" s="36" t="n">
        <x:v>16010</x:v>
      </x:c>
      <x:c r="J160" s="35" t="n">
        <x:v>22</x:v>
      </x:c>
      <x:c r="K160" s="35" t="n">
        <x:v>11</x:v>
      </x:c>
      <x:c r="L160" s="35" t="n">
        <x:v>5</x:v>
      </x:c>
      <x:c r="M160" s="35" t="n">
        <x:v>18</x:v>
      </x:c>
      <x:c r="N160" s="35" t="str">
        <x:v>No</x:v>
      </x:c>
      <x:c r="O160" s="35" t="n">
        <x:v>2</x:v>
      </x:c>
      <x:c r="P160" s="35" t="n">
        <x:v>3</x:v>
      </x:c>
      <x:c r="Q160" s="35" t="n">
        <x:v>3</x:v>
      </x:c>
      <x:c r="R160" s="35" t="n">
        <x:v>2</x:v>
      </x:c>
      <x:c r="S160" s="35" t="n">
        <x:v>3</x:v>
      </x:c>
      <x:c r="T160" s="35" t="n">
        <x:v>3</x:v>
      </x:c>
      <x:c r="U160" s="35" t="n">
        <x:v>3</x:v>
      </x:c>
      <x:c r="V160" s="35" t="n">
        <x:v>2</x:v>
      </x:c>
      <x:c r="W160" s="35" t="n">
        <x:v>1</x:v>
      </x:c>
      <x:c r="X160" s="35" t="n">
        <x:v>66</x:v>
      </x:c>
      <x:c r="Y160" s="35" t="n">
        <x:v>4</x:v>
      </x:c>
      <x:c r="Z160" s="35" t="n">
        <x:v>92</x:v>
      </x:c>
      <x:c r="AA160" s="35" t="n">
        <x:v>6</x:v>
      </x:c>
      <x:c r="AB160" s="35" t="n">
        <x:v>5</x:v>
      </x:c>
      <x:c r="AC160" s="35" t="n">
        <x:v>3</x:v>
      </x:c>
      <x:c r="AD160" s="35" t="n">
        <x:v>72</x:v>
      </x:c>
      <x:c r="AE160" s="35" t="n">
        <x:v>100</x:v>
      </x:c>
      <x:c r="AF160" s="35" t="n">
        <x:v>62</x:v>
      </x:c>
      <x:c r="AG160" s="35" t="n">
        <x:v>65</x:v>
      </x:c>
      <x:c r="AH160" s="35" t="n">
        <x:v>4</x:v>
      </x:c>
      <x:c r="AI160" s="37" t="n">
        <x:v>94.7</x:v>
      </x:c>
      <x:c r="AJ160" s="37" t="n">
        <x:v>89.6</x:v>
      </x:c>
      <x:c r="AK160" s="35" t="str">
        <x:v>No</x:v>
      </x:c>
      <x:c r="AL160" s="38" t="n">
        <x:f>IF(AA160=0,0,AB160/AA160)</x:f>
        <x:v>0.8333333333333334</x:v>
      </x:c>
      <x:c r="AM160" s="38" t="n">
        <x:f>IF(AB160=0,0,AC160/AB160)</x:f>
        <x:v>0.6</x:v>
      </x:c>
      <x:c r="AN160" s="37" t="n">
        <x:f>ROUND((AD160*0.20+AE160*0.20+AF160*0.25+AG160*0.15+MIN(100,AC160*12)*0.20),1)</x:f>
        <x:v>66.9</x:v>
      </x:c>
      <x:c r="AO160" s="37" t="n">
        <x:f>ROUND(MAX(0,MIN(100,(X160*0.35)+(W160/45*100*0.20)+((5-O160)/4*100*0.15)+((5-P160)/4*100*0.10)+((6-Y160)/5*100*0.10)+((100-Z160)*0.10))),1)</x:f>
        <x:v>44.6</x:v>
      </x:c>
      <x:c r="AP160" s="37" t="str">
        <x:f>IF(AO160&gt;=70,"High",IF(AO160&gt;=40,"Moderate","Low"))</x:f>
        <x:v>Moderate</x:v>
      </x:c>
      <x:c r="AQ160" s="37" t="n">
        <x:f>ROUND(MAX(0,MIN(100,(O160/4*100*0.25)+(P160/4*100*0.20)+(Q160/4*100*0.15)+(Y160/5*100*0.20)+(100-AO160)*0.20)),1)</x:f>
        <x:v>65.8</x:v>
      </x:c>
      <x:c r="AR160" s="37" t="n">
        <x:f>ROUND((AI160*0.20+AJ160*0.15+AN160*0.18+AG160*0.12+Z160*0.15+AQ160*0.20),1)</x:f>
        <x:v>79.2</x:v>
      </x:c>
      <x:c r="AS160" s="39" t="n">
        <x:f>ROUND((AC160*AF160*120)+(AH160*350)+(MAX(0,AI160-75)*220)+(MAX(0,AQ160-60)*100),0)</x:f>
        <x:v>28634</x:v>
      </x:c>
    </x:row>
    <x:row r="161">
      <x:c r="A161" s="35" t="n">
        <x:v>160</x:v>
      </x:c>
      <x:c r="B161" s="35" t="n">
        <x:v>27</x:v>
      </x:c>
      <x:c r="C161" s="35" t="str">
        <x:v>Female</x:v>
      </x:c>
      <x:c r="D161" s="35" t="str">
        <x:v>Sales</x:v>
      </x:c>
      <x:c r="E161" s="35" t="str">
        <x:v>Sales Executive</x:v>
      </x:c>
      <x:c r="F161" s="35" t="str">
        <x:v>Technical Degree</x:v>
      </x:c>
      <x:c r="G161" s="35" t="str">
        <x:v>Married</x:v>
      </x:c>
      <x:c r="H161" s="35" t="n">
        <x:v>1</x:v>
      </x:c>
      <x:c r="I161" s="36" t="n">
        <x:v>5800</x:v>
      </x:c>
      <x:c r="J161" s="35" t="n">
        <x:v>4</x:v>
      </x:c>
      <x:c r="K161" s="35" t="n">
        <x:v>2</x:v>
      </x:c>
      <x:c r="L161" s="35" t="n">
        <x:v>1</x:v>
      </x:c>
      <x:c r="M161" s="35" t="n">
        <x:v>15</x:v>
      </x:c>
      <x:c r="N161" s="35" t="str">
        <x:v>No</x:v>
      </x:c>
      <x:c r="O161" s="35" t="n">
        <x:v>1</x:v>
      </x:c>
      <x:c r="P161" s="35" t="n">
        <x:v>2</x:v>
      </x:c>
      <x:c r="Q161" s="35" t="n">
        <x:v>2</x:v>
      </x:c>
      <x:c r="R161" s="35" t="n">
        <x:v>3</x:v>
      </x:c>
      <x:c r="S161" s="35" t="n">
        <x:v>3</x:v>
      </x:c>
      <x:c r="T161" s="35" t="n">
        <x:v>2</x:v>
      </x:c>
      <x:c r="U161" s="35" t="n">
        <x:v>3</x:v>
      </x:c>
      <x:c r="V161" s="35" t="n">
        <x:v>10</x:v>
      </x:c>
      <x:c r="W161" s="35" t="n">
        <x:v>0</x:v>
      </x:c>
      <x:c r="X161" s="35" t="n">
        <x:v>83</x:v>
      </x:c>
      <x:c r="Y161" s="35" t="n">
        <x:v>4</x:v>
      </x:c>
      <x:c r="Z161" s="35" t="n">
        <x:v>88</x:v>
      </x:c>
      <x:c r="AA161" s="35" t="n">
        <x:v>5</x:v>
      </x:c>
      <x:c r="AB161" s="35" t="n">
        <x:v>4</x:v>
      </x:c>
      <x:c r="AC161" s="35" t="n">
        <x:v>4</x:v>
      </x:c>
      <x:c r="AD161" s="35" t="n">
        <x:v>75</x:v>
      </x:c>
      <x:c r="AE161" s="35" t="n">
        <x:v>98</x:v>
      </x:c>
      <x:c r="AF161" s="35" t="n">
        <x:v>85</x:v>
      </x:c>
      <x:c r="AG161" s="35" t="n">
        <x:v>93</x:v>
      </x:c>
      <x:c r="AH161" s="35" t="n">
        <x:v>7</x:v>
      </x:c>
      <x:c r="AI161" s="37" t="n">
        <x:v>100</x:v>
      </x:c>
      <x:c r="AJ161" s="37" t="n">
        <x:v>95.9</x:v>
      </x:c>
      <x:c r="AK161" s="35" t="str">
        <x:v>Yes</x:v>
      </x:c>
      <x:c r="AL161" s="38" t="n">
        <x:f>IF(AA161=0,0,AB161/AA161)</x:f>
        <x:v>0.8</x:v>
      </x:c>
      <x:c r="AM161" s="38" t="n">
        <x:f>IF(AB161=0,0,AC161/AB161)</x:f>
        <x:v>1</x:v>
      </x:c>
      <x:c r="AN161" s="37" t="n">
        <x:f>ROUND((AD161*0.20+AE161*0.20+AF161*0.25+AG161*0.15+MIN(100,AC161*12)*0.20),1)</x:f>
        <x:v>79.4</x:v>
      </x:c>
      <x:c r="AO161" s="37" t="n">
        <x:f>ROUND(MAX(0,MIN(100,(X161*0.35)+(W161/45*100*0.20)+((5-O161)/4*100*0.15)+((5-P161)/4*100*0.10)+((6-Y161)/5*100*0.10)+((100-Z161)*0.10))),1)</x:f>
        <x:v>56.8</x:v>
      </x:c>
      <x:c r="AP161" s="37" t="str">
        <x:f>IF(AO161&gt;=70,"High",IF(AO161&gt;=40,"Moderate","Low"))</x:f>
        <x:v>Moderate</x:v>
      </x:c>
      <x:c r="AQ161" s="37" t="n">
        <x:f>ROUND(MAX(0,MIN(100,(O161/4*100*0.25)+(P161/4*100*0.20)+(Q161/4*100*0.15)+(Y161/5*100*0.20)+(100-AO161)*0.20)),1)</x:f>
        <x:v>48.4</x:v>
      </x:c>
      <x:c r="AR161" s="37" t="n">
        <x:f>ROUND((AI161*0.20+AJ161*0.15+AN161*0.18+AG161*0.12+Z161*0.15+AQ161*0.20),1)</x:f>
        <x:v>82.7</x:v>
      </x:c>
      <x:c r="AS161" s="39" t="n">
        <x:f>ROUND((AC161*AF161*120)+(AH161*350)+(MAX(0,AI161-75)*220)+(MAX(0,AQ161-60)*100),0)</x:f>
        <x:v>48750</x:v>
      </x:c>
    </x:row>
    <x:row r="162">
      <x:c r="A162" s="35" t="n">
        <x:v>161</x:v>
      </x:c>
      <x:c r="B162" s="35" t="n">
        <x:v>50</x:v>
      </x:c>
      <x:c r="C162" s="35" t="str">
        <x:v>Female</x:v>
      </x:c>
      <x:c r="D162" s="35" t="str">
        <x:v>Operations</x:v>
      </x:c>
      <x:c r="E162" s="35" t="str">
        <x:v>Quality Specialist</x:v>
      </x:c>
      <x:c r="F162" s="35" t="str">
        <x:v>Medical</x:v>
      </x:c>
      <x:c r="G162" s="35" t="str">
        <x:v>Married</x:v>
      </x:c>
      <x:c r="H162" s="35" t="n">
        <x:v>4</x:v>
      </x:c>
      <x:c r="I162" s="36" t="n">
        <x:v>23850</x:v>
      </x:c>
      <x:c r="J162" s="35" t="n">
        <x:v>24</x:v>
      </x:c>
      <x:c r="K162" s="35" t="n">
        <x:v>13</x:v>
      </x:c>
      <x:c r="L162" s="35" t="n">
        <x:v>5</x:v>
      </x:c>
      <x:c r="M162" s="35" t="n">
        <x:v>7</x:v>
      </x:c>
      <x:c r="N162" s="35" t="str">
        <x:v>No</x:v>
      </x:c>
      <x:c r="O162" s="35" t="n">
        <x:v>4</x:v>
      </x:c>
      <x:c r="P162" s="35" t="n">
        <x:v>4</x:v>
      </x:c>
      <x:c r="Q162" s="35" t="n">
        <x:v>3</x:v>
      </x:c>
      <x:c r="R162" s="35" t="n">
        <x:v>3</x:v>
      </x:c>
      <x:c r="S162" s="35" t="n">
        <x:v>3</x:v>
      </x:c>
      <x:c r="T162" s="35" t="n">
        <x:v>6</x:v>
      </x:c>
      <x:c r="U162" s="35" t="n">
        <x:v>0</x:v>
      </x:c>
      <x:c r="V162" s="35" t="n">
        <x:v>2</x:v>
      </x:c>
      <x:c r="W162" s="35" t="n">
        <x:v>17</x:v>
      </x:c>
      <x:c r="X162" s="35" t="n">
        <x:v>38</x:v>
      </x:c>
      <x:c r="Y162" s="35" t="n">
        <x:v>5</x:v>
      </x:c>
      <x:c r="Z162" s="35" t="n">
        <x:v>100</x:v>
      </x:c>
      <x:c r="AA162" s="35" t="n">
        <x:v>4</x:v>
      </x:c>
      <x:c r="AB162" s="35" t="n">
        <x:v>3</x:v>
      </x:c>
      <x:c r="AC162" s="35" t="n">
        <x:v>2</x:v>
      </x:c>
      <x:c r="AD162" s="35" t="n">
        <x:v>53</x:v>
      </x:c>
      <x:c r="AE162" s="35" t="n">
        <x:v>84</x:v>
      </x:c>
      <x:c r="AF162" s="35" t="n">
        <x:v>56</x:v>
      </x:c>
      <x:c r="AG162" s="35" t="n">
        <x:v>90</x:v>
      </x:c>
      <x:c r="AH162" s="35" t="n">
        <x:v>6</x:v>
      </x:c>
      <x:c r="AI162" s="37" t="n">
        <x:v>98.3</x:v>
      </x:c>
      <x:c r="AJ162" s="37" t="n">
        <x:v>85.8</x:v>
      </x:c>
      <x:c r="AK162" s="35" t="str">
        <x:v>No</x:v>
      </x:c>
      <x:c r="AL162" s="38" t="n">
        <x:f>IF(AA162=0,0,AB162/AA162)</x:f>
        <x:v>0.75</x:v>
      </x:c>
      <x:c r="AM162" s="38" t="n">
        <x:f>IF(AB162=0,0,AC162/AB162)</x:f>
        <x:v>0.6666666666666666</x:v>
      </x:c>
      <x:c r="AN162" s="37" t="n">
        <x:f>ROUND((AD162*0.20+AE162*0.20+AF162*0.25+AG162*0.15+MIN(100,AC162*12)*0.20),1)</x:f>
        <x:v>59.7</x:v>
      </x:c>
      <x:c r="AO162" s="37" t="n">
        <x:f>ROUND(MAX(0,MIN(100,(X162*0.35)+(W162/45*100*0.20)+((5-O162)/4*100*0.15)+((5-P162)/4*100*0.10)+((6-Y162)/5*100*0.10)+((100-Z162)*0.10))),1)</x:f>
        <x:v>29.1</x:v>
      </x:c>
      <x:c r="AP162" s="37" t="str">
        <x:f>IF(AO162&gt;=70,"High",IF(AO162&gt;=40,"Moderate","Low"))</x:f>
        <x:v>Low</x:v>
      </x:c>
      <x:c r="AQ162" s="37" t="n">
        <x:f>ROUND(MAX(0,MIN(100,(O162/4*100*0.25)+(P162/4*100*0.20)+(Q162/4*100*0.15)+(Y162/5*100*0.20)+(100-AO162)*0.20)),1)</x:f>
        <x:v>90.4</x:v>
      </x:c>
      <x:c r="AR162" s="37" t="n">
        <x:f>ROUND((AI162*0.20+AJ162*0.15+AN162*0.18+AG162*0.12+Z162*0.15+AQ162*0.20),1)</x:f>
        <x:v>87.2</x:v>
      </x:c>
      <x:c r="AS162" s="39" t="n">
        <x:f>ROUND((AC162*AF162*120)+(AH162*350)+(MAX(0,AI162-75)*220)+(MAX(0,AQ162-60)*100),0)</x:f>
        <x:v>23706</x:v>
      </x:c>
    </x:row>
    <x:row r="163">
      <x:c r="A163" s="35" t="n">
        <x:v>162</x:v>
      </x:c>
      <x:c r="B163" s="35" t="n">
        <x:v>44</x:v>
      </x:c>
      <x:c r="C163" s="35" t="str">
        <x:v>Female</x:v>
      </x:c>
      <x:c r="D163" s="35" t="str">
        <x:v>Finance</x:v>
      </x:c>
      <x:c r="E163" s="35" t="str">
        <x:v>Financial Analyst</x:v>
      </x:c>
      <x:c r="F163" s="35" t="str">
        <x:v>Human Resources</x:v>
      </x:c>
      <x:c r="G163" s="35" t="str">
        <x:v>Married</x:v>
      </x:c>
      <x:c r="H163" s="35" t="n">
        <x:v>3</x:v>
      </x:c>
      <x:c r="I163" s="36" t="n">
        <x:v>9550</x:v>
      </x:c>
      <x:c r="J163" s="35" t="n">
        <x:v>12</x:v>
      </x:c>
      <x:c r="K163" s="35" t="n">
        <x:v>7</x:v>
      </x:c>
      <x:c r="L163" s="35" t="n">
        <x:v>5</x:v>
      </x:c>
      <x:c r="M163" s="35" t="n">
        <x:v>10</x:v>
      </x:c>
      <x:c r="N163" s="35" t="str">
        <x:v>Yes</x:v>
      </x:c>
      <x:c r="O163" s="35" t="n">
        <x:v>4</x:v>
      </x:c>
      <x:c r="P163" s="35" t="n">
        <x:v>4</x:v>
      </x:c>
      <x:c r="Q163" s="35" t="n">
        <x:v>3</x:v>
      </x:c>
      <x:c r="R163" s="35" t="n">
        <x:v>2</x:v>
      </x:c>
      <x:c r="S163" s="35" t="n">
        <x:v>3</x:v>
      </x:c>
      <x:c r="T163" s="35" t="n">
        <x:v>5</x:v>
      </x:c>
      <x:c r="U163" s="35" t="n">
        <x:v>1</x:v>
      </x:c>
      <x:c r="V163" s="35" t="n">
        <x:v>7</x:v>
      </x:c>
      <x:c r="W163" s="35" t="n">
        <x:v>38</x:v>
      </x:c>
      <x:c r="X163" s="35" t="n">
        <x:v>82</x:v>
      </x:c>
      <x:c r="Y163" s="35" t="n">
        <x:v>5</x:v>
      </x:c>
      <x:c r="Z163" s="35" t="n">
        <x:v>97</x:v>
      </x:c>
      <x:c r="AA163" s="35" t="n">
        <x:v>2</x:v>
      </x:c>
      <x:c r="AB163" s="35" t="n">
        <x:v>1</x:v>
      </x:c>
      <x:c r="AC163" s="35" t="n">
        <x:v>1</x:v>
      </x:c>
      <x:c r="AD163" s="35" t="n">
        <x:v>82</x:v>
      </x:c>
      <x:c r="AE163" s="35" t="n">
        <x:v>66</x:v>
      </x:c>
      <x:c r="AF163" s="35" t="n">
        <x:v>62</x:v>
      </x:c>
      <x:c r="AG163" s="35" t="n">
        <x:v>73</x:v>
      </x:c>
      <x:c r="AH163" s="35" t="n">
        <x:v>6</x:v>
      </x:c>
      <x:c r="AI163" s="37" t="n">
        <x:v>95.4</x:v>
      </x:c>
      <x:c r="AJ163" s="37" t="n">
        <x:v>87.1</x:v>
      </x:c>
      <x:c r="AK163" s="35" t="str">
        <x:v>Yes</x:v>
      </x:c>
      <x:c r="AL163" s="38" t="n">
        <x:f>IF(AA163=0,0,AB163/AA163)</x:f>
        <x:v>0.5</x:v>
      </x:c>
      <x:c r="AM163" s="38" t="n">
        <x:f>IF(AB163=0,0,AC163/AB163)</x:f>
        <x:v>1</x:v>
      </x:c>
      <x:c r="AN163" s="37" t="n">
        <x:f>ROUND((AD163*0.20+AE163*0.20+AF163*0.25+AG163*0.15+MIN(100,AC163*12)*0.20),1)</x:f>
        <x:v>58.5</x:v>
      </x:c>
      <x:c r="AO163" s="37" t="n">
        <x:f>ROUND(MAX(0,MIN(100,(X163*0.35)+(W163/45*100*0.20)+((5-O163)/4*100*0.15)+((5-P163)/4*100*0.10)+((6-Y163)/5*100*0.10)+((100-Z163)*0.10))),1)</x:f>
        <x:v>54.1</x:v>
      </x:c>
      <x:c r="AP163" s="37" t="str">
        <x:f>IF(AO163&gt;=70,"High",IF(AO163&gt;=40,"Moderate","Low"))</x:f>
        <x:v>Moderate</x:v>
      </x:c>
      <x:c r="AQ163" s="37" t="n">
        <x:f>ROUND(MAX(0,MIN(100,(O163/4*100*0.25)+(P163/4*100*0.20)+(Q163/4*100*0.15)+(Y163/5*100*0.20)+(100-AO163)*0.20)),1)</x:f>
        <x:v>85.4</x:v>
      </x:c>
      <x:c r="AR163" s="37" t="n">
        <x:f>ROUND((AI163*0.20+AJ163*0.15+AN163*0.18+AG163*0.12+Z163*0.15+AQ163*0.20),1)</x:f>
        <x:v>83.1</x:v>
      </x:c>
      <x:c r="AS163" s="39" t="n">
        <x:f>ROUND((AC163*AF163*120)+(AH163*350)+(MAX(0,AI163-75)*220)+(MAX(0,AQ163-60)*100),0)</x:f>
        <x:v>16568</x:v>
      </x:c>
    </x:row>
    <x:row r="164">
      <x:c r="A164" s="35" t="n">
        <x:v>163</x:v>
      </x:c>
      <x:c r="B164" s="35" t="n">
        <x:v>21</x:v>
      </x:c>
      <x:c r="C164" s="35" t="str">
        <x:v>Male</x:v>
      </x:c>
      <x:c r="D164" s="35" t="str">
        <x:v>Information Technology</x:v>
      </x:c>
      <x:c r="E164" s="35" t="str">
        <x:v>IT Manager</x:v>
      </x:c>
      <x:c r="F164" s="35" t="str">
        <x:v>Marketing</x:v>
      </x:c>
      <x:c r="G164" s="35" t="str">
        <x:v>Single</x:v>
      </x:c>
      <x:c r="H164" s="35" t="n">
        <x:v>1</x:v>
      </x:c>
      <x:c r="I164" s="36" t="n">
        <x:v>6480</x:v>
      </x:c>
      <x:c r="J164" s="35" t="n">
        <x:v>0</x:v>
      </x:c>
      <x:c r="K164" s="35" t="n">
        <x:v>0</x:v>
      </x:c>
      <x:c r="L164" s="35" t="n">
        <x:v>0</x:v>
      </x:c>
      <x:c r="M164" s="35" t="n">
        <x:v>6</x:v>
      </x:c>
      <x:c r="N164" s="35" t="str">
        <x:v>No</x:v>
      </x:c>
      <x:c r="O164" s="35" t="n">
        <x:v>2</x:v>
      </x:c>
      <x:c r="P164" s="35" t="n">
        <x:v>4</x:v>
      </x:c>
      <x:c r="Q164" s="35" t="n">
        <x:v>2</x:v>
      </x:c>
      <x:c r="R164" s="35" t="n">
        <x:v>4</x:v>
      </x:c>
      <x:c r="S164" s="35" t="n">
        <x:v>3</x:v>
      </x:c>
      <x:c r="T164" s="35" t="n">
        <x:v>4</x:v>
      </x:c>
      <x:c r="U164" s="35" t="n">
        <x:v>1</x:v>
      </x:c>
      <x:c r="V164" s="35" t="n">
        <x:v>0</x:v>
      </x:c>
      <x:c r="W164" s="35" t="n">
        <x:v>2</x:v>
      </x:c>
      <x:c r="X164" s="35" t="n">
        <x:v>69</x:v>
      </x:c>
      <x:c r="Y164" s="35" t="n">
        <x:v>5</x:v>
      </x:c>
      <x:c r="Z164" s="35" t="n">
        <x:v>100</x:v>
      </x:c>
      <x:c r="AA164" s="35" t="n">
        <x:v>4</x:v>
      </x:c>
      <x:c r="AB164" s="35" t="n">
        <x:v>4</x:v>
      </x:c>
      <x:c r="AC164" s="35" t="n">
        <x:v>3</x:v>
      </x:c>
      <x:c r="AD164" s="35" t="n">
        <x:v>96</x:v>
      </x:c>
      <x:c r="AE164" s="35" t="n">
        <x:v>78</x:v>
      </x:c>
      <x:c r="AF164" s="35" t="n">
        <x:v>65</x:v>
      </x:c>
      <x:c r="AG164" s="35" t="n">
        <x:v>100</x:v>
      </x:c>
      <x:c r="AH164" s="35" t="n">
        <x:v>6</x:v>
      </x:c>
      <x:c r="AI164" s="37" t="n">
        <x:v>100</x:v>
      </x:c>
      <x:c r="AJ164" s="37" t="n">
        <x:v>98.4</x:v>
      </x:c>
      <x:c r="AK164" s="35" t="str">
        <x:v>No</x:v>
      </x:c>
      <x:c r="AL164" s="38" t="n">
        <x:f>IF(AA164=0,0,AB164/AA164)</x:f>
        <x:v>1</x:v>
      </x:c>
      <x:c r="AM164" s="38" t="n">
        <x:f>IF(AB164=0,0,AC164/AB164)</x:f>
        <x:v>0.75</x:v>
      </x:c>
      <x:c r="AN164" s="37" t="n">
        <x:f>ROUND((AD164*0.20+AE164*0.20+AF164*0.25+AG164*0.15+MIN(100,AC164*12)*0.20),1)</x:f>
        <x:v>73.3</x:v>
      </x:c>
      <x:c r="AO164" s="37" t="n">
        <x:f>ROUND(MAX(0,MIN(100,(X164*0.35)+(W164/45*100*0.20)+((5-O164)/4*100*0.15)+((5-P164)/4*100*0.10)+((6-Y164)/5*100*0.10)+((100-Z164)*0.10))),1)</x:f>
        <x:v>40.8</x:v>
      </x:c>
      <x:c r="AP164" s="37" t="str">
        <x:f>IF(AO164&gt;=70,"High",IF(AO164&gt;=40,"Moderate","Low"))</x:f>
        <x:v>Moderate</x:v>
      </x:c>
      <x:c r="AQ164" s="37" t="n">
        <x:f>ROUND(MAX(0,MIN(100,(O164/4*100*0.25)+(P164/4*100*0.20)+(Q164/4*100*0.15)+(Y164/5*100*0.20)+(100-AO164)*0.20)),1)</x:f>
        <x:v>71.8</x:v>
      </x:c>
      <x:c r="AR164" s="37" t="n">
        <x:f>ROUND((AI164*0.20+AJ164*0.15+AN164*0.18+AG164*0.12+Z164*0.15+AQ164*0.20),1)</x:f>
        <x:v>89.3</x:v>
      </x:c>
      <x:c r="AS164" s="39" t="n">
        <x:f>ROUND((AC164*AF164*120)+(AH164*350)+(MAX(0,AI164-75)*220)+(MAX(0,AQ164-60)*100),0)</x:f>
        <x:v>32180</x:v>
      </x:c>
    </x:row>
    <x:row r="165">
      <x:c r="A165" s="35" t="n">
        <x:v>164</x:v>
      </x:c>
      <x:c r="B165" s="35" t="n">
        <x:v>35</x:v>
      </x:c>
      <x:c r="C165" s="35" t="str">
        <x:v>Female</x:v>
      </x:c>
      <x:c r="D165" s="35" t="str">
        <x:v>Finance</x:v>
      </x:c>
      <x:c r="E165" s="35" t="str">
        <x:v>Accountant</x:v>
      </x:c>
      <x:c r="F165" s="35" t="str">
        <x:v>Marketing</x:v>
      </x:c>
      <x:c r="G165" s="35" t="str">
        <x:v>Married</x:v>
      </x:c>
      <x:c r="H165" s="35" t="n">
        <x:v>1</x:v>
      </x:c>
      <x:c r="I165" s="36" t="n">
        <x:v>5360</x:v>
      </x:c>
      <x:c r="J165" s="35" t="n">
        <x:v>9</x:v>
      </x:c>
      <x:c r="K165" s="35" t="n">
        <x:v>7</x:v>
      </x:c>
      <x:c r="L165" s="35" t="n">
        <x:v>4</x:v>
      </x:c>
      <x:c r="M165" s="35" t="n">
        <x:v>15</x:v>
      </x:c>
      <x:c r="N165" s="35" t="str">
        <x:v>No</x:v>
      </x:c>
      <x:c r="O165" s="35" t="n">
        <x:v>3</x:v>
      </x:c>
      <x:c r="P165" s="35" t="n">
        <x:v>2</x:v>
      </x:c>
      <x:c r="Q165" s="35" t="n">
        <x:v>4</x:v>
      </x:c>
      <x:c r="R165" s="35" t="n">
        <x:v>2</x:v>
      </x:c>
      <x:c r="S165" s="35" t="n">
        <x:v>4</x:v>
      </x:c>
      <x:c r="T165" s="35" t="n">
        <x:v>3</x:v>
      </x:c>
      <x:c r="U165" s="35" t="n">
        <x:v>3</x:v>
      </x:c>
      <x:c r="V165" s="35" t="n">
        <x:v>2</x:v>
      </x:c>
      <x:c r="W165" s="35" t="n">
        <x:v>4</x:v>
      </x:c>
      <x:c r="X165" s="35" t="n">
        <x:v>73</x:v>
      </x:c>
      <x:c r="Y165" s="35" t="n">
        <x:v>4</x:v>
      </x:c>
      <x:c r="Z165" s="35" t="n">
        <x:v>80</x:v>
      </x:c>
      <x:c r="AA165" s="35" t="n">
        <x:v>6</x:v>
      </x:c>
      <x:c r="AB165" s="35" t="n">
        <x:v>6</x:v>
      </x:c>
      <x:c r="AC165" s="35" t="n">
        <x:v>5</x:v>
      </x:c>
      <x:c r="AD165" s="35" t="n">
        <x:v>70</x:v>
      </x:c>
      <x:c r="AE165" s="35" t="n">
        <x:v>85</x:v>
      </x:c>
      <x:c r="AF165" s="35" t="n">
        <x:v>95</x:v>
      </x:c>
      <x:c r="AG165" s="35" t="n">
        <x:v>68</x:v>
      </x:c>
      <x:c r="AH165" s="35" t="n">
        <x:v>10</x:v>
      </x:c>
      <x:c r="AI165" s="37" t="n">
        <x:v>100</x:v>
      </x:c>
      <x:c r="AJ165" s="37" t="n">
        <x:v>90.6</x:v>
      </x:c>
      <x:c r="AK165" s="35" t="str">
        <x:v>No</x:v>
      </x:c>
      <x:c r="AL165" s="38" t="n">
        <x:f>IF(AA165=0,0,AB165/AA165)</x:f>
        <x:v>1</x:v>
      </x:c>
      <x:c r="AM165" s="38" t="n">
        <x:f>IF(AB165=0,0,AC165/AB165)</x:f>
        <x:v>0.8333333333333334</x:v>
      </x:c>
      <x:c r="AN165" s="37" t="n">
        <x:f>ROUND((AD165*0.20+AE165*0.20+AF165*0.25+AG165*0.15+MIN(100,AC165*12)*0.20),1)</x:f>
        <x:v>77</x:v>
      </x:c>
      <x:c r="AO165" s="37" t="n">
        <x:f>ROUND(MAX(0,MIN(100,(X165*0.35)+(W165/45*100*0.20)+((5-O165)/4*100*0.15)+((5-P165)/4*100*0.10)+((6-Y165)/5*100*0.10)+((100-Z165)*0.10))),1)</x:f>
        <x:v>48.3</x:v>
      </x:c>
      <x:c r="AP165" s="37" t="str">
        <x:f>IF(AO165&gt;=70,"High",IF(AO165&gt;=40,"Moderate","Low"))</x:f>
        <x:v>Moderate</x:v>
      </x:c>
      <x:c r="AQ165" s="37" t="n">
        <x:f>ROUND(MAX(0,MIN(100,(O165/4*100*0.25)+(P165/4*100*0.20)+(Q165/4*100*0.15)+(Y165/5*100*0.20)+(100-AO165)*0.20)),1)</x:f>
        <x:v>70.1</x:v>
      </x:c>
      <x:c r="AR165" s="37" t="n">
        <x:f>ROUND((AI165*0.20+AJ165*0.15+AN165*0.18+AG165*0.12+Z165*0.15+AQ165*0.20),1)</x:f>
        <x:v>81.6</x:v>
      </x:c>
      <x:c r="AS165" s="39" t="n">
        <x:f>ROUND((AC165*AF165*120)+(AH165*350)+(MAX(0,AI165-75)*220)+(MAX(0,AQ165-60)*100),0)</x:f>
        <x:v>67010</x:v>
      </x:c>
    </x:row>
    <x:row r="166">
      <x:c r="A166" s="35" t="n">
        <x:v>165</x:v>
      </x:c>
      <x:c r="B166" s="35" t="n">
        <x:v>27</x:v>
      </x:c>
      <x:c r="C166" s="35" t="str">
        <x:v>Female</x:v>
      </x:c>
      <x:c r="D166" s="35" t="str">
        <x:v>Marketing</x:v>
      </x:c>
      <x:c r="E166" s="35" t="str">
        <x:v>Digital Marketing Analyst</x:v>
      </x:c>
      <x:c r="F166" s="35" t="str">
        <x:v>Technical Degree</x:v>
      </x:c>
      <x:c r="G166" s="35" t="str">
        <x:v>Single</x:v>
      </x:c>
      <x:c r="H166" s="35" t="n">
        <x:v>2</x:v>
      </x:c>
      <x:c r="I166" s="36" t="n">
        <x:v>8270</x:v>
      </x:c>
      <x:c r="J166" s="35" t="n">
        <x:v>3</x:v>
      </x:c>
      <x:c r="K166" s="35" t="n">
        <x:v>1</x:v>
      </x:c>
      <x:c r="L166" s="35" t="n">
        <x:v>1</x:v>
      </x:c>
      <x:c r="M166" s="35" t="n">
        <x:v>15</x:v>
      </x:c>
      <x:c r="N166" s="35" t="str">
        <x:v>No</x:v>
      </x:c>
      <x:c r="O166" s="35" t="n">
        <x:v>4</x:v>
      </x:c>
      <x:c r="P166" s="35" t="n">
        <x:v>2</x:v>
      </x:c>
      <x:c r="Q166" s="35" t="n">
        <x:v>3</x:v>
      </x:c>
      <x:c r="R166" s="35" t="n">
        <x:v>2</x:v>
      </x:c>
      <x:c r="S166" s="35" t="n">
        <x:v>4</x:v>
      </x:c>
      <x:c r="T166" s="35" t="n">
        <x:v>1</x:v>
      </x:c>
      <x:c r="U166" s="35" t="n">
        <x:v>1</x:v>
      </x:c>
      <x:c r="V166" s="35" t="n">
        <x:v>7</x:v>
      </x:c>
      <x:c r="W166" s="35" t="n">
        <x:v>7</x:v>
      </x:c>
      <x:c r="X166" s="35" t="n">
        <x:v>47</x:v>
      </x:c>
      <x:c r="Y166" s="35" t="n">
        <x:v>4</x:v>
      </x:c>
      <x:c r="Z166" s="35" t="n">
        <x:v>93</x:v>
      </x:c>
      <x:c r="AA166" s="35" t="n">
        <x:v>4</x:v>
      </x:c>
      <x:c r="AB166" s="35" t="n">
        <x:v>4</x:v>
      </x:c>
      <x:c r="AC166" s="35" t="n">
        <x:v>3</x:v>
      </x:c>
      <x:c r="AD166" s="35" t="n">
        <x:v>71</x:v>
      </x:c>
      <x:c r="AE166" s="35" t="n">
        <x:v>86</x:v>
      </x:c>
      <x:c r="AF166" s="35" t="n">
        <x:v>88</x:v>
      </x:c>
      <x:c r="AG166" s="35" t="n">
        <x:v>92</x:v>
      </x:c>
      <x:c r="AH166" s="35" t="n">
        <x:v>8</x:v>
      </x:c>
      <x:c r="AI166" s="37" t="n">
        <x:v>100</x:v>
      </x:c>
      <x:c r="AJ166" s="37" t="n">
        <x:v>100</x:v>
      </x:c>
      <x:c r="AK166" s="35" t="str">
        <x:v>No</x:v>
      </x:c>
      <x:c r="AL166" s="38" t="n">
        <x:f>IF(AA166=0,0,AB166/AA166)</x:f>
        <x:v>1</x:v>
      </x:c>
      <x:c r="AM166" s="38" t="n">
        <x:f>IF(AB166=0,0,AC166/AB166)</x:f>
        <x:v>0.75</x:v>
      </x:c>
      <x:c r="AN166" s="37" t="n">
        <x:f>ROUND((AD166*0.20+AE166*0.20+AF166*0.25+AG166*0.15+MIN(100,AC166*12)*0.20),1)</x:f>
        <x:v>74.4</x:v>
      </x:c>
      <x:c r="AO166" s="37" t="n">
        <x:f>ROUND(MAX(0,MIN(100,(X166*0.35)+(W166/45*100*0.20)+((5-O166)/4*100*0.15)+((5-P166)/4*100*0.10)+((6-Y166)/5*100*0.10)+((100-Z166)*0.10))),1)</x:f>
        <x:v>35.5</x:v>
      </x:c>
      <x:c r="AP166" s="37" t="str">
        <x:f>IF(AO166&gt;=70,"High",IF(AO166&gt;=40,"Moderate","Low"))</x:f>
        <x:v>Low</x:v>
      </x:c>
      <x:c r="AQ166" s="37" t="n">
        <x:f>ROUND(MAX(0,MIN(100,(O166/4*100*0.25)+(P166/4*100*0.20)+(Q166/4*100*0.15)+(Y166/5*100*0.20)+(100-AO166)*0.20)),1)</x:f>
        <x:v>75.2</x:v>
      </x:c>
      <x:c r="AR166" s="37" t="n">
        <x:f>ROUND((AI166*0.20+AJ166*0.15+AN166*0.18+AG166*0.12+Z166*0.15+AQ166*0.20),1)</x:f>
        <x:v>88.4</x:v>
      </x:c>
      <x:c r="AS166" s="39" t="n">
        <x:f>ROUND((AC166*AF166*120)+(AH166*350)+(MAX(0,AI166-75)*220)+(MAX(0,AQ166-60)*100),0)</x:f>
        <x:v>41500</x:v>
      </x:c>
    </x:row>
    <x:row r="167">
      <x:c r="A167" s="35" t="n">
        <x:v>166</x:v>
      </x:c>
      <x:c r="B167" s="35" t="n">
        <x:v>33</x:v>
      </x:c>
      <x:c r="C167" s="35" t="str">
        <x:v>Female</x:v>
      </x:c>
      <x:c r="D167" s="35" t="str">
        <x:v>Research &amp; Development</x:v>
      </x:c>
      <x:c r="E167" s="35" t="str">
        <x:v>Research Scientist</x:v>
      </x:c>
      <x:c r="F167" s="35" t="str">
        <x:v>Business</x:v>
      </x:c>
      <x:c r="G167" s="35" t="str">
        <x:v>Single</x:v>
      </x:c>
      <x:c r="H167" s="35" t="n">
        <x:v>2</x:v>
      </x:c>
      <x:c r="I167" s="36" t="n">
        <x:v>9340</x:v>
      </x:c>
      <x:c r="J167" s="35" t="n">
        <x:v>9</x:v>
      </x:c>
      <x:c r="K167" s="35" t="n">
        <x:v>4</x:v>
      </x:c>
      <x:c r="L167" s="35" t="n">
        <x:v>1</x:v>
      </x:c>
      <x:c r="M167" s="35" t="n">
        <x:v>2</x:v>
      </x:c>
      <x:c r="N167" s="35" t="str">
        <x:v>No</x:v>
      </x:c>
      <x:c r="O167" s="35" t="n">
        <x:v>3</x:v>
      </x:c>
      <x:c r="P167" s="35" t="n">
        <x:v>3</x:v>
      </x:c>
      <x:c r="Q167" s="35" t="n">
        <x:v>3</x:v>
      </x:c>
      <x:c r="R167" s="35" t="n">
        <x:v>1</x:v>
      </x:c>
      <x:c r="S167" s="35" t="n">
        <x:v>3</x:v>
      </x:c>
      <x:c r="T167" s="35" t="n">
        <x:v>3</x:v>
      </x:c>
      <x:c r="U167" s="35" t="n">
        <x:v>2</x:v>
      </x:c>
      <x:c r="V167" s="35" t="n">
        <x:v>11</x:v>
      </x:c>
      <x:c r="W167" s="35" t="n">
        <x:v>10</x:v>
      </x:c>
      <x:c r="X167" s="35" t="n">
        <x:v>56</x:v>
      </x:c>
      <x:c r="Y167" s="35" t="n">
        <x:v>5</x:v>
      </x:c>
      <x:c r="Z167" s="35" t="n">
        <x:v>82</x:v>
      </x:c>
      <x:c r="AA167" s="35" t="n">
        <x:v>3</x:v>
      </x:c>
      <x:c r="AB167" s="35" t="n">
        <x:v>2</x:v>
      </x:c>
      <x:c r="AC167" s="35" t="n">
        <x:v>1</x:v>
      </x:c>
      <x:c r="AD167" s="35" t="n">
        <x:v>70</x:v>
      </x:c>
      <x:c r="AE167" s="35" t="n">
        <x:v>62</x:v>
      </x:c>
      <x:c r="AF167" s="35" t="n">
        <x:v>89</x:v>
      </x:c>
      <x:c r="AG167" s="35" t="n">
        <x:v>83</x:v>
      </x:c>
      <x:c r="AH167" s="35" t="n">
        <x:v>5</x:v>
      </x:c>
      <x:c r="AI167" s="37" t="n">
        <x:v>98.8</x:v>
      </x:c>
      <x:c r="AJ167" s="37" t="n">
        <x:v>90.4</x:v>
      </x:c>
      <x:c r="AK167" s="35" t="str">
        <x:v>No</x:v>
      </x:c>
      <x:c r="AL167" s="38" t="n">
        <x:f>IF(AA167=0,0,AB167/AA167)</x:f>
        <x:v>0.6666666666666666</x:v>
      </x:c>
      <x:c r="AM167" s="38" t="n">
        <x:f>IF(AB167=0,0,AC167/AB167)</x:f>
        <x:v>0.5</x:v>
      </x:c>
      <x:c r="AN167" s="37" t="n">
        <x:f>ROUND((AD167*0.20+AE167*0.20+AF167*0.25+AG167*0.15+MIN(100,AC167*12)*0.20),1)</x:f>
        <x:v>63.5</x:v>
      </x:c>
      <x:c r="AO167" s="37" t="n">
        <x:f>ROUND(MAX(0,MIN(100,(X167*0.35)+(W167/45*100*0.20)+((5-O167)/4*100*0.15)+((5-P167)/4*100*0.10)+((6-Y167)/5*100*0.10)+((100-Z167)*0.10))),1)</x:f>
        <x:v>40.3</x:v>
      </x:c>
      <x:c r="AP167" s="37" t="str">
        <x:f>IF(AO167&gt;=70,"High",IF(AO167&gt;=40,"Moderate","Low"))</x:f>
        <x:v>Moderate</x:v>
      </x:c>
      <x:c r="AQ167" s="37" t="n">
        <x:f>ROUND(MAX(0,MIN(100,(O167/4*100*0.25)+(P167/4*100*0.20)+(Q167/4*100*0.15)+(Y167/5*100*0.20)+(100-AO167)*0.20)),1)</x:f>
        <x:v>76.9</x:v>
      </x:c>
      <x:c r="AR167" s="37" t="n">
        <x:f>ROUND((AI167*0.20+AJ167*0.15+AN167*0.18+AG167*0.12+Z167*0.15+AQ167*0.20),1)</x:f>
        <x:v>82.4</x:v>
      </x:c>
      <x:c r="AS167" s="39" t="n">
        <x:f>ROUND((AC167*AF167*120)+(AH167*350)+(MAX(0,AI167-75)*220)+(MAX(0,AQ167-60)*100),0)</x:f>
        <x:v>19356</x:v>
      </x:c>
    </x:row>
    <x:row r="168">
      <x:c r="A168" s="35" t="n">
        <x:v>167</x:v>
      </x:c>
      <x:c r="B168" s="35" t="n">
        <x:v>47</x:v>
      </x:c>
      <x:c r="C168" s="35" t="str">
        <x:v>Female</x:v>
      </x:c>
      <x:c r="D168" s="35" t="str">
        <x:v>Sales</x:v>
      </x:c>
      <x:c r="E168" s="35" t="str">
        <x:v>Account Manager</x:v>
      </x:c>
      <x:c r="F168" s="35" t="str">
        <x:v>Life Sciences</x:v>
      </x:c>
      <x:c r="G168" s="35" t="str">
        <x:v>Married</x:v>
      </x:c>
      <x:c r="H168" s="35" t="n">
        <x:v>3</x:v>
      </x:c>
      <x:c r="I168" s="36" t="n">
        <x:v>17490</x:v>
      </x:c>
      <x:c r="J168" s="35" t="n">
        <x:v>15</x:v>
      </x:c>
      <x:c r="K168" s="35" t="n">
        <x:v>4</x:v>
      </x:c>
      <x:c r="L168" s="35" t="n">
        <x:v>2</x:v>
      </x:c>
      <x:c r="M168" s="35" t="n">
        <x:v>9</x:v>
      </x:c>
      <x:c r="N168" s="35" t="str">
        <x:v>No</x:v>
      </x:c>
      <x:c r="O168" s="35" t="n">
        <x:v>3</x:v>
      </x:c>
      <x:c r="P168" s="35" t="n">
        <x:v>2</x:v>
      </x:c>
      <x:c r="Q168" s="35" t="n">
        <x:v>1</x:v>
      </x:c>
      <x:c r="R168" s="35" t="n">
        <x:v>2</x:v>
      </x:c>
      <x:c r="S168" s="35" t="n">
        <x:v>3</x:v>
      </x:c>
      <x:c r="T168" s="35" t="n">
        <x:v>0</x:v>
      </x:c>
      <x:c r="U168" s="35" t="n">
        <x:v>0</x:v>
      </x:c>
      <x:c r="V168" s="35" t="n">
        <x:v>6</x:v>
      </x:c>
      <x:c r="W168" s="35" t="n">
        <x:v>6</x:v>
      </x:c>
      <x:c r="X168" s="35" t="n">
        <x:v>67</x:v>
      </x:c>
      <x:c r="Y168" s="35" t="n">
        <x:v>5</x:v>
      </x:c>
      <x:c r="Z168" s="35" t="n">
        <x:v>92</x:v>
      </x:c>
      <x:c r="AA168" s="35" t="n">
        <x:v>3</x:v>
      </x:c>
      <x:c r="AB168" s="35" t="n">
        <x:v>3</x:v>
      </x:c>
      <x:c r="AC168" s="35" t="n">
        <x:v>3</x:v>
      </x:c>
      <x:c r="AD168" s="35" t="n">
        <x:v>59</x:v>
      </x:c>
      <x:c r="AE168" s="35" t="n">
        <x:v>77</x:v>
      </x:c>
      <x:c r="AF168" s="35" t="n">
        <x:v>94</x:v>
      </x:c>
      <x:c r="AG168" s="35" t="n">
        <x:v>80</x:v>
      </x:c>
      <x:c r="AH168" s="35" t="n">
        <x:v>5</x:v>
      </x:c>
      <x:c r="AI168" s="37" t="n">
        <x:v>99.2</x:v>
      </x:c>
      <x:c r="AJ168" s="37" t="n">
        <x:v>96.3</x:v>
      </x:c>
      <x:c r="AK168" s="35" t="str">
        <x:v>No</x:v>
      </x:c>
      <x:c r="AL168" s="38" t="n">
        <x:f>IF(AA168=0,0,AB168/AA168)</x:f>
        <x:v>1</x:v>
      </x:c>
      <x:c r="AM168" s="38" t="n">
        <x:f>IF(AB168=0,0,AC168/AB168)</x:f>
        <x:v>1</x:v>
      </x:c>
      <x:c r="AN168" s="37" t="n">
        <x:f>ROUND((AD168*0.20+AE168*0.20+AF168*0.25+AG168*0.15+MIN(100,AC168*12)*0.20),1)</x:f>
        <x:v>69.9</x:v>
      </x:c>
      <x:c r="AO168" s="37" t="n">
        <x:f>ROUND(MAX(0,MIN(100,(X168*0.35)+(W168/45*100*0.20)+((5-O168)/4*100*0.15)+((5-P168)/4*100*0.10)+((6-Y168)/5*100*0.10)+((100-Z168)*0.10))),1)</x:f>
        <x:v>43.9</x:v>
      </x:c>
      <x:c r="AP168" s="37" t="str">
        <x:f>IF(AO168&gt;=70,"High",IF(AO168&gt;=40,"Moderate","Low"))</x:f>
        <x:v>Moderate</x:v>
      </x:c>
      <x:c r="AQ168" s="37" t="n">
        <x:f>ROUND(MAX(0,MIN(100,(O168/4*100*0.25)+(P168/4*100*0.20)+(Q168/4*100*0.15)+(Y168/5*100*0.20)+(100-AO168)*0.20)),1)</x:f>
        <x:v>63.7</x:v>
      </x:c>
      <x:c r="AR168" s="37" t="n">
        <x:f>ROUND((AI168*0.20+AJ168*0.15+AN168*0.18+AG168*0.12+Z168*0.15+AQ168*0.20),1)</x:f>
        <x:v>83</x:v>
      </x:c>
      <x:c r="AS168" s="39" t="n">
        <x:f>ROUND((AC168*AF168*120)+(AH168*350)+(MAX(0,AI168-75)*220)+(MAX(0,AQ168-60)*100),0)</x:f>
        <x:v>41284</x:v>
      </x:c>
    </x:row>
    <x:row r="169">
      <x:c r="A169" s="35" t="n">
        <x:v>168</x:v>
      </x:c>
      <x:c r="B169" s="35" t="n">
        <x:v>55</x:v>
      </x:c>
      <x:c r="C169" s="35" t="str">
        <x:v>Female</x:v>
      </x:c>
      <x:c r="D169" s="35" t="str">
        <x:v>Information Technology</x:v>
      </x:c>
      <x:c r="E169" s="35" t="str">
        <x:v>IT Manager</x:v>
      </x:c>
      <x:c r="F169" s="35" t="str">
        <x:v>Computer Science</x:v>
      </x:c>
      <x:c r="G169" s="35" t="str">
        <x:v>Married</x:v>
      </x:c>
      <x:c r="H169" s="35" t="n">
        <x:v>3</x:v>
      </x:c>
      <x:c r="I169" s="36" t="n">
        <x:v>13820</x:v>
      </x:c>
      <x:c r="J169" s="35" t="n">
        <x:v>30</x:v>
      </x:c>
      <x:c r="K169" s="35" t="n">
        <x:v>20</x:v>
      </x:c>
      <x:c r="L169" s="35" t="n">
        <x:v>6</x:v>
      </x:c>
      <x:c r="M169" s="35" t="n">
        <x:v>10</x:v>
      </x:c>
      <x:c r="N169" s="35" t="str">
        <x:v>Yes</x:v>
      </x:c>
      <x:c r="O169" s="35" t="n">
        <x:v>1</x:v>
      </x:c>
      <x:c r="P169" s="35" t="n">
        <x:v>2</x:v>
      </x:c>
      <x:c r="Q169" s="35" t="n">
        <x:v>3</x:v>
      </x:c>
      <x:c r="R169" s="35" t="n">
        <x:v>2</x:v>
      </x:c>
      <x:c r="S169" s="35" t="n">
        <x:v>3</x:v>
      </x:c>
      <x:c r="T169" s="35" t="n">
        <x:v>4</x:v>
      </x:c>
      <x:c r="U169" s="35" t="n">
        <x:v>0</x:v>
      </x:c>
      <x:c r="V169" s="35" t="n">
        <x:v>5</x:v>
      </x:c>
      <x:c r="W169" s="35" t="n">
        <x:v>25</x:v>
      </x:c>
      <x:c r="X169" s="35" t="n">
        <x:v>68</x:v>
      </x:c>
      <x:c r="Y169" s="35" t="n">
        <x:v>4</x:v>
      </x:c>
      <x:c r="Z169" s="35" t="n">
        <x:v>78</x:v>
      </x:c>
      <x:c r="AA169" s="35" t="n">
        <x:v>5</x:v>
      </x:c>
      <x:c r="AB169" s="35" t="n">
        <x:v>4</x:v>
      </x:c>
      <x:c r="AC169" s="35" t="n">
        <x:v>2</x:v>
      </x:c>
      <x:c r="AD169" s="35" t="n">
        <x:v>78</x:v>
      </x:c>
      <x:c r="AE169" s="35" t="n">
        <x:v>78</x:v>
      </x:c>
      <x:c r="AF169" s="35" t="n">
        <x:v>69</x:v>
      </x:c>
      <x:c r="AG169" s="35" t="n">
        <x:v>74</x:v>
      </x:c>
      <x:c r="AH169" s="35" t="n">
        <x:v>5</x:v>
      </x:c>
      <x:c r="AI169" s="37" t="n">
        <x:v>96.9</x:v>
      </x:c>
      <x:c r="AJ169" s="37" t="n">
        <x:v>88.3</x:v>
      </x:c>
      <x:c r="AK169" s="35" t="str">
        <x:v>Yes</x:v>
      </x:c>
      <x:c r="AL169" s="38" t="n">
        <x:f>IF(AA169=0,0,AB169/AA169)</x:f>
        <x:v>0.8</x:v>
      </x:c>
      <x:c r="AM169" s="38" t="n">
        <x:f>IF(AB169=0,0,AC169/AB169)</x:f>
        <x:v>0.5</x:v>
      </x:c>
      <x:c r="AN169" s="37" t="n">
        <x:f>ROUND((AD169*0.20+AE169*0.20+AF169*0.25+AG169*0.15+MIN(100,AC169*12)*0.20),1)</x:f>
        <x:v>64.4</x:v>
      </x:c>
      <x:c r="AO169" s="37" t="n">
        <x:f>ROUND(MAX(0,MIN(100,(X169*0.35)+(W169/45*100*0.20)+((5-O169)/4*100*0.15)+((5-P169)/4*100*0.10)+((6-Y169)/5*100*0.10)+((100-Z169)*0.10))),1)</x:f>
        <x:v>63.6</x:v>
      </x:c>
      <x:c r="AP169" s="37" t="str">
        <x:f>IF(AO169&gt;=70,"High",IF(AO169&gt;=40,"Moderate","Low"))</x:f>
        <x:v>Moderate</x:v>
      </x:c>
      <x:c r="AQ169" s="37" t="n">
        <x:f>ROUND(MAX(0,MIN(100,(O169/4*100*0.25)+(P169/4*100*0.20)+(Q169/4*100*0.15)+(Y169/5*100*0.20)+(100-AO169)*0.20)),1)</x:f>
        <x:v>50.8</x:v>
      </x:c>
      <x:c r="AR169" s="37" t="n">
        <x:f>ROUND((AI169*0.20+AJ169*0.15+AN169*0.18+AG169*0.12+Z169*0.15+AQ169*0.20),1)</x:f>
        <x:v>75</x:v>
      </x:c>
      <x:c r="AS169" s="39" t="n">
        <x:f>ROUND((AC169*AF169*120)+(AH169*350)+(MAX(0,AI169-75)*220)+(MAX(0,AQ169-60)*100),0)</x:f>
        <x:v>23128</x:v>
      </x:c>
    </x:row>
    <x:row r="170">
      <x:c r="A170" s="35" t="n">
        <x:v>169</x:v>
      </x:c>
      <x:c r="B170" s="35" t="n">
        <x:v>32</x:v>
      </x:c>
      <x:c r="C170" s="35" t="str">
        <x:v>Male</x:v>
      </x:c>
      <x:c r="D170" s="35" t="str">
        <x:v>Sales</x:v>
      </x:c>
      <x:c r="E170" s="35" t="str">
        <x:v>Sales Representative</x:v>
      </x:c>
      <x:c r="F170" s="35" t="str">
        <x:v>Business</x:v>
      </x:c>
      <x:c r="G170" s="35" t="str">
        <x:v>Married</x:v>
      </x:c>
      <x:c r="H170" s="35" t="n">
        <x:v>1</x:v>
      </x:c>
      <x:c r="I170" s="36" t="n">
        <x:v>5660</x:v>
      </x:c>
      <x:c r="J170" s="35" t="n">
        <x:v>9</x:v>
      </x:c>
      <x:c r="K170" s="35" t="n">
        <x:v>2</x:v>
      </x:c>
      <x:c r="L170" s="35" t="n">
        <x:v>1</x:v>
      </x:c>
      <x:c r="M170" s="35" t="n">
        <x:v>22</x:v>
      </x:c>
      <x:c r="N170" s="35" t="str">
        <x:v>Yes</x:v>
      </x:c>
      <x:c r="O170" s="35" t="n">
        <x:v>3</x:v>
      </x:c>
      <x:c r="P170" s="35" t="n">
        <x:v>4</x:v>
      </x:c>
      <x:c r="Q170" s="35" t="n">
        <x:v>4</x:v>
      </x:c>
      <x:c r="R170" s="35" t="n">
        <x:v>3</x:v>
      </x:c>
      <x:c r="S170" s="35" t="n">
        <x:v>3</x:v>
      </x:c>
      <x:c r="T170" s="35" t="n">
        <x:v>2</x:v>
      </x:c>
      <x:c r="U170" s="35" t="n">
        <x:v>0</x:v>
      </x:c>
      <x:c r="V170" s="35" t="n">
        <x:v>4</x:v>
      </x:c>
      <x:c r="W170" s="35" t="n">
        <x:v>26</x:v>
      </x:c>
      <x:c r="X170" s="35" t="n">
        <x:v>81</x:v>
      </x:c>
      <x:c r="Y170" s="35" t="n">
        <x:v>4</x:v>
      </x:c>
      <x:c r="Z170" s="35" t="n">
        <x:v>97</x:v>
      </x:c>
      <x:c r="AA170" s="35" t="n">
        <x:v>9</x:v>
      </x:c>
      <x:c r="AB170" s="35" t="n">
        <x:v>7</x:v>
      </x:c>
      <x:c r="AC170" s="35" t="n">
        <x:v>5</x:v>
      </x:c>
      <x:c r="AD170" s="35" t="n">
        <x:v>78</x:v>
      </x:c>
      <x:c r="AE170" s="35" t="n">
        <x:v>81</x:v>
      </x:c>
      <x:c r="AF170" s="35" t="n">
        <x:v>74</x:v>
      </x:c>
      <x:c r="AG170" s="35" t="n">
        <x:v>79</x:v>
      </x:c>
      <x:c r="AH170" s="35" t="n">
        <x:v>9</x:v>
      </x:c>
      <x:c r="AI170" s="37" t="n">
        <x:v>93.7</x:v>
      </x:c>
      <x:c r="AJ170" s="37" t="n">
        <x:v>93.1</x:v>
      </x:c>
      <x:c r="AK170" s="35" t="str">
        <x:v>No</x:v>
      </x:c>
      <x:c r="AL170" s="38" t="n">
        <x:f>IF(AA170=0,0,AB170/AA170)</x:f>
        <x:v>0.7777777777777778</x:v>
      </x:c>
      <x:c r="AM170" s="38" t="n">
        <x:f>IF(AB170=0,0,AC170/AB170)</x:f>
        <x:v>0.7142857142857143</x:v>
      </x:c>
      <x:c r="AN170" s="37" t="n">
        <x:f>ROUND((AD170*0.20+AE170*0.20+AF170*0.25+AG170*0.15+MIN(100,AC170*12)*0.20),1)</x:f>
        <x:v>74.2</x:v>
      </x:c>
      <x:c r="AO170" s="37" t="n">
        <x:f>ROUND(MAX(0,MIN(100,(X170*0.35)+(W170/45*100*0.20)+((5-O170)/4*100*0.15)+((5-P170)/4*100*0.10)+((6-Y170)/5*100*0.10)+((100-Z170)*0.10))),1)</x:f>
        <x:v>54.2</x:v>
      </x:c>
      <x:c r="AP170" s="37" t="str">
        <x:f>IF(AO170&gt;=70,"High",IF(AO170&gt;=40,"Moderate","Low"))</x:f>
        <x:v>Moderate</x:v>
      </x:c>
      <x:c r="AQ170" s="37" t="n">
        <x:f>ROUND(MAX(0,MIN(100,(O170/4*100*0.25)+(P170/4*100*0.20)+(Q170/4*100*0.15)+(Y170/5*100*0.20)+(100-AO170)*0.20)),1)</x:f>
        <x:v>78.9</x:v>
      </x:c>
      <x:c r="AR170" s="37" t="n">
        <x:f>ROUND((AI170*0.20+AJ170*0.15+AN170*0.18+AG170*0.12+Z170*0.15+AQ170*0.20),1)</x:f>
        <x:v>85.9</x:v>
      </x:c>
      <x:c r="AS170" s="39" t="n">
        <x:f>ROUND((AC170*AF170*120)+(AH170*350)+(MAX(0,AI170-75)*220)+(MAX(0,AQ170-60)*100),0)</x:f>
        <x:v>53554</x:v>
      </x:c>
    </x:row>
    <x:row r="171">
      <x:c r="A171" s="35" t="n">
        <x:v>170</x:v>
      </x:c>
      <x:c r="B171" s="35" t="n">
        <x:v>36</x:v>
      </x:c>
      <x:c r="C171" s="35" t="str">
        <x:v>Female</x:v>
      </x:c>
      <x:c r="D171" s="35" t="str">
        <x:v>Research &amp; Development</x:v>
      </x:c>
      <x:c r="E171" s="35" t="str">
        <x:v>Data Scientist</x:v>
      </x:c>
      <x:c r="F171" s="35" t="str">
        <x:v>Marketing</x:v>
      </x:c>
      <x:c r="G171" s="35" t="str">
        <x:v>Married</x:v>
      </x:c>
      <x:c r="H171" s="35" t="n">
        <x:v>2</x:v>
      </x:c>
      <x:c r="I171" s="36" t="n">
        <x:v>9510</x:v>
      </x:c>
      <x:c r="J171" s="35" t="n">
        <x:v>9</x:v>
      </x:c>
      <x:c r="K171" s="35" t="n">
        <x:v>4</x:v>
      </x:c>
      <x:c r="L171" s="35" t="n">
        <x:v>2</x:v>
      </x:c>
      <x:c r="M171" s="35" t="n">
        <x:v>6</x:v>
      </x:c>
      <x:c r="N171" s="35" t="str">
        <x:v>Yes</x:v>
      </x:c>
      <x:c r="O171" s="35" t="n">
        <x:v>2</x:v>
      </x:c>
      <x:c r="P171" s="35" t="n">
        <x:v>3</x:v>
      </x:c>
      <x:c r="Q171" s="35" t="n">
        <x:v>4</x:v>
      </x:c>
      <x:c r="R171" s="35" t="n">
        <x:v>4</x:v>
      </x:c>
      <x:c r="S171" s="35" t="n">
        <x:v>3</x:v>
      </x:c>
      <x:c r="T171" s="35" t="n">
        <x:v>4</x:v>
      </x:c>
      <x:c r="U171" s="35" t="n">
        <x:v>1</x:v>
      </x:c>
      <x:c r="V171" s="35" t="n">
        <x:v>8</x:v>
      </x:c>
      <x:c r="W171" s="35" t="n">
        <x:v>27</x:v>
      </x:c>
      <x:c r="X171" s="35" t="n">
        <x:v>82</x:v>
      </x:c>
      <x:c r="Y171" s="35" t="n">
        <x:v>3</x:v>
      </x:c>
      <x:c r="Z171" s="35" t="n">
        <x:v>100</x:v>
      </x:c>
      <x:c r="AA171" s="35" t="n">
        <x:v>6</x:v>
      </x:c>
      <x:c r="AB171" s="35" t="n">
        <x:v>5</x:v>
      </x:c>
      <x:c r="AC171" s="35" t="n">
        <x:v>3</x:v>
      </x:c>
      <x:c r="AD171" s="35" t="n">
        <x:v>80</x:v>
      </x:c>
      <x:c r="AE171" s="35" t="n">
        <x:v>73</x:v>
      </x:c>
      <x:c r="AF171" s="35" t="n">
        <x:v>75</x:v>
      </x:c>
      <x:c r="AG171" s="35" t="n">
        <x:v>100</x:v>
      </x:c>
      <x:c r="AH171" s="35" t="n">
        <x:v>6</x:v>
      </x:c>
      <x:c r="AI171" s="37" t="n">
        <x:v>89.1</x:v>
      </x:c>
      <x:c r="AJ171" s="37" t="n">
        <x:v>100</x:v>
      </x:c>
      <x:c r="AK171" s="35" t="str">
        <x:v>Yes</x:v>
      </x:c>
      <x:c r="AL171" s="38" t="n">
        <x:f>IF(AA171=0,0,AB171/AA171)</x:f>
        <x:v>0.8333333333333334</x:v>
      </x:c>
      <x:c r="AM171" s="38" t="n">
        <x:f>IF(AB171=0,0,AC171/AB171)</x:f>
        <x:v>0.6</x:v>
      </x:c>
      <x:c r="AN171" s="37" t="n">
        <x:f>ROUND((AD171*0.20+AE171*0.20+AF171*0.25+AG171*0.15+MIN(100,AC171*12)*0.20),1)</x:f>
        <x:v>71.6</x:v>
      </x:c>
      <x:c r="AO171" s="37" t="n">
        <x:f>ROUND(MAX(0,MIN(100,(X171*0.35)+(W171/45*100*0.20)+((5-O171)/4*100*0.15)+((5-P171)/4*100*0.10)+((6-Y171)/5*100*0.10)+((100-Z171)*0.10))),1)</x:f>
        <x:v>63</x:v>
      </x:c>
      <x:c r="AP171" s="37" t="str">
        <x:f>IF(AO171&gt;=70,"High",IF(AO171&gt;=40,"Moderate","Low"))</x:f>
        <x:v>Moderate</x:v>
      </x:c>
      <x:c r="AQ171" s="37" t="n">
        <x:f>ROUND(MAX(0,MIN(100,(O171/4*100*0.25)+(P171/4*100*0.20)+(Q171/4*100*0.15)+(Y171/5*100*0.20)+(100-AO171)*0.20)),1)</x:f>
        <x:v>61.9</x:v>
      </x:c>
      <x:c r="AR171" s="37" t="n">
        <x:f>ROUND((AI171*0.20+AJ171*0.15+AN171*0.18+AG171*0.12+Z171*0.15+AQ171*0.20),1)</x:f>
        <x:v>85.1</x:v>
      </x:c>
      <x:c r="AS171" s="39" t="n">
        <x:f>ROUND((AC171*AF171*120)+(AH171*350)+(MAX(0,AI171-75)*220)+(MAX(0,AQ171-60)*100),0)</x:f>
        <x:v>32392</x:v>
      </x:c>
    </x:row>
    <x:row r="172">
      <x:c r="A172" s="35" t="n">
        <x:v>171</x:v>
      </x:c>
      <x:c r="B172" s="35" t="n">
        <x:v>35</x:v>
      </x:c>
      <x:c r="C172" s="35" t="str">
        <x:v>Female</x:v>
      </x:c>
      <x:c r="D172" s="35" t="str">
        <x:v>Human Resources</x:v>
      </x:c>
      <x:c r="E172" s="35" t="str">
        <x:v>Talent Development Specialist</x:v>
      </x:c>
      <x:c r="F172" s="35" t="str">
        <x:v>Medical</x:v>
      </x:c>
      <x:c r="G172" s="35" t="str">
        <x:v>Married</x:v>
      </x:c>
      <x:c r="H172" s="35" t="n">
        <x:v>1</x:v>
      </x:c>
      <x:c r="I172" s="36" t="n">
        <x:v>4990</x:v>
      </x:c>
      <x:c r="J172" s="35" t="n">
        <x:v>10</x:v>
      </x:c>
      <x:c r="K172" s="35" t="n">
        <x:v>7</x:v>
      </x:c>
      <x:c r="L172" s="35" t="n">
        <x:v>2</x:v>
      </x:c>
      <x:c r="M172" s="35" t="n">
        <x:v>6</x:v>
      </x:c>
      <x:c r="N172" s="35" t="str">
        <x:v>No</x:v>
      </x:c>
      <x:c r="O172" s="35" t="n">
        <x:v>3</x:v>
      </x:c>
      <x:c r="P172" s="35" t="n">
        <x:v>2</x:v>
      </x:c>
      <x:c r="Q172" s="35" t="n">
        <x:v>2</x:v>
      </x:c>
      <x:c r="R172" s="35" t="n">
        <x:v>3</x:v>
      </x:c>
      <x:c r="S172" s="35" t="n">
        <x:v>3</x:v>
      </x:c>
      <x:c r="T172" s="35" t="n">
        <x:v>1</x:v>
      </x:c>
      <x:c r="U172" s="35" t="n">
        <x:v>1</x:v>
      </x:c>
      <x:c r="V172" s="35" t="n">
        <x:v>7</x:v>
      </x:c>
      <x:c r="W172" s="35" t="n">
        <x:v>0</x:v>
      </x:c>
      <x:c r="X172" s="35" t="n">
        <x:v>78</x:v>
      </x:c>
      <x:c r="Y172" s="35" t="n">
        <x:v>5</x:v>
      </x:c>
      <x:c r="Z172" s="35" t="n">
        <x:v>100</x:v>
      </x:c>
      <x:c r="AA172" s="35" t="n">
        <x:v>4</x:v>
      </x:c>
      <x:c r="AB172" s="35" t="n">
        <x:v>3</x:v>
      </x:c>
      <x:c r="AC172" s="35" t="n">
        <x:v>2</x:v>
      </x:c>
      <x:c r="AD172" s="35" t="n">
        <x:v>66</x:v>
      </x:c>
      <x:c r="AE172" s="35" t="n">
        <x:v>77</x:v>
      </x:c>
      <x:c r="AF172" s="35" t="n">
        <x:v>74</x:v>
      </x:c>
      <x:c r="AG172" s="35" t="n">
        <x:v>87</x:v>
      </x:c>
      <x:c r="AH172" s="35" t="n">
        <x:v>6</x:v>
      </x:c>
      <x:c r="AI172" s="37" t="n">
        <x:v>79</x:v>
      </x:c>
      <x:c r="AJ172" s="37" t="n">
        <x:v>100</x:v>
      </x:c>
      <x:c r="AK172" s="35" t="str">
        <x:v>No</x:v>
      </x:c>
      <x:c r="AL172" s="38" t="n">
        <x:f>IF(AA172=0,0,AB172/AA172)</x:f>
        <x:v>0.75</x:v>
      </x:c>
      <x:c r="AM172" s="38" t="n">
        <x:f>IF(AB172=0,0,AC172/AB172)</x:f>
        <x:v>0.6666666666666666</x:v>
      </x:c>
      <x:c r="AN172" s="37" t="n">
        <x:f>ROUND((AD172*0.20+AE172*0.20+AF172*0.25+AG172*0.15+MIN(100,AC172*12)*0.20),1)</x:f>
        <x:v>65</x:v>
      </x:c>
      <x:c r="AO172" s="37" t="n">
        <x:f>ROUND(MAX(0,MIN(100,(X172*0.35)+(W172/45*100*0.20)+((5-O172)/4*100*0.15)+((5-P172)/4*100*0.10)+((6-Y172)/5*100*0.10)+((100-Z172)*0.10))),1)</x:f>
        <x:v>44.3</x:v>
      </x:c>
      <x:c r="AP172" s="37" t="str">
        <x:f>IF(AO172&gt;=70,"High",IF(AO172&gt;=40,"Moderate","Low"))</x:f>
        <x:v>Moderate</x:v>
      </x:c>
      <x:c r="AQ172" s="37" t="n">
        <x:f>ROUND(MAX(0,MIN(100,(O172/4*100*0.25)+(P172/4*100*0.20)+(Q172/4*100*0.15)+(Y172/5*100*0.20)+(100-AO172)*0.20)),1)</x:f>
        <x:v>67.4</x:v>
      </x:c>
      <x:c r="AR172" s="37" t="n">
        <x:f>ROUND((AI172*0.20+AJ172*0.15+AN172*0.18+AG172*0.12+Z172*0.15+AQ172*0.20),1)</x:f>
        <x:v>81.4</x:v>
      </x:c>
      <x:c r="AS172" s="39" t="n">
        <x:f>ROUND((AC172*AF172*120)+(AH172*350)+(MAX(0,AI172-75)*220)+(MAX(0,AQ172-60)*100),0)</x:f>
        <x:v>21480</x:v>
      </x:c>
    </x:row>
    <x:row r="173">
      <x:c r="A173" s="35" t="n">
        <x:v>172</x:v>
      </x:c>
      <x:c r="B173" s="35" t="n">
        <x:v>38</x:v>
      </x:c>
      <x:c r="C173" s="35" t="str">
        <x:v>Male</x:v>
      </x:c>
      <x:c r="D173" s="35" t="str">
        <x:v>Finance</x:v>
      </x:c>
      <x:c r="E173" s="35" t="str">
        <x:v>Financial Analyst</x:v>
      </x:c>
      <x:c r="F173" s="35" t="str">
        <x:v>Marketing</x:v>
      </x:c>
      <x:c r="G173" s="35" t="str">
        <x:v>Married</x:v>
      </x:c>
      <x:c r="H173" s="35" t="n">
        <x:v>3</x:v>
      </x:c>
      <x:c r="I173" s="36" t="n">
        <x:v>13940</x:v>
      </x:c>
      <x:c r="J173" s="35" t="n">
        <x:v>10</x:v>
      </x:c>
      <x:c r="K173" s="35" t="n">
        <x:v>6</x:v>
      </x:c>
      <x:c r="L173" s="35" t="n">
        <x:v>3</x:v>
      </x:c>
      <x:c r="M173" s="35" t="n">
        <x:v>7</x:v>
      </x:c>
      <x:c r="N173" s="35" t="str">
        <x:v>No</x:v>
      </x:c>
      <x:c r="O173" s="35" t="n">
        <x:v>3</x:v>
      </x:c>
      <x:c r="P173" s="35" t="n">
        <x:v>3</x:v>
      </x:c>
      <x:c r="Q173" s="35" t="n">
        <x:v>2</x:v>
      </x:c>
      <x:c r="R173" s="35" t="n">
        <x:v>2</x:v>
      </x:c>
      <x:c r="S173" s="35" t="n">
        <x:v>3</x:v>
      </x:c>
      <x:c r="T173" s="35" t="n">
        <x:v>4</x:v>
      </x:c>
      <x:c r="U173" s="35" t="n">
        <x:v>0</x:v>
      </x:c>
      <x:c r="V173" s="35" t="n">
        <x:v>8</x:v>
      </x:c>
      <x:c r="W173" s="35" t="n">
        <x:v>3</x:v>
      </x:c>
      <x:c r="X173" s="35" t="n">
        <x:v>69</x:v>
      </x:c>
      <x:c r="Y173" s="35" t="n">
        <x:v>4</x:v>
      </x:c>
      <x:c r="Z173" s="35" t="n">
        <x:v>97</x:v>
      </x:c>
      <x:c r="AA173" s="35" t="n">
        <x:v>12</x:v>
      </x:c>
      <x:c r="AB173" s="35" t="n">
        <x:v>7</x:v>
      </x:c>
      <x:c r="AC173" s="35" t="n">
        <x:v>5</x:v>
      </x:c>
      <x:c r="AD173" s="35" t="n">
        <x:v>92</x:v>
      </x:c>
      <x:c r="AE173" s="35" t="n">
        <x:v>85</x:v>
      </x:c>
      <x:c r="AF173" s="35" t="n">
        <x:v>100</x:v>
      </x:c>
      <x:c r="AG173" s="35" t="n">
        <x:v>79</x:v>
      </x:c>
      <x:c r="AH173" s="35" t="n">
        <x:v>10</x:v>
      </x:c>
      <x:c r="AI173" s="37" t="n">
        <x:v>96.2</x:v>
      </x:c>
      <x:c r="AJ173" s="37" t="n">
        <x:v>98.7</x:v>
      </x:c>
      <x:c r="AK173" s="35" t="str">
        <x:v>No</x:v>
      </x:c>
      <x:c r="AL173" s="38" t="n">
        <x:f>IF(AA173=0,0,AB173/AA173)</x:f>
        <x:v>0.5833333333333334</x:v>
      </x:c>
      <x:c r="AM173" s="38" t="n">
        <x:f>IF(AB173=0,0,AC173/AB173)</x:f>
        <x:v>0.7142857142857143</x:v>
      </x:c>
      <x:c r="AN173" s="37" t="n">
        <x:f>ROUND((AD173*0.20+AE173*0.20+AF173*0.25+AG173*0.15+MIN(100,AC173*12)*0.20),1)</x:f>
        <x:v>84.3</x:v>
      </x:c>
      <x:c r="AO173" s="37" t="n">
        <x:f>ROUND(MAX(0,MIN(100,(X173*0.35)+(W173/45*100*0.20)+((5-O173)/4*100*0.15)+((5-P173)/4*100*0.10)+((6-Y173)/5*100*0.10)+((100-Z173)*0.10))),1)</x:f>
        <x:v>42.3</x:v>
      </x:c>
      <x:c r="AP173" s="37" t="str">
        <x:f>IF(AO173&gt;=70,"High",IF(AO173&gt;=40,"Moderate","Low"))</x:f>
        <x:v>Moderate</x:v>
      </x:c>
      <x:c r="AQ173" s="37" t="n">
        <x:f>ROUND(MAX(0,MIN(100,(O173/4*100*0.25)+(P173/4*100*0.20)+(Q173/4*100*0.15)+(Y173/5*100*0.20)+(100-AO173)*0.20)),1)</x:f>
        <x:v>68.8</x:v>
      </x:c>
      <x:c r="AR173" s="37" t="n">
        <x:f>ROUND((AI173*0.20+AJ173*0.15+AN173*0.18+AG173*0.12+Z173*0.15+AQ173*0.20),1)</x:f>
        <x:v>87</x:v>
      </x:c>
      <x:c r="AS173" s="39" t="n">
        <x:f>ROUND((AC173*AF173*120)+(AH173*350)+(MAX(0,AI173-75)*220)+(MAX(0,AQ173-60)*100),0)</x:f>
        <x:v>69044</x:v>
      </x:c>
    </x:row>
    <x:row r="174">
      <x:c r="A174" s="35" t="n">
        <x:v>173</x:v>
      </x:c>
      <x:c r="B174" s="35" t="n">
        <x:v>38</x:v>
      </x:c>
      <x:c r="C174" s="35" t="str">
        <x:v>Male</x:v>
      </x:c>
      <x:c r="D174" s="35" t="str">
        <x:v>Information Technology</x:v>
      </x:c>
      <x:c r="E174" s="35" t="str">
        <x:v>Systems Analyst</x:v>
      </x:c>
      <x:c r="F174" s="35" t="str">
        <x:v>Computer Science</x:v>
      </x:c>
      <x:c r="G174" s="35" t="str">
        <x:v>Married</x:v>
      </x:c>
      <x:c r="H174" s="35" t="n">
        <x:v>2</x:v>
      </x:c>
      <x:c r="I174" s="36" t="n">
        <x:v>8050</x:v>
      </x:c>
      <x:c r="J174" s="35" t="n">
        <x:v>15</x:v>
      </x:c>
      <x:c r="K174" s="35" t="n">
        <x:v>12</x:v>
      </x:c>
      <x:c r="L174" s="35" t="n">
        <x:v>9</x:v>
      </x:c>
      <x:c r="M174" s="35" t="n">
        <x:v>6</x:v>
      </x:c>
      <x:c r="N174" s="35" t="str">
        <x:v>No</x:v>
      </x:c>
      <x:c r="O174" s="35" t="n">
        <x:v>2</x:v>
      </x:c>
      <x:c r="P174" s="35" t="n">
        <x:v>4</x:v>
      </x:c>
      <x:c r="Q174" s="35" t="n">
        <x:v>4</x:v>
      </x:c>
      <x:c r="R174" s="35" t="n">
        <x:v>2</x:v>
      </x:c>
      <x:c r="S174" s="35" t="n">
        <x:v>3</x:v>
      </x:c>
      <x:c r="T174" s="35" t="n">
        <x:v>2</x:v>
      </x:c>
      <x:c r="U174" s="35" t="n">
        <x:v>1</x:v>
      </x:c>
      <x:c r="V174" s="35" t="n">
        <x:v>15</x:v>
      </x:c>
      <x:c r="W174" s="35" t="n">
        <x:v>7</x:v>
      </x:c>
      <x:c r="X174" s="35" t="n">
        <x:v>48</x:v>
      </x:c>
      <x:c r="Y174" s="35" t="n">
        <x:v>5</x:v>
      </x:c>
      <x:c r="Z174" s="35" t="n">
        <x:v>100</x:v>
      </x:c>
      <x:c r="AA174" s="35" t="n">
        <x:v>9</x:v>
      </x:c>
      <x:c r="AB174" s="35" t="n">
        <x:v>9</x:v>
      </x:c>
      <x:c r="AC174" s="35" t="n">
        <x:v>7</x:v>
      </x:c>
      <x:c r="AD174" s="35" t="n">
        <x:v>95</x:v>
      </x:c>
      <x:c r="AE174" s="35" t="n">
        <x:v>85</x:v>
      </x:c>
      <x:c r="AF174" s="35" t="n">
        <x:v>91</x:v>
      </x:c>
      <x:c r="AG174" s="35" t="n">
        <x:v>87</x:v>
      </x:c>
      <x:c r="AH174" s="35" t="n">
        <x:v>9</x:v>
      </x:c>
      <x:c r="AI174" s="37" t="n">
        <x:v>96</x:v>
      </x:c>
      <x:c r="AJ174" s="37" t="n">
        <x:v>96.4</x:v>
      </x:c>
      <x:c r="AK174" s="35" t="str">
        <x:v>No</x:v>
      </x:c>
      <x:c r="AL174" s="38" t="n">
        <x:f>IF(AA174=0,0,AB174/AA174)</x:f>
        <x:v>1</x:v>
      </x:c>
      <x:c r="AM174" s="38" t="n">
        <x:f>IF(AB174=0,0,AC174/AB174)</x:f>
        <x:v>0.7777777777777778</x:v>
      </x:c>
      <x:c r="AN174" s="37" t="n">
        <x:f>ROUND((AD174*0.20+AE174*0.20+AF174*0.25+AG174*0.15+MIN(100,AC174*12)*0.20),1)</x:f>
        <x:v>88.6</x:v>
      </x:c>
      <x:c r="AO174" s="37" t="n">
        <x:f>ROUND(MAX(0,MIN(100,(X174*0.35)+(W174/45*100*0.20)+((5-O174)/4*100*0.15)+((5-P174)/4*100*0.10)+((6-Y174)/5*100*0.10)+((100-Z174)*0.10))),1)</x:f>
        <x:v>35.7</x:v>
      </x:c>
      <x:c r="AP174" s="37" t="str">
        <x:f>IF(AO174&gt;=70,"High",IF(AO174&gt;=40,"Moderate","Low"))</x:f>
        <x:v>Low</x:v>
      </x:c>
      <x:c r="AQ174" s="37" t="n">
        <x:f>ROUND(MAX(0,MIN(100,(O174/4*100*0.25)+(P174/4*100*0.20)+(Q174/4*100*0.15)+(Y174/5*100*0.20)+(100-AO174)*0.20)),1)</x:f>
        <x:v>80.4</x:v>
      </x:c>
      <x:c r="AR174" s="37" t="n">
        <x:f>ROUND((AI174*0.20+AJ174*0.15+AN174*0.18+AG174*0.12+Z174*0.15+AQ174*0.20),1)</x:f>
        <x:v>91.1</x:v>
      </x:c>
      <x:c r="AS174" s="39" t="n">
        <x:f>ROUND((AC174*AF174*120)+(AH174*350)+(MAX(0,AI174-75)*220)+(MAX(0,AQ174-60)*100),0)</x:f>
        <x:v>86250</x:v>
      </x:c>
    </x:row>
    <x:row r="175">
      <x:c r="A175" s="35" t="n">
        <x:v>174</x:v>
      </x:c>
      <x:c r="B175" s="35" t="n">
        <x:v>36</x:v>
      </x:c>
      <x:c r="C175" s="35" t="str">
        <x:v>Female</x:v>
      </x:c>
      <x:c r="D175" s="35" t="str">
        <x:v>Sales</x:v>
      </x:c>
      <x:c r="E175" s="35" t="str">
        <x:v>Sales Executive</x:v>
      </x:c>
      <x:c r="F175" s="35" t="str">
        <x:v>Life Sciences</x:v>
      </x:c>
      <x:c r="G175" s="35" t="str">
        <x:v>Married</x:v>
      </x:c>
      <x:c r="H175" s="35" t="n">
        <x:v>2</x:v>
      </x:c>
      <x:c r="I175" s="36" t="n">
        <x:v>6900</x:v>
      </x:c>
      <x:c r="J175" s="35" t="n">
        <x:v>8</x:v>
      </x:c>
      <x:c r="K175" s="35" t="n">
        <x:v>5</x:v>
      </x:c>
      <x:c r="L175" s="35" t="n">
        <x:v>3</x:v>
      </x:c>
      <x:c r="M175" s="35" t="n">
        <x:v>44</x:v>
      </x:c>
      <x:c r="N175" s="35" t="str">
        <x:v>No</x:v>
      </x:c>
      <x:c r="O175" s="35" t="n">
        <x:v>3</x:v>
      </x:c>
      <x:c r="P175" s="35" t="n">
        <x:v>3</x:v>
      </x:c>
      <x:c r="Q175" s="35" t="n">
        <x:v>4</x:v>
      </x:c>
      <x:c r="R175" s="35" t="n">
        <x:v>3</x:v>
      </x:c>
      <x:c r="S175" s="35" t="n">
        <x:v>3</x:v>
      </x:c>
      <x:c r="T175" s="35" t="n">
        <x:v>1</x:v>
      </x:c>
      <x:c r="U175" s="35" t="n">
        <x:v>1</x:v>
      </x:c>
      <x:c r="V175" s="35" t="n">
        <x:v>2</x:v>
      </x:c>
      <x:c r="W175" s="35" t="n">
        <x:v>2</x:v>
      </x:c>
      <x:c r="X175" s="35" t="n">
        <x:v>72</x:v>
      </x:c>
      <x:c r="Y175" s="35" t="n">
        <x:v>5</x:v>
      </x:c>
      <x:c r="Z175" s="35" t="n">
        <x:v>100</x:v>
      </x:c>
      <x:c r="AA175" s="35" t="n">
        <x:v>3</x:v>
      </x:c>
      <x:c r="AB175" s="35" t="n">
        <x:v>2</x:v>
      </x:c>
      <x:c r="AC175" s="35" t="n">
        <x:v>1</x:v>
      </x:c>
      <x:c r="AD175" s="35" t="n">
        <x:v>54</x:v>
      </x:c>
      <x:c r="AE175" s="35" t="n">
        <x:v>77</x:v>
      </x:c>
      <x:c r="AF175" s="35" t="n">
        <x:v>56</x:v>
      </x:c>
      <x:c r="AG175" s="35" t="n">
        <x:v>91</x:v>
      </x:c>
      <x:c r="AH175" s="35" t="n">
        <x:v>5</x:v>
      </x:c>
      <x:c r="AI175" s="37" t="n">
        <x:v>100</x:v>
      </x:c>
      <x:c r="AJ175" s="37" t="n">
        <x:v>92.8</x:v>
      </x:c>
      <x:c r="AK175" s="35" t="str">
        <x:v>No</x:v>
      </x:c>
      <x:c r="AL175" s="38" t="n">
        <x:f>IF(AA175=0,0,AB175/AA175)</x:f>
        <x:v>0.6666666666666666</x:v>
      </x:c>
      <x:c r="AM175" s="38" t="n">
        <x:f>IF(AB175=0,0,AC175/AB175)</x:f>
        <x:v>0.5</x:v>
      </x:c>
      <x:c r="AN175" s="37" t="n">
        <x:f>ROUND((AD175*0.20+AE175*0.20+AF175*0.25+AG175*0.15+MIN(100,AC175*12)*0.20),1)</x:f>
        <x:v>56.3</x:v>
      </x:c>
      <x:c r="AO175" s="37" t="n">
        <x:f>ROUND(MAX(0,MIN(100,(X175*0.35)+(W175/45*100*0.20)+((5-O175)/4*100*0.15)+((5-P175)/4*100*0.10)+((6-Y175)/5*100*0.10)+((100-Z175)*0.10))),1)</x:f>
        <x:v>40.6</x:v>
      </x:c>
      <x:c r="AP175" s="37" t="str">
        <x:f>IF(AO175&gt;=70,"High",IF(AO175&gt;=40,"Moderate","Low"))</x:f>
        <x:v>Moderate</x:v>
      </x:c>
      <x:c r="AQ175" s="37" t="n">
        <x:f>ROUND(MAX(0,MIN(100,(O175/4*100*0.25)+(P175/4*100*0.20)+(Q175/4*100*0.15)+(Y175/5*100*0.20)+(100-AO175)*0.20)),1)</x:f>
        <x:v>80.6</x:v>
      </x:c>
      <x:c r="AR175" s="37" t="n">
        <x:f>ROUND((AI175*0.20+AJ175*0.15+AN175*0.18+AG175*0.12+Z175*0.15+AQ175*0.20),1)</x:f>
        <x:v>86.1</x:v>
      </x:c>
      <x:c r="AS175" s="39" t="n">
        <x:f>ROUND((AC175*AF175*120)+(AH175*350)+(MAX(0,AI175-75)*220)+(MAX(0,AQ175-60)*100),0)</x:f>
        <x:v>16030</x:v>
      </x:c>
    </x:row>
    <x:row r="176">
      <x:c r="A176" s="35" t="n">
        <x:v>175</x:v>
      </x:c>
      <x:c r="B176" s="35" t="n">
        <x:v>29</x:v>
      </x:c>
      <x:c r="C176" s="35" t="str">
        <x:v>Male</x:v>
      </x:c>
      <x:c r="D176" s="35" t="str">
        <x:v>Marketing</x:v>
      </x:c>
      <x:c r="E176" s="35" t="str">
        <x:v>Marketing Manager</x:v>
      </x:c>
      <x:c r="F176" s="35" t="str">
        <x:v>Marketing</x:v>
      </x:c>
      <x:c r="G176" s="35" t="str">
        <x:v>Married</x:v>
      </x:c>
      <x:c r="H176" s="35" t="n">
        <x:v>1</x:v>
      </x:c>
      <x:c r="I176" s="36" t="n">
        <x:v>5720</x:v>
      </x:c>
      <x:c r="J176" s="35" t="n">
        <x:v>5</x:v>
      </x:c>
      <x:c r="K176" s="35" t="n">
        <x:v>3</x:v>
      </x:c>
      <x:c r="L176" s="35" t="n">
        <x:v>2</x:v>
      </x:c>
      <x:c r="M176" s="35" t="n">
        <x:v>4</x:v>
      </x:c>
      <x:c r="N176" s="35" t="str">
        <x:v>No</x:v>
      </x:c>
      <x:c r="O176" s="35" t="n">
        <x:v>2</x:v>
      </x:c>
      <x:c r="P176" s="35" t="n">
        <x:v>4</x:v>
      </x:c>
      <x:c r="Q176" s="35" t="n">
        <x:v>2</x:v>
      </x:c>
      <x:c r="R176" s="35" t="n">
        <x:v>2</x:v>
      </x:c>
      <x:c r="S176" s="35" t="n">
        <x:v>3</x:v>
      </x:c>
      <x:c r="T176" s="35" t="n">
        <x:v>1</x:v>
      </x:c>
      <x:c r="U176" s="35" t="n">
        <x:v>0</x:v>
      </x:c>
      <x:c r="V176" s="35" t="n">
        <x:v>9</x:v>
      </x:c>
      <x:c r="W176" s="35" t="n">
        <x:v>6</x:v>
      </x:c>
      <x:c r="X176" s="35" t="n">
        <x:v>77</x:v>
      </x:c>
      <x:c r="Y176" s="35" t="n">
        <x:v>5</x:v>
      </x:c>
      <x:c r="Z176" s="35" t="n">
        <x:v>100</x:v>
      </x:c>
      <x:c r="AA176" s="35" t="n">
        <x:v>6</x:v>
      </x:c>
      <x:c r="AB176" s="35" t="n">
        <x:v>3</x:v>
      </x:c>
      <x:c r="AC176" s="35" t="n">
        <x:v>2</x:v>
      </x:c>
      <x:c r="AD176" s="35" t="n">
        <x:v>67</x:v>
      </x:c>
      <x:c r="AE176" s="35" t="n">
        <x:v>72</x:v>
      </x:c>
      <x:c r="AF176" s="35" t="n">
        <x:v>78</x:v>
      </x:c>
      <x:c r="AG176" s="35" t="n">
        <x:v>71</x:v>
      </x:c>
      <x:c r="AH176" s="35" t="n">
        <x:v>6</x:v>
      </x:c>
      <x:c r="AI176" s="37" t="n">
        <x:v>98.4</x:v>
      </x:c>
      <x:c r="AJ176" s="37" t="n">
        <x:v>84.4</x:v>
      </x:c>
      <x:c r="AK176" s="35" t="str">
        <x:v>No</x:v>
      </x:c>
      <x:c r="AL176" s="38" t="n">
        <x:f>IF(AA176=0,0,AB176/AA176)</x:f>
        <x:v>0.5</x:v>
      </x:c>
      <x:c r="AM176" s="38" t="n">
        <x:f>IF(AB176=0,0,AC176/AB176)</x:f>
        <x:v>0.6666666666666666</x:v>
      </x:c>
      <x:c r="AN176" s="37" t="n">
        <x:f>ROUND((AD176*0.20+AE176*0.20+AF176*0.25+AG176*0.15+MIN(100,AC176*12)*0.20),1)</x:f>
        <x:v>62.8</x:v>
      </x:c>
      <x:c r="AO176" s="37" t="n">
        <x:f>ROUND(MAX(0,MIN(100,(X176*0.35)+(W176/45*100*0.20)+((5-O176)/4*100*0.15)+((5-P176)/4*100*0.10)+((6-Y176)/5*100*0.10)+((100-Z176)*0.10))),1)</x:f>
        <x:v>45.4</x:v>
      </x:c>
      <x:c r="AP176" s="37" t="str">
        <x:f>IF(AO176&gt;=70,"High",IF(AO176&gt;=40,"Moderate","Low"))</x:f>
        <x:v>Moderate</x:v>
      </x:c>
      <x:c r="AQ176" s="37" t="n">
        <x:f>ROUND(MAX(0,MIN(100,(O176/4*100*0.25)+(P176/4*100*0.20)+(Q176/4*100*0.15)+(Y176/5*100*0.20)+(100-AO176)*0.20)),1)</x:f>
        <x:v>70.9</x:v>
      </x:c>
      <x:c r="AR176" s="37" t="n">
        <x:f>ROUND((AI176*0.20+AJ176*0.15+AN176*0.18+AG176*0.12+Z176*0.15+AQ176*0.20),1)</x:f>
        <x:v>81.3</x:v>
      </x:c>
      <x:c r="AS176" s="39" t="n">
        <x:f>ROUND((AC176*AF176*120)+(AH176*350)+(MAX(0,AI176-75)*220)+(MAX(0,AQ176-60)*100),0)</x:f>
        <x:v>27058</x:v>
      </x:c>
    </x:row>
    <x:row r="177">
      <x:c r="A177" s="35" t="n">
        <x:v>176</x:v>
      </x:c>
      <x:c r="B177" s="35" t="n">
        <x:v>25</x:v>
      </x:c>
      <x:c r="C177" s="35" t="str">
        <x:v>Female</x:v>
      </x:c>
      <x:c r="D177" s="35" t="str">
        <x:v>Research &amp; Development</x:v>
      </x:c>
      <x:c r="E177" s="35" t="str">
        <x:v>Research Scientist</x:v>
      </x:c>
      <x:c r="F177" s="35" t="str">
        <x:v>Marketing</x:v>
      </x:c>
      <x:c r="G177" s="35" t="str">
        <x:v>Divorced</x:v>
      </x:c>
      <x:c r="H177" s="35" t="n">
        <x:v>1</x:v>
      </x:c>
      <x:c r="I177" s="36" t="n">
        <x:v>4210</x:v>
      </x:c>
      <x:c r="J177" s="35" t="n">
        <x:v>2</x:v>
      </x:c>
      <x:c r="K177" s="35" t="n">
        <x:v>1</x:v>
      </x:c>
      <x:c r="L177" s="35" t="n">
        <x:v>0</x:v>
      </x:c>
      <x:c r="M177" s="35" t="n">
        <x:v>26</x:v>
      </x:c>
      <x:c r="N177" s="35" t="str">
        <x:v>No</x:v>
      </x:c>
      <x:c r="O177" s="35" t="n">
        <x:v>2</x:v>
      </x:c>
      <x:c r="P177" s="35" t="n">
        <x:v>2</x:v>
      </x:c>
      <x:c r="Q177" s="35" t="n">
        <x:v>3</x:v>
      </x:c>
      <x:c r="R177" s="35" t="n">
        <x:v>4</x:v>
      </x:c>
      <x:c r="S177" s="35" t="n">
        <x:v>3</x:v>
      </x:c>
      <x:c r="T177" s="35" t="n">
        <x:v>2</x:v>
      </x:c>
      <x:c r="U177" s="35" t="n">
        <x:v>0</x:v>
      </x:c>
      <x:c r="V177" s="35" t="n">
        <x:v>6</x:v>
      </x:c>
      <x:c r="W177" s="35" t="n">
        <x:v>15</x:v>
      </x:c>
      <x:c r="X177" s="35" t="n">
        <x:v>75</x:v>
      </x:c>
      <x:c r="Y177" s="35" t="n">
        <x:v>4</x:v>
      </x:c>
      <x:c r="Z177" s="35" t="n">
        <x:v>100</x:v>
      </x:c>
      <x:c r="AA177" s="35" t="n">
        <x:v>2</x:v>
      </x:c>
      <x:c r="AB177" s="35" t="n">
        <x:v>2</x:v>
      </x:c>
      <x:c r="AC177" s="35" t="n">
        <x:v>2</x:v>
      </x:c>
      <x:c r="AD177" s="35" t="n">
        <x:v>77</x:v>
      </x:c>
      <x:c r="AE177" s="35" t="n">
        <x:v>75</x:v>
      </x:c>
      <x:c r="AF177" s="35" t="n">
        <x:v>58</x:v>
      </x:c>
      <x:c r="AG177" s="35" t="n">
        <x:v>100</x:v>
      </x:c>
      <x:c r="AH177" s="35" t="n">
        <x:v>5</x:v>
      </x:c>
      <x:c r="AI177" s="37" t="n">
        <x:v>90</x:v>
      </x:c>
      <x:c r="AJ177" s="37" t="n">
        <x:v>99.8</x:v>
      </x:c>
      <x:c r="AK177" s="35" t="str">
        <x:v>No</x:v>
      </x:c>
      <x:c r="AL177" s="38" t="n">
        <x:f>IF(AA177=0,0,AB177/AA177)</x:f>
        <x:v>1</x:v>
      </x:c>
      <x:c r="AM177" s="38" t="n">
        <x:f>IF(AB177=0,0,AC177/AB177)</x:f>
        <x:v>1</x:v>
      </x:c>
      <x:c r="AN177" s="37" t="n">
        <x:f>ROUND((AD177*0.20+AE177*0.20+AF177*0.25+AG177*0.15+MIN(100,AC177*12)*0.20),1)</x:f>
        <x:v>64.7</x:v>
      </x:c>
      <x:c r="AO177" s="37" t="n">
        <x:f>ROUND(MAX(0,MIN(100,(X177*0.35)+(W177/45*100*0.20)+((5-O177)/4*100*0.15)+((5-P177)/4*100*0.10)+((6-Y177)/5*100*0.10)+((100-Z177)*0.10))),1)</x:f>
        <x:v>55.7</x:v>
      </x:c>
      <x:c r="AP177" s="37" t="str">
        <x:f>IF(AO177&gt;=70,"High",IF(AO177&gt;=40,"Moderate","Low"))</x:f>
        <x:v>Moderate</x:v>
      </x:c>
      <x:c r="AQ177" s="37" t="n">
        <x:f>ROUND(MAX(0,MIN(100,(O177/4*100*0.25)+(P177/4*100*0.20)+(Q177/4*100*0.15)+(Y177/5*100*0.20)+(100-AO177)*0.20)),1)</x:f>
        <x:v>58.6</x:v>
      </x:c>
      <x:c r="AR177" s="37" t="n">
        <x:f>ROUND((AI177*0.20+AJ177*0.15+AN177*0.18+AG177*0.12+Z177*0.15+AQ177*0.20),1)</x:f>
        <x:v>83.3</x:v>
      </x:c>
      <x:c r="AS177" s="39" t="n">
        <x:f>ROUND((AC177*AF177*120)+(AH177*350)+(MAX(0,AI177-75)*220)+(MAX(0,AQ177-60)*100),0)</x:f>
        <x:v>18970</x:v>
      </x:c>
    </x:row>
    <x:row r="178">
      <x:c r="A178" s="35" t="n">
        <x:v>177</x:v>
      </x:c>
      <x:c r="B178" s="35" t="n">
        <x:v>31</x:v>
      </x:c>
      <x:c r="C178" s="35" t="str">
        <x:v>Female</x:v>
      </x:c>
      <x:c r="D178" s="35" t="str">
        <x:v>Sales</x:v>
      </x:c>
      <x:c r="E178" s="35" t="str">
        <x:v>Account Manager</x:v>
      </x:c>
      <x:c r="F178" s="35" t="str">
        <x:v>Human Resources</x:v>
      </x:c>
      <x:c r="G178" s="35" t="str">
        <x:v>Single</x:v>
      </x:c>
      <x:c r="H178" s="35" t="n">
        <x:v>1</x:v>
      </x:c>
      <x:c r="I178" s="36" t="n">
        <x:v>5280</x:v>
      </x:c>
      <x:c r="J178" s="35" t="n">
        <x:v>6</x:v>
      </x:c>
      <x:c r="K178" s="35" t="n">
        <x:v>2</x:v>
      </x:c>
      <x:c r="L178" s="35" t="n">
        <x:v>1</x:v>
      </x:c>
      <x:c r="M178" s="35" t="n">
        <x:v>6</x:v>
      </x:c>
      <x:c r="N178" s="35" t="str">
        <x:v>No</x:v>
      </x:c>
      <x:c r="O178" s="35" t="n">
        <x:v>4</x:v>
      </x:c>
      <x:c r="P178" s="35" t="n">
        <x:v>4</x:v>
      </x:c>
      <x:c r="Q178" s="35" t="n">
        <x:v>3</x:v>
      </x:c>
      <x:c r="R178" s="35" t="n">
        <x:v>4</x:v>
      </x:c>
      <x:c r="S178" s="35" t="n">
        <x:v>3</x:v>
      </x:c>
      <x:c r="T178" s="35" t="n">
        <x:v>2</x:v>
      </x:c>
      <x:c r="U178" s="35" t="n">
        <x:v>2</x:v>
      </x:c>
      <x:c r="V178" s="35" t="n">
        <x:v>5</x:v>
      </x:c>
      <x:c r="W178" s="35" t="n">
        <x:v>2</x:v>
      </x:c>
      <x:c r="X178" s="35" t="n">
        <x:v>63</x:v>
      </x:c>
      <x:c r="Y178" s="35" t="n">
        <x:v>4</x:v>
      </x:c>
      <x:c r="Z178" s="35" t="n">
        <x:v>100</x:v>
      </x:c>
      <x:c r="AA178" s="35" t="n">
        <x:v>5</x:v>
      </x:c>
      <x:c r="AB178" s="35" t="n">
        <x:v>5</x:v>
      </x:c>
      <x:c r="AC178" s="35" t="n">
        <x:v>4</x:v>
      </x:c>
      <x:c r="AD178" s="35" t="n">
        <x:v>77</x:v>
      </x:c>
      <x:c r="AE178" s="35" t="n">
        <x:v>84</x:v>
      </x:c>
      <x:c r="AF178" s="35" t="n">
        <x:v>72</x:v>
      </x:c>
      <x:c r="AG178" s="35" t="n">
        <x:v>100</x:v>
      </x:c>
      <x:c r="AH178" s="35" t="n">
        <x:v>8</x:v>
      </x:c>
      <x:c r="AI178" s="37" t="n">
        <x:v>96</x:v>
      </x:c>
      <x:c r="AJ178" s="37" t="n">
        <x:v>99.7</x:v>
      </x:c>
      <x:c r="AK178" s="35" t="str">
        <x:v>No</x:v>
      </x:c>
      <x:c r="AL178" s="38" t="n">
        <x:f>IF(AA178=0,0,AB178/AA178)</x:f>
        <x:v>1</x:v>
      </x:c>
      <x:c r="AM178" s="38" t="n">
        <x:f>IF(AB178=0,0,AC178/AB178)</x:f>
        <x:v>0.8</x:v>
      </x:c>
      <x:c r="AN178" s="37" t="n">
        <x:f>ROUND((AD178*0.20+AE178*0.20+AF178*0.25+AG178*0.15+MIN(100,AC178*12)*0.20),1)</x:f>
        <x:v>74.8</x:v>
      </x:c>
      <x:c r="AO178" s="37" t="n">
        <x:f>ROUND(MAX(0,MIN(100,(X178*0.35)+(W178/45*100*0.20)+((5-O178)/4*100*0.15)+((5-P178)/4*100*0.10)+((6-Y178)/5*100*0.10)+((100-Z178)*0.10))),1)</x:f>
        <x:v>33.2</x:v>
      </x:c>
      <x:c r="AP178" s="37" t="str">
        <x:f>IF(AO178&gt;=70,"High",IF(AO178&gt;=40,"Moderate","Low"))</x:f>
        <x:v>Low</x:v>
      </x:c>
      <x:c r="AQ178" s="37" t="n">
        <x:f>ROUND(MAX(0,MIN(100,(O178/4*100*0.25)+(P178/4*100*0.20)+(Q178/4*100*0.15)+(Y178/5*100*0.20)+(100-AO178)*0.20)),1)</x:f>
        <x:v>85.6</x:v>
      </x:c>
      <x:c r="AR178" s="37" t="n">
        <x:f>ROUND((AI178*0.20+AJ178*0.15+AN178*0.18+AG178*0.12+Z178*0.15+AQ178*0.20),1)</x:f>
        <x:v>91.7</x:v>
      </x:c>
      <x:c r="AS178" s="39" t="n">
        <x:f>ROUND((AC178*AF178*120)+(AH178*350)+(MAX(0,AI178-75)*220)+(MAX(0,AQ178-60)*100),0)</x:f>
        <x:v>44540</x:v>
      </x:c>
    </x:row>
    <x:row r="179">
      <x:c r="A179" s="35" t="n">
        <x:v>178</x:v>
      </x:c>
      <x:c r="B179" s="35" t="n">
        <x:v>33</x:v>
      </x:c>
      <x:c r="C179" s="35" t="str">
        <x:v>Female</x:v>
      </x:c>
      <x:c r="D179" s="35" t="str">
        <x:v>Sales</x:v>
      </x:c>
      <x:c r="E179" s="35" t="str">
        <x:v>Account Manager</x:v>
      </x:c>
      <x:c r="F179" s="35" t="str">
        <x:v>Life Sciences</x:v>
      </x:c>
      <x:c r="G179" s="35" t="str">
        <x:v>Married</x:v>
      </x:c>
      <x:c r="H179" s="35" t="n">
        <x:v>3</x:v>
      </x:c>
      <x:c r="I179" s="36" t="n">
        <x:v>14670</x:v>
      </x:c>
      <x:c r="J179" s="35" t="n">
        <x:v>10</x:v>
      </x:c>
      <x:c r="K179" s="35" t="n">
        <x:v>5</x:v>
      </x:c>
      <x:c r="L179" s="35" t="n">
        <x:v>3</x:v>
      </x:c>
      <x:c r="M179" s="35" t="n">
        <x:v>24</x:v>
      </x:c>
      <x:c r="N179" s="35" t="str">
        <x:v>No</x:v>
      </x:c>
      <x:c r="O179" s="35" t="n">
        <x:v>2</x:v>
      </x:c>
      <x:c r="P179" s="35" t="n">
        <x:v>3</x:v>
      </x:c>
      <x:c r="Q179" s="35" t="n">
        <x:v>2</x:v>
      </x:c>
      <x:c r="R179" s="35" t="n">
        <x:v>4</x:v>
      </x:c>
      <x:c r="S179" s="35" t="n">
        <x:v>3</x:v>
      </x:c>
      <x:c r="T179" s="35" t="n">
        <x:v>3</x:v>
      </x:c>
      <x:c r="U179" s="35" t="n">
        <x:v>2</x:v>
      </x:c>
      <x:c r="V179" s="35" t="n">
        <x:v>3</x:v>
      </x:c>
      <x:c r="W179" s="35" t="n">
        <x:v>11</x:v>
      </x:c>
      <x:c r="X179" s="35" t="n">
        <x:v>57</x:v>
      </x:c>
      <x:c r="Y179" s="35" t="n">
        <x:v>4</x:v>
      </x:c>
      <x:c r="Z179" s="35" t="n">
        <x:v>100</x:v>
      </x:c>
      <x:c r="AA179" s="35" t="n">
        <x:v>1</x:v>
      </x:c>
      <x:c r="AB179" s="35" t="n">
        <x:v>1</x:v>
      </x:c>
      <x:c r="AC179" s="35" t="n">
        <x:v>1</x:v>
      </x:c>
      <x:c r="AD179" s="35" t="n">
        <x:v>42</x:v>
      </x:c>
      <x:c r="AE179" s="35" t="n">
        <x:v>57</x:v>
      </x:c>
      <x:c r="AF179" s="35" t="n">
        <x:v>80</x:v>
      </x:c>
      <x:c r="AG179" s="35" t="n">
        <x:v>95</x:v>
      </x:c>
      <x:c r="AH179" s="35" t="n">
        <x:v>7</x:v>
      </x:c>
      <x:c r="AI179" s="37" t="n">
        <x:v>99.8</x:v>
      </x:c>
      <x:c r="AJ179" s="37" t="n">
        <x:v>91.7</x:v>
      </x:c>
      <x:c r="AK179" s="35" t="str">
        <x:v>No</x:v>
      </x:c>
      <x:c r="AL179" s="38" t="n">
        <x:f>IF(AA179=0,0,AB179/AA179)</x:f>
        <x:v>1</x:v>
      </x:c>
      <x:c r="AM179" s="38" t="n">
        <x:f>IF(AB179=0,0,AC179/AB179)</x:f>
        <x:v>1</x:v>
      </x:c>
      <x:c r="AN179" s="37" t="n">
        <x:f>ROUND((AD179*0.20+AE179*0.20+AF179*0.25+AG179*0.15+MIN(100,AC179*12)*0.20),1)</x:f>
        <x:v>56.5</x:v>
      </x:c>
      <x:c r="AO179" s="37" t="n">
        <x:f>ROUND(MAX(0,MIN(100,(X179*0.35)+(W179/45*100*0.20)+((5-O179)/4*100*0.15)+((5-P179)/4*100*0.10)+((6-Y179)/5*100*0.10)+((100-Z179)*0.10))),1)</x:f>
        <x:v>45.1</x:v>
      </x:c>
      <x:c r="AP179" s="37" t="str">
        <x:f>IF(AO179&gt;=70,"High",IF(AO179&gt;=40,"Moderate","Low"))</x:f>
        <x:v>Moderate</x:v>
      </x:c>
      <x:c r="AQ179" s="37" t="n">
        <x:f>ROUND(MAX(0,MIN(100,(O179/4*100*0.25)+(P179/4*100*0.20)+(Q179/4*100*0.15)+(Y179/5*100*0.20)+(100-AO179)*0.20)),1)</x:f>
        <x:v>62</x:v>
      </x:c>
      <x:c r="AR179" s="37" t="n">
        <x:f>ROUND((AI179*0.20+AJ179*0.15+AN179*0.18+AG179*0.12+Z179*0.15+AQ179*0.20),1)</x:f>
        <x:v>82.7</x:v>
      </x:c>
      <x:c r="AS179" s="39" t="n">
        <x:f>ROUND((AC179*AF179*120)+(AH179*350)+(MAX(0,AI179-75)*220)+(MAX(0,AQ179-60)*100),0)</x:f>
        <x:v>17706</x:v>
      </x:c>
    </x:row>
    <x:row r="180">
      <x:c r="A180" s="35" t="n">
        <x:v>179</x:v>
      </x:c>
      <x:c r="B180" s="35" t="n">
        <x:v>39</x:v>
      </x:c>
      <x:c r="C180" s="35" t="str">
        <x:v>Male</x:v>
      </x:c>
      <x:c r="D180" s="35" t="str">
        <x:v>Sales</x:v>
      </x:c>
      <x:c r="E180" s="35" t="str">
        <x:v>Sales Representative</x:v>
      </x:c>
      <x:c r="F180" s="35" t="str">
        <x:v>Human Resources</x:v>
      </x:c>
      <x:c r="G180" s="35" t="str">
        <x:v>Divorced</x:v>
      </x:c>
      <x:c r="H180" s="35" t="n">
        <x:v>2</x:v>
      </x:c>
      <x:c r="I180" s="36" t="n">
        <x:v>9850</x:v>
      </x:c>
      <x:c r="J180" s="35" t="n">
        <x:v>10</x:v>
      </x:c>
      <x:c r="K180" s="35" t="n">
        <x:v>5</x:v>
      </x:c>
      <x:c r="L180" s="35" t="n">
        <x:v>3</x:v>
      </x:c>
      <x:c r="M180" s="35" t="n">
        <x:v>9</x:v>
      </x:c>
      <x:c r="N180" s="35" t="str">
        <x:v>No</x:v>
      </x:c>
      <x:c r="O180" s="35" t="n">
        <x:v>3</x:v>
      </x:c>
      <x:c r="P180" s="35" t="n">
        <x:v>4</x:v>
      </x:c>
      <x:c r="Q180" s="35" t="n">
        <x:v>2</x:v>
      </x:c>
      <x:c r="R180" s="35" t="n">
        <x:v>4</x:v>
      </x:c>
      <x:c r="S180" s="35" t="n">
        <x:v>3</x:v>
      </x:c>
      <x:c r="T180" s="35" t="n">
        <x:v>5</x:v>
      </x:c>
      <x:c r="U180" s="35" t="n">
        <x:v>1</x:v>
      </x:c>
      <x:c r="V180" s="35" t="n">
        <x:v>6</x:v>
      </x:c>
      <x:c r="W180" s="35" t="n">
        <x:v>5</x:v>
      </x:c>
      <x:c r="X180" s="35" t="n">
        <x:v>64</x:v>
      </x:c>
      <x:c r="Y180" s="35" t="n">
        <x:v>5</x:v>
      </x:c>
      <x:c r="Z180" s="35" t="n">
        <x:v>100</x:v>
      </x:c>
      <x:c r="AA180" s="35" t="n">
        <x:v>3</x:v>
      </x:c>
      <x:c r="AB180" s="35" t="n">
        <x:v>1</x:v>
      </x:c>
      <x:c r="AC180" s="35" t="n">
        <x:v>0</x:v>
      </x:c>
      <x:c r="AD180" s="35" t="n">
        <x:v>74</x:v>
      </x:c>
      <x:c r="AE180" s="35" t="n">
        <x:v>58</x:v>
      </x:c>
      <x:c r="AF180" s="35" t="n">
        <x:v>84</x:v>
      </x:c>
      <x:c r="AG180" s="35" t="n">
        <x:v>95</x:v>
      </x:c>
      <x:c r="AH180" s="35" t="n">
        <x:v>6</x:v>
      </x:c>
      <x:c r="AI180" s="37" t="n">
        <x:v>93.8</x:v>
      </x:c>
      <x:c r="AJ180" s="37" t="n">
        <x:v>95.5</x:v>
      </x:c>
      <x:c r="AK180" s="35" t="str">
        <x:v>No</x:v>
      </x:c>
      <x:c r="AL180" s="38" t="n">
        <x:f>IF(AA180=0,0,AB180/AA180)</x:f>
        <x:v>0.3333333333333333</x:v>
      </x:c>
      <x:c r="AM180" s="38" t="n">
        <x:f>IF(AB180=0,0,AC180/AB180)</x:f>
        <x:v>0</x:v>
      </x:c>
      <x:c r="AN180" s="37" t="n">
        <x:f>ROUND((AD180*0.20+AE180*0.20+AF180*0.25+AG180*0.15+MIN(100,AC180*12)*0.20),1)</x:f>
        <x:v>61.7</x:v>
      </x:c>
      <x:c r="AO180" s="37" t="n">
        <x:f>ROUND(MAX(0,MIN(100,(X180*0.35)+(W180/45*100*0.20)+((5-O180)/4*100*0.15)+((5-P180)/4*100*0.10)+((6-Y180)/5*100*0.10)+((100-Z180)*0.10))),1)</x:f>
        <x:v>36.6</x:v>
      </x:c>
      <x:c r="AP180" s="37" t="str">
        <x:f>IF(AO180&gt;=70,"High",IF(AO180&gt;=40,"Moderate","Low"))</x:f>
        <x:v>Low</x:v>
      </x:c>
      <x:c r="AQ180" s="37" t="n">
        <x:f>ROUND(MAX(0,MIN(100,(O180/4*100*0.25)+(P180/4*100*0.20)+(Q180/4*100*0.15)+(Y180/5*100*0.20)+(100-AO180)*0.20)),1)</x:f>
        <x:v>78.9</x:v>
      </x:c>
      <x:c r="AR180" s="37" t="n">
        <x:f>ROUND((AI180*0.20+AJ180*0.15+AN180*0.18+AG180*0.12+Z180*0.15+AQ180*0.20),1)</x:f>
        <x:v>86.4</x:v>
      </x:c>
      <x:c r="AS180" s="39" t="n">
        <x:f>ROUND((AC180*AF180*120)+(AH180*350)+(MAX(0,AI180-75)*220)+(MAX(0,AQ180-60)*100),0)</x:f>
        <x:v>8126</x:v>
      </x:c>
    </x:row>
    <x:row r="181">
      <x:c r="A181" s="35" t="n">
        <x:v>180</x:v>
      </x:c>
      <x:c r="B181" s="35" t="n">
        <x:v>39</x:v>
      </x:c>
      <x:c r="C181" s="35" t="str">
        <x:v>Male</x:v>
      </x:c>
      <x:c r="D181" s="35" t="str">
        <x:v>Finance</x:v>
      </x:c>
      <x:c r="E181" s="35" t="str">
        <x:v>Finance Manager</x:v>
      </x:c>
      <x:c r="F181" s="35" t="str">
        <x:v>Technical Degree</x:v>
      </x:c>
      <x:c r="G181" s="35" t="str">
        <x:v>Married</x:v>
      </x:c>
      <x:c r="H181" s="35" t="n">
        <x:v>2</x:v>
      </x:c>
      <x:c r="I181" s="36" t="n">
        <x:v>9360</x:v>
      </x:c>
      <x:c r="J181" s="35" t="n">
        <x:v>10</x:v>
      </x:c>
      <x:c r="K181" s="35" t="n">
        <x:v>8</x:v>
      </x:c>
      <x:c r="L181" s="35" t="n">
        <x:v>5</x:v>
      </x:c>
      <x:c r="M181" s="35" t="n">
        <x:v>7</x:v>
      </x:c>
      <x:c r="N181" s="35" t="str">
        <x:v>Yes</x:v>
      </x:c>
      <x:c r="O181" s="35" t="n">
        <x:v>3</x:v>
      </x:c>
      <x:c r="P181" s="35" t="n">
        <x:v>4</x:v>
      </x:c>
      <x:c r="Q181" s="35" t="n">
        <x:v>3</x:v>
      </x:c>
      <x:c r="R181" s="35" t="n">
        <x:v>3</x:v>
      </x:c>
      <x:c r="S181" s="35" t="n">
        <x:v>3</x:v>
      </x:c>
      <x:c r="T181" s="35" t="n">
        <x:v>3</x:v>
      </x:c>
      <x:c r="U181" s="35" t="n">
        <x:v>1</x:v>
      </x:c>
      <x:c r="V181" s="35" t="n">
        <x:v>10</x:v>
      </x:c>
      <x:c r="W181" s="35" t="n">
        <x:v>18</x:v>
      </x:c>
      <x:c r="X181" s="35" t="n">
        <x:v>69</x:v>
      </x:c>
      <x:c r="Y181" s="35" t="n">
        <x:v>4</x:v>
      </x:c>
      <x:c r="Z181" s="35" t="n">
        <x:v>100</x:v>
      </x:c>
      <x:c r="AA181" s="35" t="n">
        <x:v>5</x:v>
      </x:c>
      <x:c r="AB181" s="35" t="n">
        <x:v>4</x:v>
      </x:c>
      <x:c r="AC181" s="35" t="n">
        <x:v>4</x:v>
      </x:c>
      <x:c r="AD181" s="35" t="n">
        <x:v>65</x:v>
      </x:c>
      <x:c r="AE181" s="35" t="n">
        <x:v>88</x:v>
      </x:c>
      <x:c r="AF181" s="35" t="n">
        <x:v>76</x:v>
      </x:c>
      <x:c r="AG181" s="35" t="n">
        <x:v>100</x:v>
      </x:c>
      <x:c r="AH181" s="35" t="n">
        <x:v>5</x:v>
      </x:c>
      <x:c r="AI181" s="37" t="n">
        <x:v>100</x:v>
      </x:c>
      <x:c r="AJ181" s="37" t="n">
        <x:v>98.6</x:v>
      </x:c>
      <x:c r="AK181" s="35" t="str">
        <x:v>Yes</x:v>
      </x:c>
      <x:c r="AL181" s="38" t="n">
        <x:f>IF(AA181=0,0,AB181/AA181)</x:f>
        <x:v>0.8</x:v>
      </x:c>
      <x:c r="AM181" s="38" t="n">
        <x:f>IF(AB181=0,0,AC181/AB181)</x:f>
        <x:v>1</x:v>
      </x:c>
      <x:c r="AN181" s="37" t="n">
        <x:f>ROUND((AD181*0.20+AE181*0.20+AF181*0.25+AG181*0.15+MIN(100,AC181*12)*0.20),1)</x:f>
        <x:v>74.2</x:v>
      </x:c>
      <x:c r="AO181" s="37" t="n">
        <x:f>ROUND(MAX(0,MIN(100,(X181*0.35)+(W181/45*100*0.20)+((5-O181)/4*100*0.15)+((5-P181)/4*100*0.10)+((6-Y181)/5*100*0.10)+((100-Z181)*0.10))),1)</x:f>
        <x:v>46.2</x:v>
      </x:c>
      <x:c r="AP181" s="37" t="str">
        <x:f>IF(AO181&gt;=70,"High",IF(AO181&gt;=40,"Moderate","Low"))</x:f>
        <x:v>Moderate</x:v>
      </x:c>
      <x:c r="AQ181" s="37" t="n">
        <x:f>ROUND(MAX(0,MIN(100,(O181/4*100*0.25)+(P181/4*100*0.20)+(Q181/4*100*0.15)+(Y181/5*100*0.20)+(100-AO181)*0.20)),1)</x:f>
        <x:v>76.8</x:v>
      </x:c>
      <x:c r="AR181" s="37" t="n">
        <x:f>ROUND((AI181*0.20+AJ181*0.15+AN181*0.18+AG181*0.12+Z181*0.15+AQ181*0.20),1)</x:f>
        <x:v>90.5</x:v>
      </x:c>
      <x:c r="AS181" s="39" t="n">
        <x:f>ROUND((AC181*AF181*120)+(AH181*350)+(MAX(0,AI181-75)*220)+(MAX(0,AQ181-60)*100),0)</x:f>
        <x:v>45410</x:v>
      </x:c>
    </x:row>
    <x:row r="182">
      <x:c r="A182" s="35" t="n">
        <x:v>181</x:v>
      </x:c>
      <x:c r="B182" s="35" t="n">
        <x:v>25</x:v>
      </x:c>
      <x:c r="C182" s="35" t="str">
        <x:v>Female</x:v>
      </x:c>
      <x:c r="D182" s="35" t="str">
        <x:v>Research &amp; Development</x:v>
      </x:c>
      <x:c r="E182" s="35" t="str">
        <x:v>Laboratory Technician</x:v>
      </x:c>
      <x:c r="F182" s="35" t="str">
        <x:v>Computer Science</x:v>
      </x:c>
      <x:c r="G182" s="35" t="str">
        <x:v>Married</x:v>
      </x:c>
      <x:c r="H182" s="35" t="n">
        <x:v>1</x:v>
      </x:c>
      <x:c r="I182" s="36" t="n">
        <x:v>5260</x:v>
      </x:c>
      <x:c r="J182" s="35" t="n">
        <x:v>3</x:v>
      </x:c>
      <x:c r="K182" s="35" t="n">
        <x:v>1</x:v>
      </x:c>
      <x:c r="L182" s="35" t="n">
        <x:v>0</x:v>
      </x:c>
      <x:c r="M182" s="35" t="n">
        <x:v>23</x:v>
      </x:c>
      <x:c r="N182" s="35" t="str">
        <x:v>No</x:v>
      </x:c>
      <x:c r="O182" s="35" t="n">
        <x:v>2</x:v>
      </x:c>
      <x:c r="P182" s="35" t="n">
        <x:v>3</x:v>
      </x:c>
      <x:c r="Q182" s="35" t="n">
        <x:v>2</x:v>
      </x:c>
      <x:c r="R182" s="35" t="n">
        <x:v>2</x:v>
      </x:c>
      <x:c r="S182" s="35" t="n">
        <x:v>3</x:v>
      </x:c>
      <x:c r="T182" s="35" t="n">
        <x:v>3</x:v>
      </x:c>
      <x:c r="U182" s="35" t="n">
        <x:v>2</x:v>
      </x:c>
      <x:c r="V182" s="35" t="n">
        <x:v>6</x:v>
      </x:c>
      <x:c r="W182" s="35" t="n">
        <x:v>11</x:v>
      </x:c>
      <x:c r="X182" s="35" t="n">
        <x:v>59</x:v>
      </x:c>
      <x:c r="Y182" s="35" t="n">
        <x:v>5</x:v>
      </x:c>
      <x:c r="Z182" s="35" t="n">
        <x:v>99</x:v>
      </x:c>
      <x:c r="AA182" s="35" t="n">
        <x:v>6</x:v>
      </x:c>
      <x:c r="AB182" s="35" t="n">
        <x:v>2</x:v>
      </x:c>
      <x:c r="AC182" s="35" t="n">
        <x:v>2</x:v>
      </x:c>
      <x:c r="AD182" s="35" t="n">
        <x:v>78</x:v>
      </x:c>
      <x:c r="AE182" s="35" t="n">
        <x:v>91</x:v>
      </x:c>
      <x:c r="AF182" s="35" t="n">
        <x:v>64</x:v>
      </x:c>
      <x:c r="AG182" s="35" t="n">
        <x:v>96</x:v>
      </x:c>
      <x:c r="AH182" s="35" t="n">
        <x:v>6</x:v>
      </x:c>
      <x:c r="AI182" s="37" t="n">
        <x:v>100</x:v>
      </x:c>
      <x:c r="AJ182" s="37" t="n">
        <x:v>97.1</x:v>
      </x:c>
      <x:c r="AK182" s="35" t="str">
        <x:v>No</x:v>
      </x:c>
      <x:c r="AL182" s="38" t="n">
        <x:f>IF(AA182=0,0,AB182/AA182)</x:f>
        <x:v>0.3333333333333333</x:v>
      </x:c>
      <x:c r="AM182" s="38" t="n">
        <x:f>IF(AB182=0,0,AC182/AB182)</x:f>
        <x:v>1</x:v>
      </x:c>
      <x:c r="AN182" s="37" t="n">
        <x:f>ROUND((AD182*0.20+AE182*0.20+AF182*0.25+AG182*0.15+MIN(100,AC182*12)*0.20),1)</x:f>
        <x:v>69</x:v>
      </x:c>
      <x:c r="AO182" s="37" t="n">
        <x:f>ROUND(MAX(0,MIN(100,(X182*0.35)+(W182/45*100*0.20)+((5-O182)/4*100*0.15)+((5-P182)/4*100*0.10)+((6-Y182)/5*100*0.10)+((100-Z182)*0.10))),1)</x:f>
        <x:v>43.9</x:v>
      </x:c>
      <x:c r="AP182" s="37" t="str">
        <x:f>IF(AO182&gt;=70,"High",IF(AO182&gt;=40,"Moderate","Low"))</x:f>
        <x:v>Moderate</x:v>
      </x:c>
      <x:c r="AQ182" s="37" t="n">
        <x:f>ROUND(MAX(0,MIN(100,(O182/4*100*0.25)+(P182/4*100*0.20)+(Q182/4*100*0.15)+(Y182/5*100*0.20)+(100-AO182)*0.20)),1)</x:f>
        <x:v>66.2</x:v>
      </x:c>
      <x:c r="AR182" s="37" t="n">
        <x:f>ROUND((AI182*0.20+AJ182*0.15+AN182*0.18+AG182*0.12+Z182*0.15+AQ182*0.20),1)</x:f>
        <x:v>86.6</x:v>
      </x:c>
      <x:c r="AS182" s="39" t="n">
        <x:f>ROUND((AC182*AF182*120)+(AH182*350)+(MAX(0,AI182-75)*220)+(MAX(0,AQ182-60)*100),0)</x:f>
        <x:v>23580</x:v>
      </x:c>
    </x:row>
    <x:row r="183">
      <x:c r="A183" s="35" t="n">
        <x:v>182</x:v>
      </x:c>
      <x:c r="B183" s="35" t="n">
        <x:v>53</x:v>
      </x:c>
      <x:c r="C183" s="35" t="str">
        <x:v>Male</x:v>
      </x:c>
      <x:c r="D183" s="35" t="str">
        <x:v>Finance</x:v>
      </x:c>
      <x:c r="E183" s="35" t="str">
        <x:v>Finance Manager</x:v>
      </x:c>
      <x:c r="F183" s="35" t="str">
        <x:v>Medical</x:v>
      </x:c>
      <x:c r="G183" s="35" t="str">
        <x:v>Married</x:v>
      </x:c>
      <x:c r="H183" s="35" t="n">
        <x:v>4</x:v>
      </x:c>
      <x:c r="I183" s="36" t="n">
        <x:v>23040</x:v>
      </x:c>
      <x:c r="J183" s="35" t="n">
        <x:v>19</x:v>
      </x:c>
      <x:c r="K183" s="35" t="n">
        <x:v>10</x:v>
      </x:c>
      <x:c r="L183" s="35" t="n">
        <x:v>6</x:v>
      </x:c>
      <x:c r="M183" s="35" t="n">
        <x:v>3</x:v>
      </x:c>
      <x:c r="N183" s="35" t="str">
        <x:v>No</x:v>
      </x:c>
      <x:c r="O183" s="35" t="n">
        <x:v>3</x:v>
      </x:c>
      <x:c r="P183" s="35" t="n">
        <x:v>3</x:v>
      </x:c>
      <x:c r="Q183" s="35" t="n">
        <x:v>3</x:v>
      </x:c>
      <x:c r="R183" s="35" t="n">
        <x:v>2</x:v>
      </x:c>
      <x:c r="S183" s="35" t="n">
        <x:v>4</x:v>
      </x:c>
      <x:c r="T183" s="35" t="n">
        <x:v>1</x:v>
      </x:c>
      <x:c r="U183" s="35" t="n">
        <x:v>1</x:v>
      </x:c>
      <x:c r="V183" s="35" t="n">
        <x:v>4</x:v>
      </x:c>
      <x:c r="W183" s="35" t="n">
        <x:v>2</x:v>
      </x:c>
      <x:c r="X183" s="35" t="n">
        <x:v>89</x:v>
      </x:c>
      <x:c r="Y183" s="35" t="n">
        <x:v>4</x:v>
      </x:c>
      <x:c r="Z183" s="35" t="n">
        <x:v>82</x:v>
      </x:c>
      <x:c r="AA183" s="35" t="n">
        <x:v>4</x:v>
      </x:c>
      <x:c r="AB183" s="35" t="n">
        <x:v>3</x:v>
      </x:c>
      <x:c r="AC183" s="35" t="n">
        <x:v>2</x:v>
      </x:c>
      <x:c r="AD183" s="35" t="n">
        <x:v>52</x:v>
      </x:c>
      <x:c r="AE183" s="35" t="n">
        <x:v>94</x:v>
      </x:c>
      <x:c r="AF183" s="35" t="n">
        <x:v>73</x:v>
      </x:c>
      <x:c r="AG183" s="35" t="n">
        <x:v>75</x:v>
      </x:c>
      <x:c r="AH183" s="35" t="n">
        <x:v>9</x:v>
      </x:c>
      <x:c r="AI183" s="37" t="n">
        <x:v>93.8</x:v>
      </x:c>
      <x:c r="AJ183" s="37" t="n">
        <x:v>84.9</x:v>
      </x:c>
      <x:c r="AK183" s="35" t="str">
        <x:v>No</x:v>
      </x:c>
      <x:c r="AL183" s="38" t="n">
        <x:f>IF(AA183=0,0,AB183/AA183)</x:f>
        <x:v>0.75</x:v>
      </x:c>
      <x:c r="AM183" s="38" t="n">
        <x:f>IF(AB183=0,0,AC183/AB183)</x:f>
        <x:v>0.6666666666666666</x:v>
      </x:c>
      <x:c r="AN183" s="37" t="n">
        <x:f>ROUND((AD183*0.20+AE183*0.20+AF183*0.25+AG183*0.15+MIN(100,AC183*12)*0.20),1)</x:f>
        <x:v>63.5</x:v>
      </x:c>
      <x:c r="AO183" s="37" t="n">
        <x:f>ROUND(MAX(0,MIN(100,(X183*0.35)+(W183/45*100*0.20)+((5-O183)/4*100*0.15)+((5-P183)/4*100*0.10)+((6-Y183)/5*100*0.10)+((100-Z183)*0.10))),1)</x:f>
        <x:v>50.3</x:v>
      </x:c>
      <x:c r="AP183" s="37" t="str">
        <x:f>IF(AO183&gt;=70,"High",IF(AO183&gt;=40,"Moderate","Low"))</x:f>
        <x:v>Moderate</x:v>
      </x:c>
      <x:c r="AQ183" s="37" t="n">
        <x:f>ROUND(MAX(0,MIN(100,(O183/4*100*0.25)+(P183/4*100*0.20)+(Q183/4*100*0.15)+(Y183/5*100*0.20)+(100-AO183)*0.20)),1)</x:f>
        <x:v>70.9</x:v>
      </x:c>
      <x:c r="AR183" s="37" t="n">
        <x:f>ROUND((AI183*0.20+AJ183*0.15+AN183*0.18+AG183*0.12+Z183*0.15+AQ183*0.20),1)</x:f>
        <x:v>78.4</x:v>
      </x:c>
      <x:c r="AS183" s="39" t="n">
        <x:f>ROUND((AC183*AF183*120)+(AH183*350)+(MAX(0,AI183-75)*220)+(MAX(0,AQ183-60)*100),0)</x:f>
        <x:v>25896</x:v>
      </x:c>
    </x:row>
    <x:row r="184">
      <x:c r="A184" s="35" t="n">
        <x:v>183</x:v>
      </x:c>
      <x:c r="B184" s="35" t="n">
        <x:v>26</x:v>
      </x:c>
      <x:c r="C184" s="35" t="str">
        <x:v>Female</x:v>
      </x:c>
      <x:c r="D184" s="35" t="str">
        <x:v>Sales</x:v>
      </x:c>
      <x:c r="E184" s="35" t="str">
        <x:v>Sales Executive</x:v>
      </x:c>
      <x:c r="F184" s="35" t="str">
        <x:v>Technical Degree</x:v>
      </x:c>
      <x:c r="G184" s="35" t="str">
        <x:v>Divorced</x:v>
      </x:c>
      <x:c r="H184" s="35" t="n">
        <x:v>1</x:v>
      </x:c>
      <x:c r="I184" s="36" t="n">
        <x:v>4050</x:v>
      </x:c>
      <x:c r="J184" s="35" t="n">
        <x:v>2</x:v>
      </x:c>
      <x:c r="K184" s="35" t="n">
        <x:v>1</x:v>
      </x:c>
      <x:c r="L184" s="35" t="n">
        <x:v>1</x:v>
      </x:c>
      <x:c r="M184" s="35" t="n">
        <x:v>8</x:v>
      </x:c>
      <x:c r="N184" s="35" t="str">
        <x:v>No</x:v>
      </x:c>
      <x:c r="O184" s="35" t="n">
        <x:v>4</x:v>
      </x:c>
      <x:c r="P184" s="35" t="n">
        <x:v>3</x:v>
      </x:c>
      <x:c r="Q184" s="35" t="n">
        <x:v>3</x:v>
      </x:c>
      <x:c r="R184" s="35" t="n">
        <x:v>3</x:v>
      </x:c>
      <x:c r="S184" s="35" t="n">
        <x:v>3</x:v>
      </x:c>
      <x:c r="T184" s="35" t="n">
        <x:v>4</x:v>
      </x:c>
      <x:c r="U184" s="35" t="n">
        <x:v>1</x:v>
      </x:c>
      <x:c r="V184" s="35" t="n">
        <x:v>5</x:v>
      </x:c>
      <x:c r="W184" s="35" t="n">
        <x:v>10</x:v>
      </x:c>
      <x:c r="X184" s="35" t="n">
        <x:v>41</x:v>
      </x:c>
      <x:c r="Y184" s="35" t="n">
        <x:v>5</x:v>
      </x:c>
      <x:c r="Z184" s="35" t="n">
        <x:v>100</x:v>
      </x:c>
      <x:c r="AA184" s="35" t="n">
        <x:v>15</x:v>
      </x:c>
      <x:c r="AB184" s="35" t="n">
        <x:v>11</x:v>
      </x:c>
      <x:c r="AC184" s="35" t="n">
        <x:v>5</x:v>
      </x:c>
      <x:c r="AD184" s="35" t="n">
        <x:v>79</x:v>
      </x:c>
      <x:c r="AE184" s="35" t="n">
        <x:v>97</x:v>
      </x:c>
      <x:c r="AF184" s="35" t="n">
        <x:v>73</x:v>
      </x:c>
      <x:c r="AG184" s="35" t="n">
        <x:v>100</x:v>
      </x:c>
      <x:c r="AH184" s="35" t="n">
        <x:v>10</x:v>
      </x:c>
      <x:c r="AI184" s="37" t="n">
        <x:v>96</x:v>
      </x:c>
      <x:c r="AJ184" s="37" t="n">
        <x:v>87.4</x:v>
      </x:c>
      <x:c r="AK184" s="35" t="str">
        <x:v>No</x:v>
      </x:c>
      <x:c r="AL184" s="38" t="n">
        <x:f>IF(AA184=0,0,AB184/AA184)</x:f>
        <x:v>0.7333333333333333</x:v>
      </x:c>
      <x:c r="AM184" s="38" t="n">
        <x:f>IF(AB184=0,0,AC184/AB184)</x:f>
        <x:v>0.45454545454545453</x:v>
      </x:c>
      <x:c r="AN184" s="37" t="n">
        <x:f>ROUND((AD184*0.20+AE184*0.20+AF184*0.25+AG184*0.15+MIN(100,AC184*12)*0.20),1)</x:f>
        <x:v>80.5</x:v>
      </x:c>
      <x:c r="AO184" s="37" t="n">
        <x:f>ROUND(MAX(0,MIN(100,(X184*0.35)+(W184/45*100*0.20)+((5-O184)/4*100*0.15)+((5-P184)/4*100*0.10)+((6-Y184)/5*100*0.10)+((100-Z184)*0.10))),1)</x:f>
        <x:v>29.5</x:v>
      </x:c>
      <x:c r="AP184" s="37" t="str">
        <x:f>IF(AO184&gt;=70,"High",IF(AO184&gt;=40,"Moderate","Low"))</x:f>
        <x:v>Low</x:v>
      </x:c>
      <x:c r="AQ184" s="37" t="n">
        <x:f>ROUND(MAX(0,MIN(100,(O184/4*100*0.25)+(P184/4*100*0.20)+(Q184/4*100*0.15)+(Y184/5*100*0.20)+(100-AO184)*0.20)),1)</x:f>
        <x:v>85.4</x:v>
      </x:c>
      <x:c r="AR184" s="37" t="n">
        <x:f>ROUND((AI184*0.20+AJ184*0.15+AN184*0.18+AG184*0.12+Z184*0.15+AQ184*0.20),1)</x:f>
        <x:v>90.9</x:v>
      </x:c>
      <x:c r="AS184" s="39" t="n">
        <x:f>ROUND((AC184*AF184*120)+(AH184*350)+(MAX(0,AI184-75)*220)+(MAX(0,AQ184-60)*100),0)</x:f>
        <x:v>54460</x:v>
      </x:c>
    </x:row>
    <x:row r="185">
      <x:c r="A185" s="35" t="n">
        <x:v>184</x:v>
      </x:c>
      <x:c r="B185" s="35" t="n">
        <x:v>37</x:v>
      </x:c>
      <x:c r="C185" s="35" t="str">
        <x:v>Male</x:v>
      </x:c>
      <x:c r="D185" s="35" t="str">
        <x:v>Information Technology</x:v>
      </x:c>
      <x:c r="E185" s="35" t="str">
        <x:v>IT Manager</x:v>
      </x:c>
      <x:c r="F185" s="35" t="str">
        <x:v>Human Resources</x:v>
      </x:c>
      <x:c r="G185" s="35" t="str">
        <x:v>Divorced</x:v>
      </x:c>
      <x:c r="H185" s="35" t="n">
        <x:v>2</x:v>
      </x:c>
      <x:c r="I185" s="36" t="n">
        <x:v>7960</x:v>
      </x:c>
      <x:c r="J185" s="35" t="n">
        <x:v>14</x:v>
      </x:c>
      <x:c r="K185" s="35" t="n">
        <x:v>9</x:v>
      </x:c>
      <x:c r="L185" s="35" t="n">
        <x:v>6</x:v>
      </x:c>
      <x:c r="M185" s="35" t="n">
        <x:v>25</x:v>
      </x:c>
      <x:c r="N185" s="35" t="str">
        <x:v>No</x:v>
      </x:c>
      <x:c r="O185" s="35" t="n">
        <x:v>2</x:v>
      </x:c>
      <x:c r="P185" s="35" t="n">
        <x:v>3</x:v>
      </x:c>
      <x:c r="Q185" s="35" t="n">
        <x:v>3</x:v>
      </x:c>
      <x:c r="R185" s="35" t="n">
        <x:v>4</x:v>
      </x:c>
      <x:c r="S185" s="35" t="n">
        <x:v>3</x:v>
      </x:c>
      <x:c r="T185" s="35" t="n">
        <x:v>4</x:v>
      </x:c>
      <x:c r="U185" s="35" t="n">
        <x:v>1</x:v>
      </x:c>
      <x:c r="V185" s="35" t="n">
        <x:v>5</x:v>
      </x:c>
      <x:c r="W185" s="35" t="n">
        <x:v>0</x:v>
      </x:c>
      <x:c r="X185" s="35" t="n">
        <x:v>64</x:v>
      </x:c>
      <x:c r="Y185" s="35" t="n">
        <x:v>5</x:v>
      </x:c>
      <x:c r="Z185" s="35" t="n">
        <x:v>100</x:v>
      </x:c>
      <x:c r="AA185" s="35" t="n">
        <x:v>7</x:v>
      </x:c>
      <x:c r="AB185" s="35" t="n">
        <x:v>6</x:v>
      </x:c>
      <x:c r="AC185" s="35" t="n">
        <x:v>5</x:v>
      </x:c>
      <x:c r="AD185" s="35" t="n">
        <x:v>89</x:v>
      </x:c>
      <x:c r="AE185" s="35" t="n">
        <x:v>79</x:v>
      </x:c>
      <x:c r="AF185" s="35" t="n">
        <x:v>74</x:v>
      </x:c>
      <x:c r="AG185" s="35" t="n">
        <x:v>88</x:v>
      </x:c>
      <x:c r="AH185" s="35" t="n">
        <x:v>7</x:v>
      </x:c>
      <x:c r="AI185" s="37" t="n">
        <x:v>97.3</x:v>
      </x:c>
      <x:c r="AJ185" s="37" t="n">
        <x:v>100</x:v>
      </x:c>
      <x:c r="AK185" s="35" t="str">
        <x:v>No</x:v>
      </x:c>
      <x:c r="AL185" s="38" t="n">
        <x:f>IF(AA185=0,0,AB185/AA185)</x:f>
        <x:v>0.8571428571428571</x:v>
      </x:c>
      <x:c r="AM185" s="38" t="n">
        <x:f>IF(AB185=0,0,AC185/AB185)</x:f>
        <x:v>0.8333333333333334</x:v>
      </x:c>
      <x:c r="AN185" s="37" t="n">
        <x:f>ROUND((AD185*0.20+AE185*0.20+AF185*0.25+AG185*0.15+MIN(100,AC185*12)*0.20),1)</x:f>
        <x:v>77.3</x:v>
      </x:c>
      <x:c r="AO185" s="37" t="n">
        <x:f>ROUND(MAX(0,MIN(100,(X185*0.35)+(W185/45*100*0.20)+((5-O185)/4*100*0.15)+((5-P185)/4*100*0.10)+((6-Y185)/5*100*0.10)+((100-Z185)*0.10))),1)</x:f>
        <x:v>40.7</x:v>
      </x:c>
      <x:c r="AP185" s="37" t="str">
        <x:f>IF(AO185&gt;=70,"High",IF(AO185&gt;=40,"Moderate","Low"))</x:f>
        <x:v>Moderate</x:v>
      </x:c>
      <x:c r="AQ185" s="37" t="n">
        <x:f>ROUND(MAX(0,MIN(100,(O185/4*100*0.25)+(P185/4*100*0.20)+(Q185/4*100*0.15)+(Y185/5*100*0.20)+(100-AO185)*0.20)),1)</x:f>
        <x:v>70.6</x:v>
      </x:c>
      <x:c r="AR185" s="37" t="n">
        <x:f>ROUND((AI185*0.20+AJ185*0.15+AN185*0.18+AG185*0.12+Z185*0.15+AQ185*0.20),1)</x:f>
        <x:v>88.1</x:v>
      </x:c>
      <x:c r="AS185" s="39" t="n">
        <x:f>ROUND((AC185*AF185*120)+(AH185*350)+(MAX(0,AI185-75)*220)+(MAX(0,AQ185-60)*100),0)</x:f>
        <x:v>52816</x:v>
      </x:c>
    </x:row>
    <x:row r="186">
      <x:c r="A186" s="35" t="n">
        <x:v>185</x:v>
      </x:c>
      <x:c r="B186" s="35" t="n">
        <x:v>27</x:v>
      </x:c>
      <x:c r="C186" s="35" t="str">
        <x:v>Male</x:v>
      </x:c>
      <x:c r="D186" s="35" t="str">
        <x:v>Research &amp; Development</x:v>
      </x:c>
      <x:c r="E186" s="35" t="str">
        <x:v>Research Scientist</x:v>
      </x:c>
      <x:c r="F186" s="35" t="str">
        <x:v>Medical</x:v>
      </x:c>
      <x:c r="G186" s="35" t="str">
        <x:v>Single</x:v>
      </x:c>
      <x:c r="H186" s="35" t="n">
        <x:v>2</x:v>
      </x:c>
      <x:c r="I186" s="36" t="n">
        <x:v>9120</x:v>
      </x:c>
      <x:c r="J186" s="35" t="n">
        <x:v>5</x:v>
      </x:c>
      <x:c r="K186" s="35" t="n">
        <x:v>2</x:v>
      </x:c>
      <x:c r="L186" s="35" t="n">
        <x:v>1</x:v>
      </x:c>
      <x:c r="M186" s="35" t="n">
        <x:v>21</x:v>
      </x:c>
      <x:c r="N186" s="35" t="str">
        <x:v>Yes</x:v>
      </x:c>
      <x:c r="O186" s="35" t="n">
        <x:v>4</x:v>
      </x:c>
      <x:c r="P186" s="35" t="n">
        <x:v>3</x:v>
      </x:c>
      <x:c r="Q186" s="35" t="n">
        <x:v>2</x:v>
      </x:c>
      <x:c r="R186" s="35" t="n">
        <x:v>4</x:v>
      </x:c>
      <x:c r="S186" s="35" t="n">
        <x:v>3</x:v>
      </x:c>
      <x:c r="T186" s="35" t="n">
        <x:v>4</x:v>
      </x:c>
      <x:c r="U186" s="35" t="n">
        <x:v>0</x:v>
      </x:c>
      <x:c r="V186" s="35" t="n">
        <x:v>14</x:v>
      </x:c>
      <x:c r="W186" s="35" t="n">
        <x:v>28</x:v>
      </x:c>
      <x:c r="X186" s="35" t="n">
        <x:v>76</x:v>
      </x:c>
      <x:c r="Y186" s="35" t="n">
        <x:v>5</x:v>
      </x:c>
      <x:c r="Z186" s="35" t="n">
        <x:v>100</x:v>
      </x:c>
      <x:c r="AA186" s="35" t="n">
        <x:v>4</x:v>
      </x:c>
      <x:c r="AB186" s="35" t="n">
        <x:v>4</x:v>
      </x:c>
      <x:c r="AC186" s="35" t="n">
        <x:v>3</x:v>
      </x:c>
      <x:c r="AD186" s="35" t="n">
        <x:v>88</x:v>
      </x:c>
      <x:c r="AE186" s="35" t="n">
        <x:v>71</x:v>
      </x:c>
      <x:c r="AF186" s="35" t="n">
        <x:v>59</x:v>
      </x:c>
      <x:c r="AG186" s="35" t="n">
        <x:v>100</x:v>
      </x:c>
      <x:c r="AH186" s="35" t="n">
        <x:v>6</x:v>
      </x:c>
      <x:c r="AI186" s="37" t="n">
        <x:v>100</x:v>
      </x:c>
      <x:c r="AJ186" s="37" t="n">
        <x:v>100</x:v>
      </x:c>
      <x:c r="AK186" s="35" t="str">
        <x:v>No</x:v>
      </x:c>
      <x:c r="AL186" s="38" t="n">
        <x:f>IF(AA186=0,0,AB186/AA186)</x:f>
        <x:v>1</x:v>
      </x:c>
      <x:c r="AM186" s="38" t="n">
        <x:f>IF(AB186=0,0,AC186/AB186)</x:f>
        <x:v>0.75</x:v>
      </x:c>
      <x:c r="AN186" s="37" t="n">
        <x:f>ROUND((AD186*0.20+AE186*0.20+AF186*0.25+AG186*0.15+MIN(100,AC186*12)*0.20),1)</x:f>
        <x:v>68.8</x:v>
      </x:c>
      <x:c r="AO186" s="37" t="n">
        <x:f>ROUND(MAX(0,MIN(100,(X186*0.35)+(W186/45*100*0.20)+((5-O186)/4*100*0.15)+((5-P186)/4*100*0.10)+((6-Y186)/5*100*0.10)+((100-Z186)*0.10))),1)</x:f>
        <x:v>49.8</x:v>
      </x:c>
      <x:c r="AP186" s="37" t="str">
        <x:f>IF(AO186&gt;=70,"High",IF(AO186&gt;=40,"Moderate","Low"))</x:f>
        <x:v>Moderate</x:v>
      </x:c>
      <x:c r="AQ186" s="37" t="n">
        <x:f>ROUND(MAX(0,MIN(100,(O186/4*100*0.25)+(P186/4*100*0.20)+(Q186/4*100*0.15)+(Y186/5*100*0.20)+(100-AO186)*0.20)),1)</x:f>
        <x:v>77.5</x:v>
      </x:c>
      <x:c r="AR186" s="37" t="n">
        <x:f>ROUND((AI186*0.20+AJ186*0.15+AN186*0.18+AG186*0.12+Z186*0.15+AQ186*0.20),1)</x:f>
        <x:v>89.9</x:v>
      </x:c>
      <x:c r="AS186" s="39" t="n">
        <x:f>ROUND((AC186*AF186*120)+(AH186*350)+(MAX(0,AI186-75)*220)+(MAX(0,AQ186-60)*100),0)</x:f>
        <x:v>30590</x:v>
      </x:c>
    </x:row>
    <x:row r="187">
      <x:c r="A187" s="35" t="n">
        <x:v>186</x:v>
      </x:c>
      <x:c r="B187" s="35" t="n">
        <x:v>38</x:v>
      </x:c>
      <x:c r="C187" s="35" t="str">
        <x:v>Male</x:v>
      </x:c>
      <x:c r="D187" s="35" t="str">
        <x:v>Operations</x:v>
      </x:c>
      <x:c r="E187" s="35" t="str">
        <x:v>Quality Specialist</x:v>
      </x:c>
      <x:c r="F187" s="35" t="str">
        <x:v>Computer Science</x:v>
      </x:c>
      <x:c r="G187" s="35" t="str">
        <x:v>Married</x:v>
      </x:c>
      <x:c r="H187" s="35" t="n">
        <x:v>2</x:v>
      </x:c>
      <x:c r="I187" s="36" t="n">
        <x:v>8540</x:v>
      </x:c>
      <x:c r="J187" s="35" t="n">
        <x:v>14</x:v>
      </x:c>
      <x:c r="K187" s="35" t="n">
        <x:v>11</x:v>
      </x:c>
      <x:c r="L187" s="35" t="n">
        <x:v>4</x:v>
      </x:c>
      <x:c r="M187" s="35" t="n">
        <x:v>39</x:v>
      </x:c>
      <x:c r="N187" s="35" t="str">
        <x:v>Yes</x:v>
      </x:c>
      <x:c r="O187" s="35" t="n">
        <x:v>2</x:v>
      </x:c>
      <x:c r="P187" s="35" t="n">
        <x:v>2</x:v>
      </x:c>
      <x:c r="Q187" s="35" t="n">
        <x:v>3</x:v>
      </x:c>
      <x:c r="R187" s="35" t="n">
        <x:v>2</x:v>
      </x:c>
      <x:c r="S187" s="35" t="n">
        <x:v>3</x:v>
      </x:c>
      <x:c r="T187" s="35" t="n">
        <x:v>4</x:v>
      </x:c>
      <x:c r="U187" s="35" t="n">
        <x:v>2</x:v>
      </x:c>
      <x:c r="V187" s="35" t="n">
        <x:v>10</x:v>
      </x:c>
      <x:c r="W187" s="35" t="n">
        <x:v>27</x:v>
      </x:c>
      <x:c r="X187" s="35" t="n">
        <x:v>67</x:v>
      </x:c>
      <x:c r="Y187" s="35" t="n">
        <x:v>4</x:v>
      </x:c>
      <x:c r="Z187" s="35" t="n">
        <x:v>76</x:v>
      </x:c>
      <x:c r="AA187" s="35" t="n">
        <x:v>3</x:v>
      </x:c>
      <x:c r="AB187" s="35" t="n">
        <x:v>3</x:v>
      </x:c>
      <x:c r="AC187" s="35" t="n">
        <x:v>3</x:v>
      </x:c>
      <x:c r="AD187" s="35" t="n">
        <x:v>44</x:v>
      </x:c>
      <x:c r="AE187" s="35" t="n">
        <x:v>71</x:v>
      </x:c>
      <x:c r="AF187" s="35" t="n">
        <x:v>75</x:v>
      </x:c>
      <x:c r="AG187" s="35" t="n">
        <x:v>92</x:v>
      </x:c>
      <x:c r="AH187" s="35" t="n">
        <x:v>7</x:v>
      </x:c>
      <x:c r="AI187" s="37" t="n">
        <x:v>94.5</x:v>
      </x:c>
      <x:c r="AJ187" s="37" t="n">
        <x:v>92</x:v>
      </x:c>
      <x:c r="AK187" s="35" t="str">
        <x:v>No</x:v>
      </x:c>
      <x:c r="AL187" s="38" t="n">
        <x:f>IF(AA187=0,0,AB187/AA187)</x:f>
        <x:v>1</x:v>
      </x:c>
      <x:c r="AM187" s="38" t="n">
        <x:f>IF(AB187=0,0,AC187/AB187)</x:f>
        <x:v>1</x:v>
      </x:c>
      <x:c r="AN187" s="37" t="n">
        <x:f>ROUND((AD187*0.20+AE187*0.20+AF187*0.25+AG187*0.15+MIN(100,AC187*12)*0.20),1)</x:f>
        <x:v>62.8</x:v>
      </x:c>
      <x:c r="AO187" s="37" t="n">
        <x:f>ROUND(MAX(0,MIN(100,(X187*0.35)+(W187/45*100*0.20)+((5-O187)/4*100*0.15)+((5-P187)/4*100*0.10)+((6-Y187)/5*100*0.10)+((100-Z187)*0.10))),1)</x:f>
        <x:v>60.6</x:v>
      </x:c>
      <x:c r="AP187" s="37" t="str">
        <x:f>IF(AO187&gt;=70,"High",IF(AO187&gt;=40,"Moderate","Low"))</x:f>
        <x:v>Moderate</x:v>
      </x:c>
      <x:c r="AQ187" s="37" t="n">
        <x:f>ROUND(MAX(0,MIN(100,(O187/4*100*0.25)+(P187/4*100*0.20)+(Q187/4*100*0.15)+(Y187/5*100*0.20)+(100-AO187)*0.20)),1)</x:f>
        <x:v>57.6</x:v>
      </x:c>
      <x:c r="AR187" s="37" t="n">
        <x:f>ROUND((AI187*0.20+AJ187*0.15+AN187*0.18+AG187*0.12+Z187*0.15+AQ187*0.20),1)</x:f>
        <x:v>78</x:v>
      </x:c>
      <x:c r="AS187" s="39" t="n">
        <x:f>ROUND((AC187*AF187*120)+(AH187*350)+(MAX(0,AI187-75)*220)+(MAX(0,AQ187-60)*100),0)</x:f>
        <x:v>33740</x:v>
      </x:c>
    </x:row>
    <x:row r="188">
      <x:c r="A188" s="35" t="n">
        <x:v>187</x:v>
      </x:c>
      <x:c r="B188" s="35" t="n">
        <x:v>35</x:v>
      </x:c>
      <x:c r="C188" s="35" t="str">
        <x:v>Male</x:v>
      </x:c>
      <x:c r="D188" s="35" t="str">
        <x:v>Finance</x:v>
      </x:c>
      <x:c r="E188" s="35" t="str">
        <x:v>Finance Manager</x:v>
      </x:c>
      <x:c r="F188" s="35" t="str">
        <x:v>Life Sciences</x:v>
      </x:c>
      <x:c r="G188" s="35" t="str">
        <x:v>Married</x:v>
      </x:c>
      <x:c r="H188" s="35" t="n">
        <x:v>3</x:v>
      </x:c>
      <x:c r="I188" s="36" t="n">
        <x:v>12580</x:v>
      </x:c>
      <x:c r="J188" s="35" t="n">
        <x:v>8</x:v>
      </x:c>
      <x:c r="K188" s="35" t="n">
        <x:v>3</x:v>
      </x:c>
      <x:c r="L188" s="35" t="n">
        <x:v>1</x:v>
      </x:c>
      <x:c r="M188" s="35" t="n">
        <x:v>7</x:v>
      </x:c>
      <x:c r="N188" s="35" t="str">
        <x:v>Yes</x:v>
      </x:c>
      <x:c r="O188" s="35" t="n">
        <x:v>3</x:v>
      </x:c>
      <x:c r="P188" s="35" t="n">
        <x:v>3</x:v>
      </x:c>
      <x:c r="Q188" s="35" t="n">
        <x:v>3</x:v>
      </x:c>
      <x:c r="R188" s="35" t="n">
        <x:v>3</x:v>
      </x:c>
      <x:c r="S188" s="35" t="n">
        <x:v>3</x:v>
      </x:c>
      <x:c r="T188" s="35" t="n">
        <x:v>6</x:v>
      </x:c>
      <x:c r="U188" s="35" t="n">
        <x:v>0</x:v>
      </x:c>
      <x:c r="V188" s="35" t="n">
        <x:v>9</x:v>
      </x:c>
      <x:c r="W188" s="35" t="n">
        <x:v>28</x:v>
      </x:c>
      <x:c r="X188" s="35" t="n">
        <x:v>75</x:v>
      </x:c>
      <x:c r="Y188" s="35" t="n">
        <x:v>5</x:v>
      </x:c>
      <x:c r="Z188" s="35" t="n">
        <x:v>98</x:v>
      </x:c>
      <x:c r="AA188" s="35" t="n">
        <x:v>10</x:v>
      </x:c>
      <x:c r="AB188" s="35" t="n">
        <x:v>7</x:v>
      </x:c>
      <x:c r="AC188" s="35" t="n">
        <x:v>4</x:v>
      </x:c>
      <x:c r="AD188" s="35" t="n">
        <x:v>92</x:v>
      </x:c>
      <x:c r="AE188" s="35" t="n">
        <x:v>82</x:v>
      </x:c>
      <x:c r="AF188" s="35" t="n">
        <x:v>91</x:v>
      </x:c>
      <x:c r="AG188" s="35" t="n">
        <x:v>100</x:v>
      </x:c>
      <x:c r="AH188" s="35" t="n">
        <x:v>8</x:v>
      </x:c>
      <x:c r="AI188" s="37" t="n">
        <x:v>89.7</x:v>
      </x:c>
      <x:c r="AJ188" s="37" t="n">
        <x:v>91.9</x:v>
      </x:c>
      <x:c r="AK188" s="35" t="str">
        <x:v>No</x:v>
      </x:c>
      <x:c r="AL188" s="38" t="n">
        <x:f>IF(AA188=0,0,AB188/AA188)</x:f>
        <x:v>0.7</x:v>
      </x:c>
      <x:c r="AM188" s="38" t="n">
        <x:f>IF(AB188=0,0,AC188/AB188)</x:f>
        <x:v>0.5714285714285714</x:v>
      </x:c>
      <x:c r="AN188" s="37" t="n">
        <x:f>ROUND((AD188*0.20+AE188*0.20+AF188*0.25+AG188*0.15+MIN(100,AC188*12)*0.20),1)</x:f>
        <x:v>82.2</x:v>
      </x:c>
      <x:c r="AO188" s="37" t="n">
        <x:f>ROUND(MAX(0,MIN(100,(X188*0.35)+(W188/45*100*0.20)+((5-O188)/4*100*0.15)+((5-P188)/4*100*0.10)+((6-Y188)/5*100*0.10)+((100-Z188)*0.10))),1)</x:f>
        <x:v>53.4</x:v>
      </x:c>
      <x:c r="AP188" s="37" t="str">
        <x:f>IF(AO188&gt;=70,"High",IF(AO188&gt;=40,"Moderate","Low"))</x:f>
        <x:v>Moderate</x:v>
      </x:c>
      <x:c r="AQ188" s="37" t="n">
        <x:f>ROUND(MAX(0,MIN(100,(O188/4*100*0.25)+(P188/4*100*0.20)+(Q188/4*100*0.15)+(Y188/5*100*0.20)+(100-AO188)*0.20)),1)</x:f>
        <x:v>74.3</x:v>
      </x:c>
      <x:c r="AR188" s="37" t="n">
        <x:f>ROUND((AI188*0.20+AJ188*0.15+AN188*0.18+AG188*0.12+Z188*0.15+AQ188*0.20),1)</x:f>
        <x:v>88.1</x:v>
      </x:c>
      <x:c r="AS188" s="39" t="n">
        <x:f>ROUND((AC188*AF188*120)+(AH188*350)+(MAX(0,AI188-75)*220)+(MAX(0,AQ188-60)*100),0)</x:f>
        <x:v>51144</x:v>
      </x:c>
    </x:row>
    <x:row r="189">
      <x:c r="A189" s="35" t="n">
        <x:v>188</x:v>
      </x:c>
      <x:c r="B189" s="35" t="n">
        <x:v>37</x:v>
      </x:c>
      <x:c r="C189" s="35" t="str">
        <x:v>Male</x:v>
      </x:c>
      <x:c r="D189" s="35" t="str">
        <x:v>Information Technology</x:v>
      </x:c>
      <x:c r="E189" s="35" t="str">
        <x:v>Software Engineer</x:v>
      </x:c>
      <x:c r="F189" s="35" t="str">
        <x:v>Human Resources</x:v>
      </x:c>
      <x:c r="G189" s="35" t="str">
        <x:v>Married</x:v>
      </x:c>
      <x:c r="H189" s="35" t="n">
        <x:v>3</x:v>
      </x:c>
      <x:c r="I189" s="36" t="n">
        <x:v>8720</x:v>
      </x:c>
      <x:c r="J189" s="35" t="n">
        <x:v>14</x:v>
      </x:c>
      <x:c r="K189" s="35" t="n">
        <x:v>7</x:v>
      </x:c>
      <x:c r="L189" s="35" t="n">
        <x:v>5</x:v>
      </x:c>
      <x:c r="M189" s="35" t="n">
        <x:v>8</x:v>
      </x:c>
      <x:c r="N189" s="35" t="str">
        <x:v>No</x:v>
      </x:c>
      <x:c r="O189" s="35" t="n">
        <x:v>2</x:v>
      </x:c>
      <x:c r="P189" s="35" t="n">
        <x:v>4</x:v>
      </x:c>
      <x:c r="Q189" s="35" t="n">
        <x:v>3</x:v>
      </x:c>
      <x:c r="R189" s="35" t="n">
        <x:v>3</x:v>
      </x:c>
      <x:c r="S189" s="35" t="n">
        <x:v>3</x:v>
      </x:c>
      <x:c r="T189" s="35" t="n">
        <x:v>1</x:v>
      </x:c>
      <x:c r="U189" s="35" t="n">
        <x:v>1</x:v>
      </x:c>
      <x:c r="V189" s="35" t="n">
        <x:v>7</x:v>
      </x:c>
      <x:c r="W189" s="35" t="n">
        <x:v>16</x:v>
      </x:c>
      <x:c r="X189" s="35" t="n">
        <x:v>53</x:v>
      </x:c>
      <x:c r="Y189" s="35" t="n">
        <x:v>5</x:v>
      </x:c>
      <x:c r="Z189" s="35" t="n">
        <x:v>100</x:v>
      </x:c>
      <x:c r="AA189" s="35" t="n">
        <x:v>12</x:v>
      </x:c>
      <x:c r="AB189" s="35" t="n">
        <x:v>10</x:v>
      </x:c>
      <x:c r="AC189" s="35" t="n">
        <x:v>9</x:v>
      </x:c>
      <x:c r="AD189" s="35" t="n">
        <x:v>84</x:v>
      </x:c>
      <x:c r="AE189" s="35" t="n">
        <x:v>100</x:v>
      </x:c>
      <x:c r="AF189" s="35" t="n">
        <x:v>94</x:v>
      </x:c>
      <x:c r="AG189" s="35" t="n">
        <x:v>97</x:v>
      </x:c>
      <x:c r="AH189" s="35" t="n">
        <x:v>10</x:v>
      </x:c>
      <x:c r="AI189" s="37" t="n">
        <x:v>93.5</x:v>
      </x:c>
      <x:c r="AJ189" s="37" t="n">
        <x:v>100</x:v>
      </x:c>
      <x:c r="AK189" s="35" t="str">
        <x:v>No</x:v>
      </x:c>
      <x:c r="AL189" s="38" t="n">
        <x:f>IF(AA189=0,0,AB189/AA189)</x:f>
        <x:v>0.8333333333333334</x:v>
      </x:c>
      <x:c r="AM189" s="38" t="n">
        <x:f>IF(AB189=0,0,AC189/AB189)</x:f>
        <x:v>0.9</x:v>
      </x:c>
      <x:c r="AN189" s="37" t="n">
        <x:f>ROUND((AD189*0.20+AE189*0.20+AF189*0.25+AG189*0.15+MIN(100,AC189*12)*0.20),1)</x:f>
        <x:v>94.9</x:v>
      </x:c>
      <x:c r="AO189" s="37" t="n">
        <x:f>ROUND(MAX(0,MIN(100,(X189*0.35)+(W189/45*100*0.20)+((5-O189)/4*100*0.15)+((5-P189)/4*100*0.10)+((6-Y189)/5*100*0.10)+((100-Z189)*0.10))),1)</x:f>
        <x:v>41.4</x:v>
      </x:c>
      <x:c r="AP189" s="37" t="str">
        <x:f>IF(AO189&gt;=70,"High",IF(AO189&gt;=40,"Moderate","Low"))</x:f>
        <x:v>Moderate</x:v>
      </x:c>
      <x:c r="AQ189" s="37" t="n">
        <x:f>ROUND(MAX(0,MIN(100,(O189/4*100*0.25)+(P189/4*100*0.20)+(Q189/4*100*0.15)+(Y189/5*100*0.20)+(100-AO189)*0.20)),1)</x:f>
        <x:v>75.5</x:v>
      </x:c>
      <x:c r="AR189" s="37" t="n">
        <x:f>ROUND((AI189*0.20+AJ189*0.15+AN189*0.18+AG189*0.12+Z189*0.15+AQ189*0.20),1)</x:f>
        <x:v>92.5</x:v>
      </x:c>
      <x:c r="AS189" s="39" t="n">
        <x:f>ROUND((AC189*AF189*120)+(AH189*350)+(MAX(0,AI189-75)*220)+(MAX(0,AQ189-60)*100),0)</x:f>
        <x:v>110640</x:v>
      </x:c>
    </x:row>
    <x:row r="190">
      <x:c r="A190" s="35" t="n">
        <x:v>189</x:v>
      </x:c>
      <x:c r="B190" s="35" t="n">
        <x:v>25</x:v>
      </x:c>
      <x:c r="C190" s="35" t="str">
        <x:v>Female</x:v>
      </x:c>
      <x:c r="D190" s="35" t="str">
        <x:v>Information Technology</x:v>
      </x:c>
      <x:c r="E190" s="35" t="str">
        <x:v>Software Engineer</x:v>
      </x:c>
      <x:c r="F190" s="35" t="str">
        <x:v>Human Resources</x:v>
      </x:c>
      <x:c r="G190" s="35" t="str">
        <x:v>Married</x:v>
      </x:c>
      <x:c r="H190" s="35" t="n">
        <x:v>1</x:v>
      </x:c>
      <x:c r="I190" s="36" t="n">
        <x:v>6550</x:v>
      </x:c>
      <x:c r="J190" s="35" t="n">
        <x:v>3</x:v>
      </x:c>
      <x:c r="K190" s="35" t="n">
        <x:v>2</x:v>
      </x:c>
      <x:c r="L190" s="35" t="n">
        <x:v>1</x:v>
      </x:c>
      <x:c r="M190" s="35" t="n">
        <x:v>8</x:v>
      </x:c>
      <x:c r="N190" s="35" t="str">
        <x:v>No</x:v>
      </x:c>
      <x:c r="O190" s="35" t="n">
        <x:v>4</x:v>
      </x:c>
      <x:c r="P190" s="35" t="n">
        <x:v>2</x:v>
      </x:c>
      <x:c r="Q190" s="35" t="n">
        <x:v>4</x:v>
      </x:c>
      <x:c r="R190" s="35" t="n">
        <x:v>3</x:v>
      </x:c>
      <x:c r="S190" s="35" t="n">
        <x:v>3</x:v>
      </x:c>
      <x:c r="T190" s="35" t="n">
        <x:v>2</x:v>
      </x:c>
      <x:c r="U190" s="35" t="n">
        <x:v>0</x:v>
      </x:c>
      <x:c r="V190" s="35" t="n">
        <x:v>9</x:v>
      </x:c>
      <x:c r="W190" s="35" t="n">
        <x:v>3</x:v>
      </x:c>
      <x:c r="X190" s="35" t="n">
        <x:v>65</x:v>
      </x:c>
      <x:c r="Y190" s="35" t="n">
        <x:v>5</x:v>
      </x:c>
      <x:c r="Z190" s="35" t="n">
        <x:v>100</x:v>
      </x:c>
      <x:c r="AA190" s="35" t="n">
        <x:v>12</x:v>
      </x:c>
      <x:c r="AB190" s="35" t="n">
        <x:v>11</x:v>
      </x:c>
      <x:c r="AC190" s="35" t="n">
        <x:v>7</x:v>
      </x:c>
      <x:c r="AD190" s="35" t="n">
        <x:v>100</x:v>
      </x:c>
      <x:c r="AE190" s="35" t="n">
        <x:v>77</x:v>
      </x:c>
      <x:c r="AF190" s="35" t="n">
        <x:v>98</x:v>
      </x:c>
      <x:c r="AG190" s="35" t="n">
        <x:v>88</x:v>
      </x:c>
      <x:c r="AH190" s="35" t="n">
        <x:v>8</x:v>
      </x:c>
      <x:c r="AI190" s="37" t="n">
        <x:v>97.2</x:v>
      </x:c>
      <x:c r="AJ190" s="37" t="n">
        <x:v>100</x:v>
      </x:c>
      <x:c r="AK190" s="35" t="str">
        <x:v>Yes</x:v>
      </x:c>
      <x:c r="AL190" s="38" t="n">
        <x:f>IF(AA190=0,0,AB190/AA190)</x:f>
        <x:v>0.9166666666666666</x:v>
      </x:c>
      <x:c r="AM190" s="38" t="n">
        <x:f>IF(AB190=0,0,AC190/AB190)</x:f>
        <x:v>0.6363636363636364</x:v>
      </x:c>
      <x:c r="AN190" s="37" t="n">
        <x:f>ROUND((AD190*0.20+AE190*0.20+AF190*0.25+AG190*0.15+MIN(100,AC190*12)*0.20),1)</x:f>
        <x:v>89.9</x:v>
      </x:c>
      <x:c r="AO190" s="37" t="n">
        <x:f>ROUND(MAX(0,MIN(100,(X190*0.35)+(W190/45*100*0.20)+((5-O190)/4*100*0.15)+((5-P190)/4*100*0.10)+((6-Y190)/5*100*0.10)+((100-Z190)*0.10))),1)</x:f>
        <x:v>37.3</x:v>
      </x:c>
      <x:c r="AP190" s="37" t="str">
        <x:f>IF(AO190&gt;=70,"High",IF(AO190&gt;=40,"Moderate","Low"))</x:f>
        <x:v>Low</x:v>
      </x:c>
      <x:c r="AQ190" s="37" t="n">
        <x:f>ROUND(MAX(0,MIN(100,(O190/4*100*0.25)+(P190/4*100*0.20)+(Q190/4*100*0.15)+(Y190/5*100*0.20)+(100-AO190)*0.20)),1)</x:f>
        <x:v>82.5</x:v>
      </x:c>
      <x:c r="AR190" s="37" t="n">
        <x:f>ROUND((AI190*0.20+AJ190*0.15+AN190*0.18+AG190*0.12+Z190*0.15+AQ190*0.20),1)</x:f>
        <x:v>92.7</x:v>
      </x:c>
      <x:c r="AS190" s="39" t="n">
        <x:f>ROUND((AC190*AF190*120)+(AH190*350)+(MAX(0,AI190-75)*220)+(MAX(0,AQ190-60)*100),0)</x:f>
        <x:v>92254</x:v>
      </x:c>
    </x:row>
    <x:row r="191">
      <x:c r="A191" s="35" t="n">
        <x:v>190</x:v>
      </x:c>
      <x:c r="B191" s="35" t="n">
        <x:v>39</x:v>
      </x:c>
      <x:c r="C191" s="35" t="str">
        <x:v>Male</x:v>
      </x:c>
      <x:c r="D191" s="35" t="str">
        <x:v>Information Technology</x:v>
      </x:c>
      <x:c r="E191" s="35" t="str">
        <x:v>IT Support</x:v>
      </x:c>
      <x:c r="F191" s="35" t="str">
        <x:v>Medical</x:v>
      </x:c>
      <x:c r="G191" s="35" t="str">
        <x:v>Married</x:v>
      </x:c>
      <x:c r="H191" s="35" t="n">
        <x:v>3</x:v>
      </x:c>
      <x:c r="I191" s="36" t="n">
        <x:v>11370</x:v>
      </x:c>
      <x:c r="J191" s="35" t="n">
        <x:v>16</x:v>
      </x:c>
      <x:c r="K191" s="35" t="n">
        <x:v>9</x:v>
      </x:c>
      <x:c r="L191" s="35" t="n">
        <x:v>3</x:v>
      </x:c>
      <x:c r="M191" s="35" t="n">
        <x:v>1</x:v>
      </x:c>
      <x:c r="N191" s="35" t="str">
        <x:v>No</x:v>
      </x:c>
      <x:c r="O191" s="35" t="n">
        <x:v>3</x:v>
      </x:c>
      <x:c r="P191" s="35" t="n">
        <x:v>3</x:v>
      </x:c>
      <x:c r="Q191" s="35" t="n">
        <x:v>3</x:v>
      </x:c>
      <x:c r="R191" s="35" t="n">
        <x:v>3</x:v>
      </x:c>
      <x:c r="S191" s="35" t="n">
        <x:v>3</x:v>
      </x:c>
      <x:c r="T191" s="35" t="n">
        <x:v>4</x:v>
      </x:c>
      <x:c r="U191" s="35" t="n">
        <x:v>0</x:v>
      </x:c>
      <x:c r="V191" s="35" t="n">
        <x:v>11</x:v>
      </x:c>
      <x:c r="W191" s="35" t="n">
        <x:v>1</x:v>
      </x:c>
      <x:c r="X191" s="35" t="n">
        <x:v>66</x:v>
      </x:c>
      <x:c r="Y191" s="35" t="n">
        <x:v>4</x:v>
      </x:c>
      <x:c r="Z191" s="35" t="n">
        <x:v>99</x:v>
      </x:c>
      <x:c r="AA191" s="35" t="n">
        <x:v>8</x:v>
      </x:c>
      <x:c r="AB191" s="35" t="n">
        <x:v>6</x:v>
      </x:c>
      <x:c r="AC191" s="35" t="n">
        <x:v>3</x:v>
      </x:c>
      <x:c r="AD191" s="35" t="n">
        <x:v>63</x:v>
      </x:c>
      <x:c r="AE191" s="35" t="n">
        <x:v>74</x:v>
      </x:c>
      <x:c r="AF191" s="35" t="n">
        <x:v>98</x:v>
      </x:c>
      <x:c r="AG191" s="35" t="n">
        <x:v>91</x:v>
      </x:c>
      <x:c r="AH191" s="35" t="n">
        <x:v>7</x:v>
      </x:c>
      <x:c r="AI191" s="37" t="n">
        <x:v>90.2</x:v>
      </x:c>
      <x:c r="AJ191" s="37" t="n">
        <x:v>98.1</x:v>
      </x:c>
      <x:c r="AK191" s="35" t="str">
        <x:v>No</x:v>
      </x:c>
      <x:c r="AL191" s="38" t="n">
        <x:f>IF(AA191=0,0,AB191/AA191)</x:f>
        <x:v>0.75</x:v>
      </x:c>
      <x:c r="AM191" s="38" t="n">
        <x:f>IF(AB191=0,0,AC191/AB191)</x:f>
        <x:v>0.5</x:v>
      </x:c>
      <x:c r="AN191" s="37" t="n">
        <x:f>ROUND((AD191*0.20+AE191*0.20+AF191*0.25+AG191*0.15+MIN(100,AC191*12)*0.20),1)</x:f>
        <x:v>72.8</x:v>
      </x:c>
      <x:c r="AO191" s="37" t="n">
        <x:f>ROUND(MAX(0,MIN(100,(X191*0.35)+(W191/45*100*0.20)+((5-O191)/4*100*0.15)+((5-P191)/4*100*0.10)+((6-Y191)/5*100*0.10)+((100-Z191)*0.10))),1)</x:f>
        <x:v>40.1</x:v>
      </x:c>
      <x:c r="AP191" s="37" t="str">
        <x:f>IF(AO191&gt;=70,"High",IF(AO191&gt;=40,"Moderate","Low"))</x:f>
        <x:v>Moderate</x:v>
      </x:c>
      <x:c r="AQ191" s="37" t="n">
        <x:f>ROUND(MAX(0,MIN(100,(O191/4*100*0.25)+(P191/4*100*0.20)+(Q191/4*100*0.15)+(Y191/5*100*0.20)+(100-AO191)*0.20)),1)</x:f>
        <x:v>73</x:v>
      </x:c>
      <x:c r="AR191" s="37" t="n">
        <x:f>ROUND((AI191*0.20+AJ191*0.15+AN191*0.18+AG191*0.12+Z191*0.15+AQ191*0.20),1)</x:f>
        <x:v>86.2</x:v>
      </x:c>
      <x:c r="AS191" s="39" t="n">
        <x:f>ROUND((AC191*AF191*120)+(AH191*350)+(MAX(0,AI191-75)*220)+(MAX(0,AQ191-60)*100),0)</x:f>
        <x:v>42374</x:v>
      </x:c>
    </x:row>
    <x:row r="192">
      <x:c r="A192" s="35" t="n">
        <x:v>191</x:v>
      </x:c>
      <x:c r="B192" s="35" t="n">
        <x:v>30</x:v>
      </x:c>
      <x:c r="C192" s="35" t="str">
        <x:v>Female</x:v>
      </x:c>
      <x:c r="D192" s="35" t="str">
        <x:v>Sales</x:v>
      </x:c>
      <x:c r="E192" s="35" t="str">
        <x:v>Account Manager</x:v>
      </x:c>
      <x:c r="F192" s="35" t="str">
        <x:v>Human Resources</x:v>
      </x:c>
      <x:c r="G192" s="35" t="str">
        <x:v>Single</x:v>
      </x:c>
      <x:c r="H192" s="35" t="n">
        <x:v>1</x:v>
      </x:c>
      <x:c r="I192" s="36" t="n">
        <x:v>6270</x:v>
      </x:c>
      <x:c r="J192" s="35" t="n">
        <x:v>6</x:v>
      </x:c>
      <x:c r="K192" s="35" t="n">
        <x:v>5</x:v>
      </x:c>
      <x:c r="L192" s="35" t="n">
        <x:v>4</x:v>
      </x:c>
      <x:c r="M192" s="35" t="n">
        <x:v>10</x:v>
      </x:c>
      <x:c r="N192" s="35" t="str">
        <x:v>Yes</x:v>
      </x:c>
      <x:c r="O192" s="35" t="n">
        <x:v>3</x:v>
      </x:c>
      <x:c r="P192" s="35" t="n">
        <x:v>3</x:v>
      </x:c>
      <x:c r="Q192" s="35" t="n">
        <x:v>2</x:v>
      </x:c>
      <x:c r="R192" s="35" t="n">
        <x:v>3</x:v>
      </x:c>
      <x:c r="S192" s="35" t="n">
        <x:v>3</x:v>
      </x:c>
      <x:c r="T192" s="35" t="n">
        <x:v>4</x:v>
      </x:c>
      <x:c r="U192" s="35" t="n">
        <x:v>0</x:v>
      </x:c>
      <x:c r="V192" s="35" t="n">
        <x:v>3</x:v>
      </x:c>
      <x:c r="W192" s="35" t="n">
        <x:v>24</x:v>
      </x:c>
      <x:c r="X192" s="35" t="n">
        <x:v>80</x:v>
      </x:c>
      <x:c r="Y192" s="35" t="n">
        <x:v>3</x:v>
      </x:c>
      <x:c r="Z192" s="35" t="n">
        <x:v>98</x:v>
      </x:c>
      <x:c r="AA192" s="35" t="n">
        <x:v>2</x:v>
      </x:c>
      <x:c r="AB192" s="35" t="n">
        <x:v>2</x:v>
      </x:c>
      <x:c r="AC192" s="35" t="n">
        <x:v>1</x:v>
      </x:c>
      <x:c r="AD192" s="35" t="n">
        <x:v>69</x:v>
      </x:c>
      <x:c r="AE192" s="35" t="n">
        <x:v>79</x:v>
      </x:c>
      <x:c r="AF192" s="35" t="n">
        <x:v>62</x:v>
      </x:c>
      <x:c r="AG192" s="35" t="n">
        <x:v>87</x:v>
      </x:c>
      <x:c r="AH192" s="35" t="n">
        <x:v>2</x:v>
      </x:c>
      <x:c r="AI192" s="37" t="n">
        <x:v>100</x:v>
      </x:c>
      <x:c r="AJ192" s="37" t="n">
        <x:v>93</x:v>
      </x:c>
      <x:c r="AK192" s="35" t="str">
        <x:v>Yes</x:v>
      </x:c>
      <x:c r="AL192" s="38" t="n">
        <x:f>IF(AA192=0,0,AB192/AA192)</x:f>
        <x:v>1</x:v>
      </x:c>
      <x:c r="AM192" s="38" t="n">
        <x:f>IF(AB192=0,0,AC192/AB192)</x:f>
        <x:v>0.5</x:v>
      </x:c>
      <x:c r="AN192" s="37" t="n">
        <x:f>ROUND((AD192*0.20+AE192*0.20+AF192*0.25+AG192*0.15+MIN(100,AC192*12)*0.20),1)</x:f>
        <x:v>60.6</x:v>
      </x:c>
      <x:c r="AO192" s="37" t="n">
        <x:f>ROUND(MAX(0,MIN(100,(X192*0.35)+(W192/45*100*0.20)+((5-O192)/4*100*0.15)+((5-P192)/4*100*0.10)+((6-Y192)/5*100*0.10)+((100-Z192)*0.10))),1)</x:f>
        <x:v>57.4</x:v>
      </x:c>
      <x:c r="AP192" s="37" t="str">
        <x:f>IF(AO192&gt;=70,"High",IF(AO192&gt;=40,"Moderate","Low"))</x:f>
        <x:v>Moderate</x:v>
      </x:c>
      <x:c r="AQ192" s="37" t="n">
        <x:f>ROUND(MAX(0,MIN(100,(O192/4*100*0.25)+(P192/4*100*0.20)+(Q192/4*100*0.15)+(Y192/5*100*0.20)+(100-AO192)*0.20)),1)</x:f>
        <x:v>61.8</x:v>
      </x:c>
      <x:c r="AR192" s="37" t="n">
        <x:f>ROUND((AI192*0.20+AJ192*0.15+AN192*0.18+AG192*0.12+Z192*0.15+AQ192*0.20),1)</x:f>
        <x:v>82.4</x:v>
      </x:c>
      <x:c r="AS192" s="39" t="n">
        <x:f>ROUND((AC192*AF192*120)+(AH192*350)+(MAX(0,AI192-75)*220)+(MAX(0,AQ192-60)*100),0)</x:f>
        <x:v>13820</x:v>
      </x:c>
    </x:row>
    <x:row r="193">
      <x:c r="A193" s="35" t="n">
        <x:v>192</x:v>
      </x:c>
      <x:c r="B193" s="35" t="n">
        <x:v>36</x:v>
      </x:c>
      <x:c r="C193" s="35" t="str">
        <x:v>Male</x:v>
      </x:c>
      <x:c r="D193" s="35" t="str">
        <x:v>Sales</x:v>
      </x:c>
      <x:c r="E193" s="35" t="str">
        <x:v>Sales Executive</x:v>
      </x:c>
      <x:c r="F193" s="35" t="str">
        <x:v>Marketing</x:v>
      </x:c>
      <x:c r="G193" s="35" t="str">
        <x:v>Single</x:v>
      </x:c>
      <x:c r="H193" s="35" t="n">
        <x:v>2</x:v>
      </x:c>
      <x:c r="I193" s="36" t="n">
        <x:v>8630</x:v>
      </x:c>
      <x:c r="J193" s="35" t="n">
        <x:v>7</x:v>
      </x:c>
      <x:c r="K193" s="35" t="n">
        <x:v>5</x:v>
      </x:c>
      <x:c r="L193" s="35" t="n">
        <x:v>3</x:v>
      </x:c>
      <x:c r="M193" s="35" t="n">
        <x:v>26</x:v>
      </x:c>
      <x:c r="N193" s="35" t="str">
        <x:v>Yes</x:v>
      </x:c>
      <x:c r="O193" s="35" t="n">
        <x:v>3</x:v>
      </x:c>
      <x:c r="P193" s="35" t="n">
        <x:v>4</x:v>
      </x:c>
      <x:c r="Q193" s="35" t="n">
        <x:v>3</x:v>
      </x:c>
      <x:c r="R193" s="35" t="n">
        <x:v>4</x:v>
      </x:c>
      <x:c r="S193" s="35" t="n">
        <x:v>3</x:v>
      </x:c>
      <x:c r="T193" s="35" t="n">
        <x:v>1</x:v>
      </x:c>
      <x:c r="U193" s="35" t="n">
        <x:v>1</x:v>
      </x:c>
      <x:c r="V193" s="35" t="n">
        <x:v>3</x:v>
      </x:c>
      <x:c r="W193" s="35" t="n">
        <x:v>15</x:v>
      </x:c>
      <x:c r="X193" s="35" t="n">
        <x:v>78</x:v>
      </x:c>
      <x:c r="Y193" s="35" t="n">
        <x:v>5</x:v>
      </x:c>
      <x:c r="Z193" s="35" t="n">
        <x:v>100</x:v>
      </x:c>
      <x:c r="AA193" s="35" t="n">
        <x:v>3</x:v>
      </x:c>
      <x:c r="AB193" s="35" t="n">
        <x:v>3</x:v>
      </x:c>
      <x:c r="AC193" s="35" t="n">
        <x:v>3</x:v>
      </x:c>
      <x:c r="AD193" s="35" t="n">
        <x:v>70</x:v>
      </x:c>
      <x:c r="AE193" s="35" t="n">
        <x:v>91</x:v>
      </x:c>
      <x:c r="AF193" s="35" t="n">
        <x:v>57</x:v>
      </x:c>
      <x:c r="AG193" s="35" t="n">
        <x:v>77</x:v>
      </x:c>
      <x:c r="AH193" s="35" t="n">
        <x:v>8</x:v>
      </x:c>
      <x:c r="AI193" s="37" t="n">
        <x:v>100</x:v>
      </x:c>
      <x:c r="AJ193" s="37" t="n">
        <x:v>100</x:v>
      </x:c>
      <x:c r="AK193" s="35" t="str">
        <x:v>No</x:v>
      </x:c>
      <x:c r="AL193" s="38" t="n">
        <x:f>IF(AA193=0,0,AB193/AA193)</x:f>
        <x:v>1</x:v>
      </x:c>
      <x:c r="AM193" s="38" t="n">
        <x:f>IF(AB193=0,0,AC193/AB193)</x:f>
        <x:v>1</x:v>
      </x:c>
      <x:c r="AN193" s="37" t="n">
        <x:f>ROUND((AD193*0.20+AE193*0.20+AF193*0.25+AG193*0.15+MIN(100,AC193*12)*0.20),1)</x:f>
        <x:v>65.2</x:v>
      </x:c>
      <x:c r="AO193" s="37" t="n">
        <x:f>ROUND(MAX(0,MIN(100,(X193*0.35)+(W193/45*100*0.20)+((5-O193)/4*100*0.15)+((5-P193)/4*100*0.10)+((6-Y193)/5*100*0.10)+((100-Z193)*0.10))),1)</x:f>
        <x:v>46</x:v>
      </x:c>
      <x:c r="AP193" s="37" t="str">
        <x:f>IF(AO193&gt;=70,"High",IF(AO193&gt;=40,"Moderate","Low"))</x:f>
        <x:v>Moderate</x:v>
      </x:c>
      <x:c r="AQ193" s="37" t="n">
        <x:f>ROUND(MAX(0,MIN(100,(O193/4*100*0.25)+(P193/4*100*0.20)+(Q193/4*100*0.15)+(Y193/5*100*0.20)+(100-AO193)*0.20)),1)</x:f>
        <x:v>80.8</x:v>
      </x:c>
      <x:c r="AR193" s="37" t="n">
        <x:f>ROUND((AI193*0.20+AJ193*0.15+AN193*0.18+AG193*0.12+Z193*0.15+AQ193*0.20),1)</x:f>
        <x:v>87.1</x:v>
      </x:c>
      <x:c r="AS193" s="39" t="n">
        <x:f>ROUND((AC193*AF193*120)+(AH193*350)+(MAX(0,AI193-75)*220)+(MAX(0,AQ193-60)*100),0)</x:f>
        <x:v>30900</x:v>
      </x:c>
    </x:row>
    <x:row r="194">
      <x:c r="A194" s="35" t="n">
        <x:v>193</x:v>
      </x:c>
      <x:c r="B194" s="35" t="n">
        <x:v>26</x:v>
      </x:c>
      <x:c r="C194" s="35" t="str">
        <x:v>Male</x:v>
      </x:c>
      <x:c r="D194" s="35" t="str">
        <x:v>Sales</x:v>
      </x:c>
      <x:c r="E194" s="35" t="str">
        <x:v>Sales Executive</x:v>
      </x:c>
      <x:c r="F194" s="35" t="str">
        <x:v>Business</x:v>
      </x:c>
      <x:c r="G194" s="35" t="str">
        <x:v>Married</x:v>
      </x:c>
      <x:c r="H194" s="35" t="n">
        <x:v>1</x:v>
      </x:c>
      <x:c r="I194" s="36" t="n">
        <x:v>5010</x:v>
      </x:c>
      <x:c r="J194" s="35" t="n">
        <x:v>3</x:v>
      </x:c>
      <x:c r="K194" s="35" t="n">
        <x:v>3</x:v>
      </x:c>
      <x:c r="L194" s="35" t="n">
        <x:v>1</x:v>
      </x:c>
      <x:c r="M194" s="35" t="n">
        <x:v>10</x:v>
      </x:c>
      <x:c r="N194" s="35" t="str">
        <x:v>No</x:v>
      </x:c>
      <x:c r="O194" s="35" t="n">
        <x:v>3</x:v>
      </x:c>
      <x:c r="P194" s="35" t="n">
        <x:v>2</x:v>
      </x:c>
      <x:c r="Q194" s="35" t="n">
        <x:v>3</x:v>
      </x:c>
      <x:c r="R194" s="35" t="n">
        <x:v>2</x:v>
      </x:c>
      <x:c r="S194" s="35" t="n">
        <x:v>3</x:v>
      </x:c>
      <x:c r="T194" s="35" t="n">
        <x:v>6</x:v>
      </x:c>
      <x:c r="U194" s="35" t="n">
        <x:v>1</x:v>
      </x:c>
      <x:c r="V194" s="35" t="n">
        <x:v>7</x:v>
      </x:c>
      <x:c r="W194" s="35" t="n">
        <x:v>0</x:v>
      </x:c>
      <x:c r="X194" s="35" t="n">
        <x:v>65</x:v>
      </x:c>
      <x:c r="Y194" s="35" t="n">
        <x:v>5</x:v>
      </x:c>
      <x:c r="Z194" s="35" t="n">
        <x:v>90</x:v>
      </x:c>
      <x:c r="AA194" s="35" t="n">
        <x:v>10</x:v>
      </x:c>
      <x:c r="AB194" s="35" t="n">
        <x:v>8</x:v>
      </x:c>
      <x:c r="AC194" s="35" t="n">
        <x:v>6</x:v>
      </x:c>
      <x:c r="AD194" s="35" t="n">
        <x:v>86</x:v>
      </x:c>
      <x:c r="AE194" s="35" t="n">
        <x:v>78</x:v>
      </x:c>
      <x:c r="AF194" s="35" t="n">
        <x:v>93</x:v>
      </x:c>
      <x:c r="AG194" s="35" t="n">
        <x:v>79</x:v>
      </x:c>
      <x:c r="AH194" s="35" t="n">
        <x:v>11</x:v>
      </x:c>
      <x:c r="AI194" s="37" t="n">
        <x:v>97.1</x:v>
      </x:c>
      <x:c r="AJ194" s="37" t="n">
        <x:v>96.4</x:v>
      </x:c>
      <x:c r="AK194" s="35" t="str">
        <x:v>No</x:v>
      </x:c>
      <x:c r="AL194" s="38" t="n">
        <x:f>IF(AA194=0,0,AB194/AA194)</x:f>
        <x:v>0.8</x:v>
      </x:c>
      <x:c r="AM194" s="38" t="n">
        <x:f>IF(AB194=0,0,AC194/AB194)</x:f>
        <x:v>0.75</x:v>
      </x:c>
      <x:c r="AN194" s="37" t="n">
        <x:f>ROUND((AD194*0.20+AE194*0.20+AF194*0.25+AG194*0.15+MIN(100,AC194*12)*0.20),1)</x:f>
        <x:v>82.3</x:v>
      </x:c>
      <x:c r="AO194" s="37" t="n">
        <x:f>ROUND(MAX(0,MIN(100,(X194*0.35)+(W194/45*100*0.20)+((5-O194)/4*100*0.15)+((5-P194)/4*100*0.10)+((6-Y194)/5*100*0.10)+((100-Z194)*0.10))),1)</x:f>
        <x:v>40.8</x:v>
      </x:c>
      <x:c r="AP194" s="37" t="str">
        <x:f>IF(AO194&gt;=70,"High",IF(AO194&gt;=40,"Moderate","Low"))</x:f>
        <x:v>Moderate</x:v>
      </x:c>
      <x:c r="AQ194" s="37" t="n">
        <x:f>ROUND(MAX(0,MIN(100,(O194/4*100*0.25)+(P194/4*100*0.20)+(Q194/4*100*0.15)+(Y194/5*100*0.20)+(100-AO194)*0.20)),1)</x:f>
        <x:v>71.8</x:v>
      </x:c>
      <x:c r="AR194" s="37" t="n">
        <x:f>ROUND((AI194*0.20+AJ194*0.15+AN194*0.18+AG194*0.12+Z194*0.15+AQ194*0.20),1)</x:f>
        <x:v>86</x:v>
      </x:c>
      <x:c r="AS194" s="39" t="n">
        <x:f>ROUND((AC194*AF194*120)+(AH194*350)+(MAX(0,AI194-75)*220)+(MAX(0,AQ194-60)*100),0)</x:f>
        <x:v>76852</x:v>
      </x:c>
    </x:row>
    <x:row r="195">
      <x:c r="A195" s="35" t="n">
        <x:v>194</x:v>
      </x:c>
      <x:c r="B195" s="35" t="n">
        <x:v>26</x:v>
      </x:c>
      <x:c r="C195" s="35" t="str">
        <x:v>Male</x:v>
      </x:c>
      <x:c r="D195" s="35" t="str">
        <x:v>Research &amp; Development</x:v>
      </x:c>
      <x:c r="E195" s="35" t="str">
        <x:v>R&amp;D Manager</x:v>
      </x:c>
      <x:c r="F195" s="35" t="str">
        <x:v>Human Resources</x:v>
      </x:c>
      <x:c r="G195" s="35" t="str">
        <x:v>Married</x:v>
      </x:c>
      <x:c r="H195" s="35" t="n">
        <x:v>1</x:v>
      </x:c>
      <x:c r="I195" s="36" t="n">
        <x:v>5740</x:v>
      </x:c>
      <x:c r="J195" s="35" t="n">
        <x:v>3</x:v>
      </x:c>
      <x:c r="K195" s="35" t="n">
        <x:v>2</x:v>
      </x:c>
      <x:c r="L195" s="35" t="n">
        <x:v>1</x:v>
      </x:c>
      <x:c r="M195" s="35" t="n">
        <x:v>10</x:v>
      </x:c>
      <x:c r="N195" s="35" t="str">
        <x:v>Yes</x:v>
      </x:c>
      <x:c r="O195" s="35" t="n">
        <x:v>2</x:v>
      </x:c>
      <x:c r="P195" s="35" t="n">
        <x:v>2</x:v>
      </x:c>
      <x:c r="Q195" s="35" t="n">
        <x:v>3</x:v>
      </x:c>
      <x:c r="R195" s="35" t="n">
        <x:v>4</x:v>
      </x:c>
      <x:c r="S195" s="35" t="n">
        <x:v>3</x:v>
      </x:c>
      <x:c r="T195" s="35" t="n">
        <x:v>2</x:v>
      </x:c>
      <x:c r="U195" s="35" t="n">
        <x:v>2</x:v>
      </x:c>
      <x:c r="V195" s="35" t="n">
        <x:v>6</x:v>
      </x:c>
      <x:c r="W195" s="35" t="n">
        <x:v>20</x:v>
      </x:c>
      <x:c r="X195" s="35" t="n">
        <x:v>77</x:v>
      </x:c>
      <x:c r="Y195" s="35" t="n">
        <x:v>3</x:v>
      </x:c>
      <x:c r="Z195" s="35" t="n">
        <x:v>95</x:v>
      </x:c>
      <x:c r="AA195" s="35" t="n">
        <x:v>2</x:v>
      </x:c>
      <x:c r="AB195" s="35" t="n">
        <x:v>1</x:v>
      </x:c>
      <x:c r="AC195" s="35" t="n">
        <x:v>0</x:v>
      </x:c>
      <x:c r="AD195" s="35" t="n">
        <x:v>47</x:v>
      </x:c>
      <x:c r="AE195" s="35" t="n">
        <x:v>75</x:v>
      </x:c>
      <x:c r="AF195" s="35" t="n">
        <x:v>52</x:v>
      </x:c>
      <x:c r="AG195" s="35" t="n">
        <x:v>100</x:v>
      </x:c>
      <x:c r="AH195" s="35" t="n">
        <x:v>2</x:v>
      </x:c>
      <x:c r="AI195" s="37" t="n">
        <x:v>100</x:v>
      </x:c>
      <x:c r="AJ195" s="37" t="n">
        <x:v>91.7</x:v>
      </x:c>
      <x:c r="AK195" s="35" t="str">
        <x:v>Yes</x:v>
      </x:c>
      <x:c r="AL195" s="38" t="n">
        <x:f>IF(AA195=0,0,AB195/AA195)</x:f>
        <x:v>0.5</x:v>
      </x:c>
      <x:c r="AM195" s="38" t="n">
        <x:f>IF(AB195=0,0,AC195/AB195)</x:f>
        <x:v>0</x:v>
      </x:c>
      <x:c r="AN195" s="37" t="n">
        <x:f>ROUND((AD195*0.20+AE195*0.20+AF195*0.25+AG195*0.15+MIN(100,AC195*12)*0.20),1)</x:f>
        <x:v>52.4</x:v>
      </x:c>
      <x:c r="AO195" s="37" t="n">
        <x:f>ROUND(MAX(0,MIN(100,(X195*0.35)+(W195/45*100*0.20)+((5-O195)/4*100*0.15)+((5-P195)/4*100*0.10)+((6-Y195)/5*100*0.10)+((100-Z195)*0.10))),1)</x:f>
        <x:v>61.1</x:v>
      </x:c>
      <x:c r="AP195" s="37" t="str">
        <x:f>IF(AO195&gt;=70,"High",IF(AO195&gt;=40,"Moderate","Low"))</x:f>
        <x:v>Moderate</x:v>
      </x:c>
      <x:c r="AQ195" s="37" t="n">
        <x:f>ROUND(MAX(0,MIN(100,(O195/4*100*0.25)+(P195/4*100*0.20)+(Q195/4*100*0.15)+(Y195/5*100*0.20)+(100-AO195)*0.20)),1)</x:f>
        <x:v>53.5</x:v>
      </x:c>
      <x:c r="AR195" s="37" t="n">
        <x:f>ROUND((AI195*0.20+AJ195*0.15+AN195*0.18+AG195*0.12+Z195*0.15+AQ195*0.20),1)</x:f>
        <x:v>80.1</x:v>
      </x:c>
      <x:c r="AS195" s="39" t="n">
        <x:f>ROUND((AC195*AF195*120)+(AH195*350)+(MAX(0,AI195-75)*220)+(MAX(0,AQ195-60)*100),0)</x:f>
        <x:v>6200</x:v>
      </x:c>
    </x:row>
    <x:row r="196">
      <x:c r="A196" s="35" t="n">
        <x:v>195</x:v>
      </x:c>
      <x:c r="B196" s="35" t="n">
        <x:v>47</x:v>
      </x:c>
      <x:c r="C196" s="35" t="str">
        <x:v>Female</x:v>
      </x:c>
      <x:c r="D196" s="35" t="str">
        <x:v>Research &amp; Development</x:v>
      </x:c>
      <x:c r="E196" s="35" t="str">
        <x:v>Research Scientist</x:v>
      </x:c>
      <x:c r="F196" s="35" t="str">
        <x:v>Marketing</x:v>
      </x:c>
      <x:c r="G196" s="35" t="str">
        <x:v>Married</x:v>
      </x:c>
      <x:c r="H196" s="35" t="n">
        <x:v>4</x:v>
      </x:c>
      <x:c r="I196" s="36" t="n">
        <x:v>13960</x:v>
      </x:c>
      <x:c r="J196" s="35" t="n">
        <x:v>19</x:v>
      </x:c>
      <x:c r="K196" s="35" t="n">
        <x:v>9</x:v>
      </x:c>
      <x:c r="L196" s="35" t="n">
        <x:v>2</x:v>
      </x:c>
      <x:c r="M196" s="35" t="n">
        <x:v>3</x:v>
      </x:c>
      <x:c r="N196" s="35" t="str">
        <x:v>No</x:v>
      </x:c>
      <x:c r="O196" s="35" t="n">
        <x:v>3</x:v>
      </x:c>
      <x:c r="P196" s="35" t="n">
        <x:v>3</x:v>
      </x:c>
      <x:c r="Q196" s="35" t="n">
        <x:v>2</x:v>
      </x:c>
      <x:c r="R196" s="35" t="n">
        <x:v>3</x:v>
      </x:c>
      <x:c r="S196" s="35" t="n">
        <x:v>3</x:v>
      </x:c>
      <x:c r="T196" s="35" t="n">
        <x:v>1</x:v>
      </x:c>
      <x:c r="U196" s="35" t="n">
        <x:v>2</x:v>
      </x:c>
      <x:c r="V196" s="35" t="n">
        <x:v>12</x:v>
      </x:c>
      <x:c r="W196" s="35" t="n">
        <x:v>0</x:v>
      </x:c>
      <x:c r="X196" s="35" t="n">
        <x:v>94</x:v>
      </x:c>
      <x:c r="Y196" s="35" t="n">
        <x:v>4</x:v>
      </x:c>
      <x:c r="Z196" s="35" t="n">
        <x:v>98</x:v>
      </x:c>
      <x:c r="AA196" s="35" t="n">
        <x:v>2</x:v>
      </x:c>
      <x:c r="AB196" s="35" t="n">
        <x:v>2</x:v>
      </x:c>
      <x:c r="AC196" s="35" t="n">
        <x:v>2</x:v>
      </x:c>
      <x:c r="AD196" s="35" t="n">
        <x:v>62</x:v>
      </x:c>
      <x:c r="AE196" s="35" t="n">
        <x:v>76</x:v>
      </x:c>
      <x:c r="AF196" s="35" t="n">
        <x:v>79</x:v>
      </x:c>
      <x:c r="AG196" s="35" t="n">
        <x:v>85</x:v>
      </x:c>
      <x:c r="AH196" s="35" t="n">
        <x:v>5</x:v>
      </x:c>
      <x:c r="AI196" s="37" t="n">
        <x:v>90.9</x:v>
      </x:c>
      <x:c r="AJ196" s="37" t="n">
        <x:v>97.4</x:v>
      </x:c>
      <x:c r="AK196" s="35" t="str">
        <x:v>No</x:v>
      </x:c>
      <x:c r="AL196" s="38" t="n">
        <x:f>IF(AA196=0,0,AB196/AA196)</x:f>
        <x:v>1</x:v>
      </x:c>
      <x:c r="AM196" s="38" t="n">
        <x:f>IF(AB196=0,0,AC196/AB196)</x:f>
        <x:v>1</x:v>
      </x:c>
      <x:c r="AN196" s="37" t="n">
        <x:f>ROUND((AD196*0.20+AE196*0.20+AF196*0.25+AG196*0.15+MIN(100,AC196*12)*0.20),1)</x:f>
        <x:v>64.9</x:v>
      </x:c>
      <x:c r="AO196" s="37" t="n">
        <x:f>ROUND(MAX(0,MIN(100,(X196*0.35)+(W196/45*100*0.20)+((5-O196)/4*100*0.15)+((5-P196)/4*100*0.10)+((6-Y196)/5*100*0.10)+((100-Z196)*0.10))),1)</x:f>
        <x:v>49.6</x:v>
      </x:c>
      <x:c r="AP196" s="37" t="str">
        <x:f>IF(AO196&gt;=70,"High",IF(AO196&gt;=40,"Moderate","Low"))</x:f>
        <x:v>Moderate</x:v>
      </x:c>
      <x:c r="AQ196" s="37" t="n">
        <x:f>ROUND(MAX(0,MIN(100,(O196/4*100*0.25)+(P196/4*100*0.20)+(Q196/4*100*0.15)+(Y196/5*100*0.20)+(100-AO196)*0.20)),1)</x:f>
        <x:v>67.3</x:v>
      </x:c>
      <x:c r="AR196" s="37" t="n">
        <x:f>ROUND((AI196*0.20+AJ196*0.15+AN196*0.18+AG196*0.12+Z196*0.15+AQ196*0.20),1)</x:f>
        <x:v>82.8</x:v>
      </x:c>
      <x:c r="AS196" s="39" t="n">
        <x:f>ROUND((AC196*AF196*120)+(AH196*350)+(MAX(0,AI196-75)*220)+(MAX(0,AQ196-60)*100),0)</x:f>
        <x:v>24938</x:v>
      </x:c>
    </x:row>
    <x:row r="197">
      <x:c r="A197" s="35" t="n">
        <x:v>196</x:v>
      </x:c>
      <x:c r="B197" s="35" t="n">
        <x:v>34</x:v>
      </x:c>
      <x:c r="C197" s="35" t="str">
        <x:v>Male</x:v>
      </x:c>
      <x:c r="D197" s="35" t="str">
        <x:v>Sales</x:v>
      </x:c>
      <x:c r="E197" s="35" t="str">
        <x:v>Sales Executive</x:v>
      </x:c>
      <x:c r="F197" s="35" t="str">
        <x:v>Computer Science</x:v>
      </x:c>
      <x:c r="G197" s="35" t="str">
        <x:v>Divorced</x:v>
      </x:c>
      <x:c r="H197" s="35" t="n">
        <x:v>2</x:v>
      </x:c>
      <x:c r="I197" s="36" t="n">
        <x:v>11250</x:v>
      </x:c>
      <x:c r="J197" s="35" t="n">
        <x:v>6</x:v>
      </x:c>
      <x:c r="K197" s="35" t="n">
        <x:v>5</x:v>
      </x:c>
      <x:c r="L197" s="35" t="n">
        <x:v>2</x:v>
      </x:c>
      <x:c r="M197" s="35" t="n">
        <x:v>8</x:v>
      </x:c>
      <x:c r="N197" s="35" t="str">
        <x:v>No</x:v>
      </x:c>
      <x:c r="O197" s="35" t="n">
        <x:v>4</x:v>
      </x:c>
      <x:c r="P197" s="35" t="n">
        <x:v>3</x:v>
      </x:c>
      <x:c r="Q197" s="35" t="n">
        <x:v>2</x:v>
      </x:c>
      <x:c r="R197" s="35" t="n">
        <x:v>3</x:v>
      </x:c>
      <x:c r="S197" s="35" t="n">
        <x:v>3</x:v>
      </x:c>
      <x:c r="T197" s="35" t="n">
        <x:v>3</x:v>
      </x:c>
      <x:c r="U197" s="35" t="n">
        <x:v>0</x:v>
      </x:c>
      <x:c r="V197" s="35" t="n">
        <x:v>7</x:v>
      </x:c>
      <x:c r="W197" s="35" t="n">
        <x:v>15</x:v>
      </x:c>
      <x:c r="X197" s="35" t="n">
        <x:v>77</x:v>
      </x:c>
      <x:c r="Y197" s="35" t="n">
        <x:v>4</x:v>
      </x:c>
      <x:c r="Z197" s="35" t="n">
        <x:v>100</x:v>
      </x:c>
      <x:c r="AA197" s="35" t="n">
        <x:v>2</x:v>
      </x:c>
      <x:c r="AB197" s="35" t="n">
        <x:v>2</x:v>
      </x:c>
      <x:c r="AC197" s="35" t="n">
        <x:v>2</x:v>
      </x:c>
      <x:c r="AD197" s="35" t="n">
        <x:v>77</x:v>
      </x:c>
      <x:c r="AE197" s="35" t="n">
        <x:v>80</x:v>
      </x:c>
      <x:c r="AF197" s="35" t="n">
        <x:v>65</x:v>
      </x:c>
      <x:c r="AG197" s="35" t="n">
        <x:v>100</x:v>
      </x:c>
      <x:c r="AH197" s="35" t="n">
        <x:v>5</x:v>
      </x:c>
      <x:c r="AI197" s="37" t="n">
        <x:v>91.9</x:v>
      </x:c>
      <x:c r="AJ197" s="37" t="n">
        <x:v>94.7</x:v>
      </x:c>
      <x:c r="AK197" s="35" t="str">
        <x:v>No</x:v>
      </x:c>
      <x:c r="AL197" s="38" t="n">
        <x:f>IF(AA197=0,0,AB197/AA197)</x:f>
        <x:v>1</x:v>
      </x:c>
      <x:c r="AM197" s="38" t="n">
        <x:f>IF(AB197=0,0,AC197/AB197)</x:f>
        <x:v>1</x:v>
      </x:c>
      <x:c r="AN197" s="37" t="n">
        <x:f>ROUND((AD197*0.20+AE197*0.20+AF197*0.25+AG197*0.15+MIN(100,AC197*12)*0.20),1)</x:f>
        <x:v>67.5</x:v>
      </x:c>
      <x:c r="AO197" s="37" t="n">
        <x:f>ROUND(MAX(0,MIN(100,(X197*0.35)+(W197/45*100*0.20)+((5-O197)/4*100*0.15)+((5-P197)/4*100*0.10)+((6-Y197)/5*100*0.10)+((100-Z197)*0.10))),1)</x:f>
        <x:v>46.4</x:v>
      </x:c>
      <x:c r="AP197" s="37" t="str">
        <x:f>IF(AO197&gt;=70,"High",IF(AO197&gt;=40,"Moderate","Low"))</x:f>
        <x:v>Moderate</x:v>
      </x:c>
      <x:c r="AQ197" s="37" t="n">
        <x:f>ROUND(MAX(0,MIN(100,(O197/4*100*0.25)+(P197/4*100*0.20)+(Q197/4*100*0.15)+(Y197/5*100*0.20)+(100-AO197)*0.20)),1)</x:f>
        <x:v>74.2</x:v>
      </x:c>
      <x:c r="AR197" s="37" t="n">
        <x:f>ROUND((AI197*0.20+AJ197*0.15+AN197*0.18+AG197*0.12+Z197*0.15+AQ197*0.20),1)</x:f>
        <x:v>86.6</x:v>
      </x:c>
      <x:c r="AS197" s="39" t="n">
        <x:f>ROUND((AC197*AF197*120)+(AH197*350)+(MAX(0,AI197-75)*220)+(MAX(0,AQ197-60)*100),0)</x:f>
        <x:v>22488</x:v>
      </x:c>
    </x:row>
    <x:row r="198">
      <x:c r="A198" s="35" t="n">
        <x:v>197</x:v>
      </x:c>
      <x:c r="B198" s="35" t="n">
        <x:v>23</x:v>
      </x:c>
      <x:c r="C198" s="35" t="str">
        <x:v>Male</x:v>
      </x:c>
      <x:c r="D198" s="35" t="str">
        <x:v>Marketing</x:v>
      </x:c>
      <x:c r="E198" s="35" t="str">
        <x:v>Marketing Specialist</x:v>
      </x:c>
      <x:c r="F198" s="35" t="str">
        <x:v>Business</x:v>
      </x:c>
      <x:c r="G198" s="35" t="str">
        <x:v>Married</x:v>
      </x:c>
      <x:c r="H198" s="35" t="n">
        <x:v>1</x:v>
      </x:c>
      <x:c r="I198" s="36" t="n">
        <x:v>5020</x:v>
      </x:c>
      <x:c r="J198" s="35" t="n">
        <x:v>1</x:v>
      </x:c>
      <x:c r="K198" s="35" t="n">
        <x:v>1</x:v>
      </x:c>
      <x:c r="L198" s="35" t="n">
        <x:v>1</x:v>
      </x:c>
      <x:c r="M198" s="35" t="n">
        <x:v>15</x:v>
      </x:c>
      <x:c r="N198" s="35" t="str">
        <x:v>No</x:v>
      </x:c>
      <x:c r="O198" s="35" t="n">
        <x:v>3</x:v>
      </x:c>
      <x:c r="P198" s="35" t="n">
        <x:v>3</x:v>
      </x:c>
      <x:c r="Q198" s="35" t="n">
        <x:v>4</x:v>
      </x:c>
      <x:c r="R198" s="35" t="n">
        <x:v>2</x:v>
      </x:c>
      <x:c r="S198" s="35" t="n">
        <x:v>3</x:v>
      </x:c>
      <x:c r="T198" s="35" t="n">
        <x:v>3</x:v>
      </x:c>
      <x:c r="U198" s="35" t="n">
        <x:v>1</x:v>
      </x:c>
      <x:c r="V198" s="35" t="n">
        <x:v>11</x:v>
      </x:c>
      <x:c r="W198" s="35" t="n">
        <x:v>16</x:v>
      </x:c>
      <x:c r="X198" s="35" t="n">
        <x:v>92</x:v>
      </x:c>
      <x:c r="Y198" s="35" t="n">
        <x:v>4</x:v>
      </x:c>
      <x:c r="Z198" s="35" t="n">
        <x:v>88</x:v>
      </x:c>
      <x:c r="AA198" s="35" t="n">
        <x:v>11</x:v>
      </x:c>
      <x:c r="AB198" s="35" t="n">
        <x:v>7</x:v>
      </x:c>
      <x:c r="AC198" s="35" t="n">
        <x:v>6</x:v>
      </x:c>
      <x:c r="AD198" s="35" t="n">
        <x:v>92</x:v>
      </x:c>
      <x:c r="AE198" s="35" t="n">
        <x:v>92</x:v>
      </x:c>
      <x:c r="AF198" s="35" t="n">
        <x:v>69</x:v>
      </x:c>
      <x:c r="AG198" s="35" t="n">
        <x:v>85</x:v>
      </x:c>
      <x:c r="AH198" s="35" t="n">
        <x:v>10</x:v>
      </x:c>
      <x:c r="AI198" s="37" t="n">
        <x:v>89.5</x:v>
      </x:c>
      <x:c r="AJ198" s="37" t="n">
        <x:v>84.7</x:v>
      </x:c>
      <x:c r="AK198" s="35" t="str">
        <x:v>No</x:v>
      </x:c>
      <x:c r="AL198" s="38" t="n">
        <x:f>IF(AA198=0,0,AB198/AA198)</x:f>
        <x:v>0.6363636363636364</x:v>
      </x:c>
      <x:c r="AM198" s="38" t="n">
        <x:f>IF(AB198=0,0,AC198/AB198)</x:f>
        <x:v>0.8571428571428571</x:v>
      </x:c>
      <x:c r="AN198" s="37" t="n">
        <x:f>ROUND((AD198*0.20+AE198*0.20+AF198*0.25+AG198*0.15+MIN(100,AC198*12)*0.20),1)</x:f>
        <x:v>81.2</x:v>
      </x:c>
      <x:c r="AO198" s="37" t="n">
        <x:f>ROUND(MAX(0,MIN(100,(X198*0.35)+(W198/45*100*0.20)+((5-O198)/4*100*0.15)+((5-P198)/4*100*0.10)+((6-Y198)/5*100*0.10)+((100-Z198)*0.10))),1)</x:f>
        <x:v>57</x:v>
      </x:c>
      <x:c r="AP198" s="37" t="str">
        <x:f>IF(AO198&gt;=70,"High",IF(AO198&gt;=40,"Moderate","Low"))</x:f>
        <x:v>Moderate</x:v>
      </x:c>
      <x:c r="AQ198" s="37" t="n">
        <x:f>ROUND(MAX(0,MIN(100,(O198/4*100*0.25)+(P198/4*100*0.20)+(Q198/4*100*0.15)+(Y198/5*100*0.20)+(100-AO198)*0.20)),1)</x:f>
        <x:v>73.4</x:v>
      </x:c>
      <x:c r="AR198" s="37" t="n">
        <x:f>ROUND((AI198*0.20+AJ198*0.15+AN198*0.18+AG198*0.12+Z198*0.15+AQ198*0.20),1)</x:f>
        <x:v>83.3</x:v>
      </x:c>
      <x:c r="AS198" s="39" t="n">
        <x:f>ROUND((AC198*AF198*120)+(AH198*350)+(MAX(0,AI198-75)*220)+(MAX(0,AQ198-60)*100),0)</x:f>
        <x:v>57710</x:v>
      </x:c>
    </x:row>
    <x:row r="199">
      <x:c r="A199" s="35" t="n">
        <x:v>198</x:v>
      </x:c>
      <x:c r="B199" s="35" t="n">
        <x:v>46</x:v>
      </x:c>
      <x:c r="C199" s="35" t="str">
        <x:v>Male</x:v>
      </x:c>
      <x:c r="D199" s="35" t="str">
        <x:v>Sales</x:v>
      </x:c>
      <x:c r="E199" s="35" t="str">
        <x:v>Account Manager</x:v>
      </x:c>
      <x:c r="F199" s="35" t="str">
        <x:v>Medical</x:v>
      </x:c>
      <x:c r="G199" s="35" t="str">
        <x:v>Single</x:v>
      </x:c>
      <x:c r="H199" s="35" t="n">
        <x:v>3</x:v>
      </x:c>
      <x:c r="I199" s="36" t="n">
        <x:v>13500</x:v>
      </x:c>
      <x:c r="J199" s="35" t="n">
        <x:v>12</x:v>
      </x:c>
      <x:c r="K199" s="35" t="n">
        <x:v>4</x:v>
      </x:c>
      <x:c r="L199" s="35" t="n">
        <x:v>3</x:v>
      </x:c>
      <x:c r="M199" s="35" t="n">
        <x:v>21</x:v>
      </x:c>
      <x:c r="N199" s="35" t="str">
        <x:v>No</x:v>
      </x:c>
      <x:c r="O199" s="35" t="n">
        <x:v>2</x:v>
      </x:c>
      <x:c r="P199" s="35" t="n">
        <x:v>3</x:v>
      </x:c>
      <x:c r="Q199" s="35" t="n">
        <x:v>3</x:v>
      </x:c>
      <x:c r="R199" s="35" t="n">
        <x:v>3</x:v>
      </x:c>
      <x:c r="S199" s="35" t="n">
        <x:v>3</x:v>
      </x:c>
      <x:c r="T199" s="35" t="n">
        <x:v>4</x:v>
      </x:c>
      <x:c r="U199" s="35" t="n">
        <x:v>1</x:v>
      </x:c>
      <x:c r="V199" s="35" t="n">
        <x:v>3</x:v>
      </x:c>
      <x:c r="W199" s="35" t="n">
        <x:v>4</x:v>
      </x:c>
      <x:c r="X199" s="35" t="n">
        <x:v>92</x:v>
      </x:c>
      <x:c r="Y199" s="35" t="n">
        <x:v>4</x:v>
      </x:c>
      <x:c r="Z199" s="35" t="n">
        <x:v>96</x:v>
      </x:c>
      <x:c r="AA199" s="35" t="n">
        <x:v>8</x:v>
      </x:c>
      <x:c r="AB199" s="35" t="n">
        <x:v>7</x:v>
      </x:c>
      <x:c r="AC199" s="35" t="n">
        <x:v>6</x:v>
      </x:c>
      <x:c r="AD199" s="35" t="n">
        <x:v>75</x:v>
      </x:c>
      <x:c r="AE199" s="35" t="n">
        <x:v>90</x:v>
      </x:c>
      <x:c r="AF199" s="35" t="n">
        <x:v>79</x:v>
      </x:c>
      <x:c r="AG199" s="35" t="n">
        <x:v>69</x:v>
      </x:c>
      <x:c r="AH199" s="35" t="n">
        <x:v>6</x:v>
      </x:c>
      <x:c r="AI199" s="37" t="n">
        <x:v>99.3</x:v>
      </x:c>
      <x:c r="AJ199" s="37" t="n">
        <x:v>86.1</x:v>
      </x:c>
      <x:c r="AK199" s="35" t="str">
        <x:v>No</x:v>
      </x:c>
      <x:c r="AL199" s="38" t="n">
        <x:f>IF(AA199=0,0,AB199/AA199)</x:f>
        <x:v>0.875</x:v>
      </x:c>
      <x:c r="AM199" s="38" t="n">
        <x:f>IF(AB199=0,0,AC199/AB199)</x:f>
        <x:v>0.8571428571428571</x:v>
      </x:c>
      <x:c r="AN199" s="37" t="n">
        <x:f>ROUND((AD199*0.20+AE199*0.20+AF199*0.25+AG199*0.15+MIN(100,AC199*12)*0.20),1)</x:f>
        <x:v>77.5</x:v>
      </x:c>
      <x:c r="AO199" s="37" t="n">
        <x:f>ROUND(MAX(0,MIN(100,(X199*0.35)+(W199/45*100*0.20)+((5-O199)/4*100*0.15)+((5-P199)/4*100*0.10)+((6-Y199)/5*100*0.10)+((100-Z199)*0.10))),1)</x:f>
        <x:v>54.6</x:v>
      </x:c>
      <x:c r="AP199" s="37" t="str">
        <x:f>IF(AO199&gt;=70,"High",IF(AO199&gt;=40,"Moderate","Low"))</x:f>
        <x:v>Moderate</x:v>
      </x:c>
      <x:c r="AQ199" s="37" t="n">
        <x:f>ROUND(MAX(0,MIN(100,(O199/4*100*0.25)+(P199/4*100*0.20)+(Q199/4*100*0.15)+(Y199/5*100*0.20)+(100-AO199)*0.20)),1)</x:f>
        <x:v>63.8</x:v>
      </x:c>
      <x:c r="AR199" s="37" t="n">
        <x:f>ROUND((AI199*0.20+AJ199*0.15+AN199*0.18+AG199*0.12+Z199*0.15+AQ199*0.20),1)</x:f>
        <x:v>82.2</x:v>
      </x:c>
      <x:c r="AS199" s="39" t="n">
        <x:f>ROUND((AC199*AF199*120)+(AH199*350)+(MAX(0,AI199-75)*220)+(MAX(0,AQ199-60)*100),0)</x:f>
        <x:v>64706</x:v>
      </x:c>
    </x:row>
    <x:row r="200">
      <x:c r="A200" s="35" t="n">
        <x:v>199</x:v>
      </x:c>
      <x:c r="B200" s="35" t="n">
        <x:v>42</x:v>
      </x:c>
      <x:c r="C200" s="35" t="str">
        <x:v>Male</x:v>
      </x:c>
      <x:c r="D200" s="35" t="str">
        <x:v>Operations</x:v>
      </x:c>
      <x:c r="E200" s="35" t="str">
        <x:v>Quality Specialist</x:v>
      </x:c>
      <x:c r="F200" s="35" t="str">
        <x:v>Human Resources</x:v>
      </x:c>
      <x:c r="G200" s="35" t="str">
        <x:v>Single</x:v>
      </x:c>
      <x:c r="H200" s="35" t="n">
        <x:v>4</x:v>
      </x:c>
      <x:c r="I200" s="36" t="n">
        <x:v>17340</x:v>
      </x:c>
      <x:c r="J200" s="35" t="n">
        <x:v>10</x:v>
      </x:c>
      <x:c r="K200" s="35" t="n">
        <x:v>6</x:v>
      </x:c>
      <x:c r="L200" s="35" t="n">
        <x:v>4</x:v>
      </x:c>
      <x:c r="M200" s="35" t="n">
        <x:v>4</x:v>
      </x:c>
      <x:c r="N200" s="35" t="str">
        <x:v>Yes</x:v>
      </x:c>
      <x:c r="O200" s="35" t="n">
        <x:v>3</x:v>
      </x:c>
      <x:c r="P200" s="35" t="n">
        <x:v>4</x:v>
      </x:c>
      <x:c r="Q200" s="35" t="n">
        <x:v>3</x:v>
      </x:c>
      <x:c r="R200" s="35" t="n">
        <x:v>3</x:v>
      </x:c>
      <x:c r="S200" s="35" t="n">
        <x:v>3</x:v>
      </x:c>
      <x:c r="T200" s="35" t="n">
        <x:v>5</x:v>
      </x:c>
      <x:c r="U200" s="35" t="n">
        <x:v>1</x:v>
      </x:c>
      <x:c r="V200" s="35" t="n">
        <x:v>4</x:v>
      </x:c>
      <x:c r="W200" s="35" t="n">
        <x:v>28</x:v>
      </x:c>
      <x:c r="X200" s="35" t="n">
        <x:v>70</x:v>
      </x:c>
      <x:c r="Y200" s="35" t="n">
        <x:v>5</x:v>
      </x:c>
      <x:c r="Z200" s="35" t="n">
        <x:v>100</x:v>
      </x:c>
      <x:c r="AA200" s="35" t="n">
        <x:v>6</x:v>
      </x:c>
      <x:c r="AB200" s="35" t="n">
        <x:v>3</x:v>
      </x:c>
      <x:c r="AC200" s="35" t="n">
        <x:v>1</x:v>
      </x:c>
      <x:c r="AD200" s="35" t="n">
        <x:v>63</x:v>
      </x:c>
      <x:c r="AE200" s="35" t="n">
        <x:v>62</x:v>
      </x:c>
      <x:c r="AF200" s="35" t="n">
        <x:v>82</x:v>
      </x:c>
      <x:c r="AG200" s="35" t="n">
        <x:v>84</x:v>
      </x:c>
      <x:c r="AH200" s="35" t="n">
        <x:v>7</x:v>
      </x:c>
      <x:c r="AI200" s="37" t="n">
        <x:v>87.8</x:v>
      </x:c>
      <x:c r="AJ200" s="37" t="n">
        <x:v>93.9</x:v>
      </x:c>
      <x:c r="AK200" s="35" t="str">
        <x:v>Yes</x:v>
      </x:c>
      <x:c r="AL200" s="38" t="n">
        <x:f>IF(AA200=0,0,AB200/AA200)</x:f>
        <x:v>0.5</x:v>
      </x:c>
      <x:c r="AM200" s="38" t="n">
        <x:f>IF(AB200=0,0,AC200/AB200)</x:f>
        <x:v>0.3333333333333333</x:v>
      </x:c>
      <x:c r="AN200" s="37" t="n">
        <x:f>ROUND((AD200*0.20+AE200*0.20+AF200*0.25+AG200*0.15+MIN(100,AC200*12)*0.20),1)</x:f>
        <x:v>60.5</x:v>
      </x:c>
      <x:c r="AO200" s="37" t="n">
        <x:f>ROUND(MAX(0,MIN(100,(X200*0.35)+(W200/45*100*0.20)+((5-O200)/4*100*0.15)+((5-P200)/4*100*0.10)+((6-Y200)/5*100*0.10)+((100-Z200)*0.10))),1)</x:f>
        <x:v>48.9</x:v>
      </x:c>
      <x:c r="AP200" s="37" t="str">
        <x:f>IF(AO200&gt;=70,"High",IF(AO200&gt;=40,"Moderate","Low"))</x:f>
        <x:v>Moderate</x:v>
      </x:c>
      <x:c r="AQ200" s="37" t="n">
        <x:f>ROUND(MAX(0,MIN(100,(O200/4*100*0.25)+(P200/4*100*0.20)+(Q200/4*100*0.15)+(Y200/5*100*0.20)+(100-AO200)*0.20)),1)</x:f>
        <x:v>80.2</x:v>
      </x:c>
      <x:c r="AR200" s="37" t="n">
        <x:f>ROUND((AI200*0.20+AJ200*0.15+AN200*0.18+AG200*0.12+Z200*0.15+AQ200*0.20),1)</x:f>
        <x:v>83.7</x:v>
      </x:c>
      <x:c r="AS200" s="39" t="n">
        <x:f>ROUND((AC200*AF200*120)+(AH200*350)+(MAX(0,AI200-75)*220)+(MAX(0,AQ200-60)*100),0)</x:f>
        <x:v>17126</x:v>
      </x:c>
    </x:row>
    <x:row r="201">
      <x:c r="A201" s="35" t="n">
        <x:v>200</x:v>
      </x:c>
      <x:c r="B201" s="35" t="n">
        <x:v>35</x:v>
      </x:c>
      <x:c r="C201" s="35" t="str">
        <x:v>Male</x:v>
      </x:c>
      <x:c r="D201" s="35" t="str">
        <x:v>Human Resources</x:v>
      </x:c>
      <x:c r="E201" s="35" t="str">
        <x:v>HR Manager</x:v>
      </x:c>
      <x:c r="F201" s="35" t="str">
        <x:v>Life Sciences</x:v>
      </x:c>
      <x:c r="G201" s="35" t="str">
        <x:v>Divorced</x:v>
      </x:c>
      <x:c r="H201" s="35" t="n">
        <x:v>2</x:v>
      </x:c>
      <x:c r="I201" s="36" t="n">
        <x:v>6640</x:v>
      </x:c>
      <x:c r="J201" s="35" t="n">
        <x:v>9</x:v>
      </x:c>
      <x:c r="K201" s="35" t="n">
        <x:v>5</x:v>
      </x:c>
      <x:c r="L201" s="35" t="n">
        <x:v>4</x:v>
      </x:c>
      <x:c r="M201" s="35" t="n">
        <x:v>1</x:v>
      </x:c>
      <x:c r="N201" s="35" t="str">
        <x:v>Yes</x:v>
      </x:c>
      <x:c r="O201" s="35" t="n">
        <x:v>3</x:v>
      </x:c>
      <x:c r="P201" s="35" t="n">
        <x:v>3</x:v>
      </x:c>
      <x:c r="Q201" s="35" t="n">
        <x:v>3</x:v>
      </x:c>
      <x:c r="R201" s="35" t="n">
        <x:v>2</x:v>
      </x:c>
      <x:c r="S201" s="35" t="n">
        <x:v>3</x:v>
      </x:c>
      <x:c r="T201" s="35" t="n">
        <x:v>5</x:v>
      </x:c>
      <x:c r="U201" s="35" t="n">
        <x:v>3</x:v>
      </x:c>
      <x:c r="V201" s="35" t="n">
        <x:v>5</x:v>
      </x:c>
      <x:c r="W201" s="35" t="n">
        <x:v>26</x:v>
      </x:c>
      <x:c r="X201" s="35" t="n">
        <x:v>80</x:v>
      </x:c>
      <x:c r="Y201" s="35" t="n">
        <x:v>4</x:v>
      </x:c>
      <x:c r="Z201" s="35" t="n">
        <x:v>93</x:v>
      </x:c>
      <x:c r="AA201" s="35" t="n">
        <x:v>13</x:v>
      </x:c>
      <x:c r="AB201" s="35" t="n">
        <x:v>11</x:v>
      </x:c>
      <x:c r="AC201" s="35" t="n">
        <x:v>10</x:v>
      </x:c>
      <x:c r="AD201" s="35" t="n">
        <x:v>82</x:v>
      </x:c>
      <x:c r="AE201" s="35" t="n">
        <x:v>86</x:v>
      </x:c>
      <x:c r="AF201" s="35" t="n">
        <x:v>68</x:v>
      </x:c>
      <x:c r="AG201" s="35" t="n">
        <x:v>76</x:v>
      </x:c>
      <x:c r="AH201" s="35" t="n">
        <x:v>10</x:v>
      </x:c>
      <x:c r="AI201" s="37" t="n">
        <x:v>98.2</x:v>
      </x:c>
      <x:c r="AJ201" s="37" t="n">
        <x:v>83.8</x:v>
      </x:c>
      <x:c r="AK201" s="35" t="str">
        <x:v>No</x:v>
      </x:c>
      <x:c r="AL201" s="38" t="n">
        <x:f>IF(AA201=0,0,AB201/AA201)</x:f>
        <x:v>0.8461538461538461</x:v>
      </x:c>
      <x:c r="AM201" s="38" t="n">
        <x:f>IF(AB201=0,0,AC201/AB201)</x:f>
        <x:v>0.9090909090909091</x:v>
      </x:c>
      <x:c r="AN201" s="37" t="n">
        <x:f>ROUND((AD201*0.20+AE201*0.20+AF201*0.25+AG201*0.15+MIN(100,AC201*12)*0.20),1)</x:f>
        <x:v>82</x:v>
      </x:c>
      <x:c r="AO201" s="37" t="n">
        <x:f>ROUND(MAX(0,MIN(100,(X201*0.35)+(W201/45*100*0.20)+((5-O201)/4*100*0.15)+((5-P201)/4*100*0.10)+((6-Y201)/5*100*0.10)+((100-Z201)*0.10))),1)</x:f>
        <x:v>56.8</x:v>
      </x:c>
      <x:c r="AP201" s="37" t="str">
        <x:f>IF(AO201&gt;=70,"High",IF(AO201&gt;=40,"Moderate","Low"))</x:f>
        <x:v>Moderate</x:v>
      </x:c>
      <x:c r="AQ201" s="37" t="n">
        <x:f>ROUND(MAX(0,MIN(100,(O201/4*100*0.25)+(P201/4*100*0.20)+(Q201/4*100*0.15)+(Y201/5*100*0.20)+(100-AO201)*0.20)),1)</x:f>
        <x:v>69.6</x:v>
      </x:c>
      <x:c r="AR201" s="37" t="n">
        <x:f>ROUND((AI201*0.20+AJ201*0.15+AN201*0.18+AG201*0.12+Z201*0.15+AQ201*0.20),1)</x:f>
        <x:v>84</x:v>
      </x:c>
      <x:c r="AS201" s="39" t="n">
        <x:f>ROUND((AC201*AF201*120)+(AH201*350)+(MAX(0,AI201-75)*220)+(MAX(0,AQ201-60)*100),0)</x:f>
        <x:v>91164</x:v>
      </x:c>
    </x:row>
    <x:row r="202">
      <x:c r="A202" s="35" t="n">
        <x:v>201</x:v>
      </x:c>
      <x:c r="B202" s="35" t="n">
        <x:v>36</x:v>
      </x:c>
      <x:c r="C202" s="35" t="str">
        <x:v>Male</x:v>
      </x:c>
      <x:c r="D202" s="35" t="str">
        <x:v>Operations</x:v>
      </x:c>
      <x:c r="E202" s="35" t="str">
        <x:v>Operations Manager</x:v>
      </x:c>
      <x:c r="F202" s="35" t="str">
        <x:v>Medical</x:v>
      </x:c>
      <x:c r="G202" s="35" t="str">
        <x:v>Married</x:v>
      </x:c>
      <x:c r="H202" s="35" t="n">
        <x:v>1</x:v>
      </x:c>
      <x:c r="I202" s="36" t="n">
        <x:v>4710</x:v>
      </x:c>
      <x:c r="J202" s="35" t="n">
        <x:v>11</x:v>
      </x:c>
      <x:c r="K202" s="35" t="n">
        <x:v>5</x:v>
      </x:c>
      <x:c r="L202" s="35" t="n">
        <x:v>3</x:v>
      </x:c>
      <x:c r="M202" s="35" t="n">
        <x:v>11</x:v>
      </x:c>
      <x:c r="N202" s="35" t="str">
        <x:v>No</x:v>
      </x:c>
      <x:c r="O202" s="35" t="n">
        <x:v>2</x:v>
      </x:c>
      <x:c r="P202" s="35" t="n">
        <x:v>3</x:v>
      </x:c>
      <x:c r="Q202" s="35" t="n">
        <x:v>4</x:v>
      </x:c>
      <x:c r="R202" s="35" t="n">
        <x:v>3</x:v>
      </x:c>
      <x:c r="S202" s="35" t="n">
        <x:v>3</x:v>
      </x:c>
      <x:c r="T202" s="35" t="n">
        <x:v>2</x:v>
      </x:c>
      <x:c r="U202" s="35" t="n">
        <x:v>1</x:v>
      </x:c>
      <x:c r="V202" s="35" t="n">
        <x:v>2</x:v>
      </x:c>
      <x:c r="W202" s="35" t="n">
        <x:v>3</x:v>
      </x:c>
      <x:c r="X202" s="35" t="n">
        <x:v>40</x:v>
      </x:c>
      <x:c r="Y202" s="35" t="n">
        <x:v>5</x:v>
      </x:c>
      <x:c r="Z202" s="35" t="n">
        <x:v>100</x:v>
      </x:c>
      <x:c r="AA202" s="35" t="n">
        <x:v>6</x:v>
      </x:c>
      <x:c r="AB202" s="35" t="n">
        <x:v>6</x:v>
      </x:c>
      <x:c r="AC202" s="35" t="n">
        <x:v>6</x:v>
      </x:c>
      <x:c r="AD202" s="35" t="n">
        <x:v>71</x:v>
      </x:c>
      <x:c r="AE202" s="35" t="n">
        <x:v>93</x:v>
      </x:c>
      <x:c r="AF202" s="35" t="n">
        <x:v>80</x:v>
      </x:c>
      <x:c r="AG202" s="35" t="n">
        <x:v>99</x:v>
      </x:c>
      <x:c r="AH202" s="35" t="n">
        <x:v>9</x:v>
      </x:c>
      <x:c r="AI202" s="37" t="n">
        <x:v>96.8</x:v>
      </x:c>
      <x:c r="AJ202" s="37" t="n">
        <x:v>92.8</x:v>
      </x:c>
      <x:c r="AK202" s="35" t="str">
        <x:v>No</x:v>
      </x:c>
      <x:c r="AL202" s="38" t="n">
        <x:f>IF(AA202=0,0,AB202/AA202)</x:f>
        <x:v>1</x:v>
      </x:c>
      <x:c r="AM202" s="38" t="n">
        <x:f>IF(AB202=0,0,AC202/AB202)</x:f>
        <x:v>1</x:v>
      </x:c>
      <x:c r="AN202" s="37" t="n">
        <x:f>ROUND((AD202*0.20+AE202*0.20+AF202*0.25+AG202*0.15+MIN(100,AC202*12)*0.20),1)</x:f>
        <x:v>82.1</x:v>
      </x:c>
      <x:c r="AO202" s="37" t="n">
        <x:f>ROUND(MAX(0,MIN(100,(X202*0.35)+(W202/45*100*0.20)+((5-O202)/4*100*0.15)+((5-P202)/4*100*0.10)+((6-Y202)/5*100*0.10)+((100-Z202)*0.10))),1)</x:f>
        <x:v>33.6</x:v>
      </x:c>
      <x:c r="AP202" s="37" t="str">
        <x:f>IF(AO202&gt;=70,"High",IF(AO202&gt;=40,"Moderate","Low"))</x:f>
        <x:v>Low</x:v>
      </x:c>
      <x:c r="AQ202" s="37" t="n">
        <x:f>ROUND(MAX(0,MIN(100,(O202/4*100*0.25)+(P202/4*100*0.20)+(Q202/4*100*0.15)+(Y202/5*100*0.20)+(100-AO202)*0.20)),1)</x:f>
        <x:v>75.8</x:v>
      </x:c>
      <x:c r="AR202" s="37" t="n">
        <x:f>ROUND((AI202*0.20+AJ202*0.15+AN202*0.18+AG202*0.12+Z202*0.15+AQ202*0.20),1)</x:f>
        <x:v>90.1</x:v>
      </x:c>
      <x:c r="AS202" s="39" t="n">
        <x:f>ROUND((AC202*AF202*120)+(AH202*350)+(MAX(0,AI202-75)*220)+(MAX(0,AQ202-60)*100),0)</x:f>
        <x:v>67126</x:v>
      </x:c>
    </x:row>
    <x:row r="203">
      <x:c r="A203" s="35" t="n">
        <x:v>202</x:v>
      </x:c>
      <x:c r="B203" s="35" t="n">
        <x:v>29</x:v>
      </x:c>
      <x:c r="C203" s="35" t="str">
        <x:v>Female</x:v>
      </x:c>
      <x:c r="D203" s="35" t="str">
        <x:v>Research &amp; Development</x:v>
      </x:c>
      <x:c r="E203" s="35" t="str">
        <x:v>Laboratory Technician</x:v>
      </x:c>
      <x:c r="F203" s="35" t="str">
        <x:v>Medical</x:v>
      </x:c>
      <x:c r="G203" s="35" t="str">
        <x:v>Married</x:v>
      </x:c>
      <x:c r="H203" s="35" t="n">
        <x:v>2</x:v>
      </x:c>
      <x:c r="I203" s="36" t="n">
        <x:v>6460</x:v>
      </x:c>
      <x:c r="J203" s="35" t="n">
        <x:v>7</x:v>
      </x:c>
      <x:c r="K203" s="35" t="n">
        <x:v>3</x:v>
      </x:c>
      <x:c r="L203" s="35" t="n">
        <x:v>2</x:v>
      </x:c>
      <x:c r="M203" s="35" t="n">
        <x:v>2</x:v>
      </x:c>
      <x:c r="N203" s="35" t="str">
        <x:v>Yes</x:v>
      </x:c>
      <x:c r="O203" s="35" t="n">
        <x:v>2</x:v>
      </x:c>
      <x:c r="P203" s="35" t="n">
        <x:v>2</x:v>
      </x:c>
      <x:c r="Q203" s="35" t="n">
        <x:v>3</x:v>
      </x:c>
      <x:c r="R203" s="35" t="n">
        <x:v>4</x:v>
      </x:c>
      <x:c r="S203" s="35" t="n">
        <x:v>4</x:v>
      </x:c>
      <x:c r="T203" s="35" t="n">
        <x:v>5</x:v>
      </x:c>
      <x:c r="U203" s="35" t="n">
        <x:v>2</x:v>
      </x:c>
      <x:c r="V203" s="35" t="n">
        <x:v>2</x:v>
      </x:c>
      <x:c r="W203" s="35" t="n">
        <x:v>17</x:v>
      </x:c>
      <x:c r="X203" s="35" t="n">
        <x:v>84</x:v>
      </x:c>
      <x:c r="Y203" s="35" t="n">
        <x:v>4</x:v>
      </x:c>
      <x:c r="Z203" s="35" t="n">
        <x:v>100</x:v>
      </x:c>
      <x:c r="AA203" s="35" t="n">
        <x:v>5</x:v>
      </x:c>
      <x:c r="AB203" s="35" t="n">
        <x:v>3</x:v>
      </x:c>
      <x:c r="AC203" s="35" t="n">
        <x:v>3</x:v>
      </x:c>
      <x:c r="AD203" s="35" t="n">
        <x:v>88</x:v>
      </x:c>
      <x:c r="AE203" s="35" t="n">
        <x:v>69</x:v>
      </x:c>
      <x:c r="AF203" s="35" t="n">
        <x:v>87</x:v>
      </x:c>
      <x:c r="AG203" s="35" t="n">
        <x:v>88</x:v>
      </x:c>
      <x:c r="AH203" s="35" t="n">
        <x:v>12</x:v>
      </x:c>
      <x:c r="AI203" s="37" t="n">
        <x:v>100</x:v>
      </x:c>
      <x:c r="AJ203" s="37" t="n">
        <x:v>100</x:v>
      </x:c>
      <x:c r="AK203" s="35" t="str">
        <x:v>No</x:v>
      </x:c>
      <x:c r="AL203" s="38" t="n">
        <x:f>IF(AA203=0,0,AB203/AA203)</x:f>
        <x:v>0.6</x:v>
      </x:c>
      <x:c r="AM203" s="38" t="n">
        <x:f>IF(AB203=0,0,AC203/AB203)</x:f>
        <x:v>1</x:v>
      </x:c>
      <x:c r="AN203" s="37" t="n">
        <x:f>ROUND((AD203*0.20+AE203*0.20+AF203*0.25+AG203*0.15+MIN(100,AC203*12)*0.20),1)</x:f>
        <x:v>73.6</x:v>
      </x:c>
      <x:c r="AO203" s="37" t="n">
        <x:f>ROUND(MAX(0,MIN(100,(X203*0.35)+(W203/45*100*0.20)+((5-O203)/4*100*0.15)+((5-P203)/4*100*0.10)+((6-Y203)/5*100*0.10)+((100-Z203)*0.10))),1)</x:f>
        <x:v>59.7</x:v>
      </x:c>
      <x:c r="AP203" s="37" t="str">
        <x:f>IF(AO203&gt;=70,"High",IF(AO203&gt;=40,"Moderate","Low"))</x:f>
        <x:v>Moderate</x:v>
      </x:c>
      <x:c r="AQ203" s="37" t="n">
        <x:f>ROUND(MAX(0,MIN(100,(O203/4*100*0.25)+(P203/4*100*0.20)+(Q203/4*100*0.15)+(Y203/5*100*0.20)+(100-AO203)*0.20)),1)</x:f>
        <x:v>57.8</x:v>
      </x:c>
      <x:c r="AR203" s="37" t="n">
        <x:f>ROUND((AI203*0.20+AJ203*0.15+AN203*0.18+AG203*0.12+Z203*0.15+AQ203*0.20),1)</x:f>
        <x:v>85.4</x:v>
      </x:c>
      <x:c r="AS203" s="39" t="n">
        <x:f>ROUND((AC203*AF203*120)+(AH203*350)+(MAX(0,AI203-75)*220)+(MAX(0,AQ203-60)*100),0)</x:f>
        <x:v>41020</x:v>
      </x:c>
    </x:row>
    <x:row r="204">
      <x:c r="A204" s="35" t="n">
        <x:v>203</x:v>
      </x:c>
      <x:c r="B204" s="35" t="n">
        <x:v>45</x:v>
      </x:c>
      <x:c r="C204" s="35" t="str">
        <x:v>Female</x:v>
      </x:c>
      <x:c r="D204" s="35" t="str">
        <x:v>Information Technology</x:v>
      </x:c>
      <x:c r="E204" s="35" t="str">
        <x:v>Software Engineer</x:v>
      </x:c>
      <x:c r="F204" s="35" t="str">
        <x:v>Marketing</x:v>
      </x:c>
      <x:c r="G204" s="35" t="str">
        <x:v>Married</x:v>
      </x:c>
      <x:c r="H204" s="35" t="n">
        <x:v>4</x:v>
      </x:c>
      <x:c r="I204" s="36" t="n">
        <x:v>19620</x:v>
      </x:c>
      <x:c r="J204" s="35" t="n">
        <x:v>21</x:v>
      </x:c>
      <x:c r="K204" s="35" t="n">
        <x:v>15</x:v>
      </x:c>
      <x:c r="L204" s="35" t="n">
        <x:v>10</x:v>
      </x:c>
      <x:c r="M204" s="35" t="n">
        <x:v>2</x:v>
      </x:c>
      <x:c r="N204" s="35" t="str">
        <x:v>No</x:v>
      </x:c>
      <x:c r="O204" s="35" t="n">
        <x:v>3</x:v>
      </x:c>
      <x:c r="P204" s="35" t="n">
        <x:v>3</x:v>
      </x:c>
      <x:c r="Q204" s="35" t="n">
        <x:v>2</x:v>
      </x:c>
      <x:c r="R204" s="35" t="n">
        <x:v>3</x:v>
      </x:c>
      <x:c r="S204" s="35" t="n">
        <x:v>3</x:v>
      </x:c>
      <x:c r="T204" s="35" t="n">
        <x:v>3</x:v>
      </x:c>
      <x:c r="U204" s="35" t="n">
        <x:v>2</x:v>
      </x:c>
      <x:c r="V204" s="35" t="n">
        <x:v>0</x:v>
      </x:c>
      <x:c r="W204" s="35" t="n">
        <x:v>11</x:v>
      </x:c>
      <x:c r="X204" s="35" t="n">
        <x:v>46</x:v>
      </x:c>
      <x:c r="Y204" s="35" t="n">
        <x:v>5</x:v>
      </x:c>
      <x:c r="Z204" s="35" t="n">
        <x:v>100</x:v>
      </x:c>
      <x:c r="AA204" s="35" t="n">
        <x:v>3</x:v>
      </x:c>
      <x:c r="AB204" s="35" t="n">
        <x:v>2</x:v>
      </x:c>
      <x:c r="AC204" s="35" t="n">
        <x:v>1</x:v>
      </x:c>
      <x:c r="AD204" s="35" t="n">
        <x:v>62</x:v>
      </x:c>
      <x:c r="AE204" s="35" t="n">
        <x:v>61</x:v>
      </x:c>
      <x:c r="AF204" s="35" t="n">
        <x:v>72</x:v>
      </x:c>
      <x:c r="AG204" s="35" t="n">
        <x:v>77</x:v>
      </x:c>
      <x:c r="AH204" s="35" t="n">
        <x:v>3</x:v>
      </x:c>
      <x:c r="AI204" s="37" t="n">
        <x:v>100</x:v>
      </x:c>
      <x:c r="AJ204" s="37" t="n">
        <x:v>93.2</x:v>
      </x:c>
      <x:c r="AK204" s="35" t="str">
        <x:v>Yes</x:v>
      </x:c>
      <x:c r="AL204" s="38" t="n">
        <x:f>IF(AA204=0,0,AB204/AA204)</x:f>
        <x:v>0.6666666666666666</x:v>
      </x:c>
      <x:c r="AM204" s="38" t="n">
        <x:f>IF(AB204=0,0,AC204/AB204)</x:f>
        <x:v>0.5</x:v>
      </x:c>
      <x:c r="AN204" s="37" t="n">
        <x:f>ROUND((AD204*0.20+AE204*0.20+AF204*0.25+AG204*0.15+MIN(100,AC204*12)*0.20),1)</x:f>
        <x:v>56.6</x:v>
      </x:c>
      <x:c r="AO204" s="37" t="n">
        <x:f>ROUND(MAX(0,MIN(100,(X204*0.35)+(W204/45*100*0.20)+((5-O204)/4*100*0.15)+((5-P204)/4*100*0.10)+((6-Y204)/5*100*0.10)+((100-Z204)*0.10))),1)</x:f>
        <x:v>35.5</x:v>
      </x:c>
      <x:c r="AP204" s="37" t="str">
        <x:f>IF(AO204&gt;=70,"High",IF(AO204&gt;=40,"Moderate","Low"))</x:f>
        <x:v>Low</x:v>
      </x:c>
      <x:c r="AQ204" s="37" t="n">
        <x:f>ROUND(MAX(0,MIN(100,(O204/4*100*0.25)+(P204/4*100*0.20)+(Q204/4*100*0.15)+(Y204/5*100*0.20)+(100-AO204)*0.20)),1)</x:f>
        <x:v>74.2</x:v>
      </x:c>
      <x:c r="AR204" s="37" t="n">
        <x:f>ROUND((AI204*0.20+AJ204*0.15+AN204*0.18+AG204*0.12+Z204*0.15+AQ204*0.20),1)</x:f>
        <x:v>83.2</x:v>
      </x:c>
      <x:c r="AS204" s="39" t="n">
        <x:f>ROUND((AC204*AF204*120)+(AH204*350)+(MAX(0,AI204-75)*220)+(MAX(0,AQ204-60)*100),0)</x:f>
        <x:v>16610</x:v>
      </x:c>
    </x:row>
    <x:row r="205">
      <x:c r="A205" s="35" t="n">
        <x:v>204</x:v>
      </x:c>
      <x:c r="B205" s="35" t="n">
        <x:v>35</x:v>
      </x:c>
      <x:c r="C205" s="35" t="str">
        <x:v>Male</x:v>
      </x:c>
      <x:c r="D205" s="35" t="str">
        <x:v>Marketing</x:v>
      </x:c>
      <x:c r="E205" s="35" t="str">
        <x:v>Marketing Specialist</x:v>
      </x:c>
      <x:c r="F205" s="35" t="str">
        <x:v>Marketing</x:v>
      </x:c>
      <x:c r="G205" s="35" t="str">
        <x:v>Single</x:v>
      </x:c>
      <x:c r="H205" s="35" t="n">
        <x:v>2</x:v>
      </x:c>
      <x:c r="I205" s="36" t="n">
        <x:v>8940</x:v>
      </x:c>
      <x:c r="J205" s="35" t="n">
        <x:v>7</x:v>
      </x:c>
      <x:c r="K205" s="35" t="n">
        <x:v>4</x:v>
      </x:c>
      <x:c r="L205" s="35" t="n">
        <x:v>2</x:v>
      </x:c>
      <x:c r="M205" s="35" t="n">
        <x:v>19</x:v>
      </x:c>
      <x:c r="N205" s="35" t="str">
        <x:v>No</x:v>
      </x:c>
      <x:c r="O205" s="35" t="n">
        <x:v>2</x:v>
      </x:c>
      <x:c r="P205" s="35" t="n">
        <x:v>2</x:v>
      </x:c>
      <x:c r="Q205" s="35" t="n">
        <x:v>3</x:v>
      </x:c>
      <x:c r="R205" s="35" t="n">
        <x:v>2</x:v>
      </x:c>
      <x:c r="S205" s="35" t="n">
        <x:v>3</x:v>
      </x:c>
      <x:c r="T205" s="35" t="n">
        <x:v>4</x:v>
      </x:c>
      <x:c r="U205" s="35" t="n">
        <x:v>1</x:v>
      </x:c>
      <x:c r="V205" s="35" t="n">
        <x:v>7</x:v>
      </x:c>
      <x:c r="W205" s="35" t="n">
        <x:v>0</x:v>
      </x:c>
      <x:c r="X205" s="35" t="n">
        <x:v>54</x:v>
      </x:c>
      <x:c r="Y205" s="35" t="n">
        <x:v>4</x:v>
      </x:c>
      <x:c r="Z205" s="35" t="n">
        <x:v>85</x:v>
      </x:c>
      <x:c r="AA205" s="35" t="n">
        <x:v>11</x:v>
      </x:c>
      <x:c r="AB205" s="35" t="n">
        <x:v>7</x:v>
      </x:c>
      <x:c r="AC205" s="35" t="n">
        <x:v>7</x:v>
      </x:c>
      <x:c r="AD205" s="35" t="n">
        <x:v>89</x:v>
      </x:c>
      <x:c r="AE205" s="35" t="n">
        <x:v>100</x:v>
      </x:c>
      <x:c r="AF205" s="35" t="n">
        <x:v>81</x:v>
      </x:c>
      <x:c r="AG205" s="35" t="n">
        <x:v>78</x:v>
      </x:c>
      <x:c r="AH205" s="35" t="n">
        <x:v>10</x:v>
      </x:c>
      <x:c r="AI205" s="37" t="n">
        <x:v>100</x:v>
      </x:c>
      <x:c r="AJ205" s="37" t="n">
        <x:v>86.2</x:v>
      </x:c>
      <x:c r="AK205" s="35" t="str">
        <x:v>No</x:v>
      </x:c>
      <x:c r="AL205" s="38" t="n">
        <x:f>IF(AA205=0,0,AB205/AA205)</x:f>
        <x:v>0.6363636363636364</x:v>
      </x:c>
      <x:c r="AM205" s="38" t="n">
        <x:f>IF(AB205=0,0,AC205/AB205)</x:f>
        <x:v>1</x:v>
      </x:c>
      <x:c r="AN205" s="37" t="n">
        <x:f>ROUND((AD205*0.20+AE205*0.20+AF205*0.25+AG205*0.15+MIN(100,AC205*12)*0.20),1)</x:f>
        <x:v>86.6</x:v>
      </x:c>
      <x:c r="AO205" s="37" t="n">
        <x:f>ROUND(MAX(0,MIN(100,(X205*0.35)+(W205/45*100*0.20)+((5-O205)/4*100*0.15)+((5-P205)/4*100*0.10)+((6-Y205)/5*100*0.10)+((100-Z205)*0.10))),1)</x:f>
        <x:v>43.2</x:v>
      </x:c>
      <x:c r="AP205" s="37" t="str">
        <x:f>IF(AO205&gt;=70,"High",IF(AO205&gt;=40,"Moderate","Low"))</x:f>
        <x:v>Moderate</x:v>
      </x:c>
      <x:c r="AQ205" s="37" t="n">
        <x:f>ROUND(MAX(0,MIN(100,(O205/4*100*0.25)+(P205/4*100*0.20)+(Q205/4*100*0.15)+(Y205/5*100*0.20)+(100-AO205)*0.20)),1)</x:f>
        <x:v>61.1</x:v>
      </x:c>
      <x:c r="AR205" s="37" t="n">
        <x:f>ROUND((AI205*0.20+AJ205*0.15+AN205*0.18+AG205*0.12+Z205*0.15+AQ205*0.20),1)</x:f>
        <x:v>82.8</x:v>
      </x:c>
      <x:c r="AS205" s="39" t="n">
        <x:f>ROUND((AC205*AF205*120)+(AH205*350)+(MAX(0,AI205-75)*220)+(MAX(0,AQ205-60)*100),0)</x:f>
        <x:v>77150</x:v>
      </x:c>
    </x:row>
    <x:row r="206">
      <x:c r="A206" s="35" t="n">
        <x:v>205</x:v>
      </x:c>
      <x:c r="B206" s="35" t="n">
        <x:v>32</x:v>
      </x:c>
      <x:c r="C206" s="35" t="str">
        <x:v>Male</x:v>
      </x:c>
      <x:c r="D206" s="35" t="str">
        <x:v>Research &amp; Development</x:v>
      </x:c>
      <x:c r="E206" s="35" t="str">
        <x:v>Data Scientist</x:v>
      </x:c>
      <x:c r="F206" s="35" t="str">
        <x:v>Human Resources</x:v>
      </x:c>
      <x:c r="G206" s="35" t="str">
        <x:v>Married</x:v>
      </x:c>
      <x:c r="H206" s="35" t="n">
        <x:v>3</x:v>
      </x:c>
      <x:c r="I206" s="36" t="n">
        <x:v>12050</x:v>
      </x:c>
      <x:c r="J206" s="35" t="n">
        <x:v>7</x:v>
      </x:c>
      <x:c r="K206" s="35" t="n">
        <x:v>3</x:v>
      </x:c>
      <x:c r="L206" s="35" t="n">
        <x:v>1</x:v>
      </x:c>
      <x:c r="M206" s="35" t="n">
        <x:v>6</x:v>
      </x:c>
      <x:c r="N206" s="35" t="str">
        <x:v>No</x:v>
      </x:c>
      <x:c r="O206" s="35" t="n">
        <x:v>2</x:v>
      </x:c>
      <x:c r="P206" s="35" t="n">
        <x:v>3</x:v>
      </x:c>
      <x:c r="Q206" s="35" t="n">
        <x:v>2</x:v>
      </x:c>
      <x:c r="R206" s="35" t="n">
        <x:v>3</x:v>
      </x:c>
      <x:c r="S206" s="35" t="n">
        <x:v>3</x:v>
      </x:c>
      <x:c r="T206" s="35" t="n">
        <x:v>3</x:v>
      </x:c>
      <x:c r="U206" s="35" t="n">
        <x:v>0</x:v>
      </x:c>
      <x:c r="V206" s="35" t="n">
        <x:v>11</x:v>
      </x:c>
      <x:c r="W206" s="35" t="n">
        <x:v>6</x:v>
      </x:c>
      <x:c r="X206" s="35" t="n">
        <x:v>61</x:v>
      </x:c>
      <x:c r="Y206" s="35" t="n">
        <x:v>4</x:v>
      </x:c>
      <x:c r="Z206" s="35" t="n">
        <x:v>94</x:v>
      </x:c>
      <x:c r="AA206" s="35" t="n">
        <x:v>6</x:v>
      </x:c>
      <x:c r="AB206" s="35" t="n">
        <x:v>5</x:v>
      </x:c>
      <x:c r="AC206" s="35" t="n">
        <x:v>4</x:v>
      </x:c>
      <x:c r="AD206" s="35" t="n">
        <x:v>85</x:v>
      </x:c>
      <x:c r="AE206" s="35" t="n">
        <x:v>100</x:v>
      </x:c>
      <x:c r="AF206" s="35" t="n">
        <x:v>80</x:v>
      </x:c>
      <x:c r="AG206" s="35" t="n">
        <x:v>99</x:v>
      </x:c>
      <x:c r="AH206" s="35" t="n">
        <x:v>4</x:v>
      </x:c>
      <x:c r="AI206" s="37" t="n">
        <x:v>90.4</x:v>
      </x:c>
      <x:c r="AJ206" s="37" t="n">
        <x:v>95</x:v>
      </x:c>
      <x:c r="AK206" s="35" t="str">
        <x:v>No</x:v>
      </x:c>
      <x:c r="AL206" s="38" t="n">
        <x:f>IF(AA206=0,0,AB206/AA206)</x:f>
        <x:v>0.8333333333333334</x:v>
      </x:c>
      <x:c r="AM206" s="38" t="n">
        <x:f>IF(AB206=0,0,AC206/AB206)</x:f>
        <x:v>0.8</x:v>
      </x:c>
      <x:c r="AN206" s="37" t="n">
        <x:f>ROUND((AD206*0.20+AE206*0.20+AF206*0.25+AG206*0.15+MIN(100,AC206*12)*0.20),1)</x:f>
        <x:v>81.4</x:v>
      </x:c>
      <x:c r="AO206" s="37" t="n">
        <x:f>ROUND(MAX(0,MIN(100,(X206*0.35)+(W206/45*100*0.20)+((5-O206)/4*100*0.15)+((5-P206)/4*100*0.10)+((6-Y206)/5*100*0.10)+((100-Z206)*0.10))),1)</x:f>
        <x:v>44.9</x:v>
      </x:c>
      <x:c r="AP206" s="37" t="str">
        <x:f>IF(AO206&gt;=70,"High",IF(AO206&gt;=40,"Moderate","Low"))</x:f>
        <x:v>Moderate</x:v>
      </x:c>
      <x:c r="AQ206" s="37" t="n">
        <x:f>ROUND(MAX(0,MIN(100,(O206/4*100*0.25)+(P206/4*100*0.20)+(Q206/4*100*0.15)+(Y206/5*100*0.20)+(100-AO206)*0.20)),1)</x:f>
        <x:v>62</x:v>
      </x:c>
      <x:c r="AR206" s="37" t="n">
        <x:f>ROUND((AI206*0.20+AJ206*0.15+AN206*0.18+AG206*0.12+Z206*0.15+AQ206*0.20),1)</x:f>
        <x:v>85.4</x:v>
      </x:c>
      <x:c r="AS206" s="39" t="n">
        <x:f>ROUND((AC206*AF206*120)+(AH206*350)+(MAX(0,AI206-75)*220)+(MAX(0,AQ206-60)*100),0)</x:f>
        <x:v>43388</x:v>
      </x:c>
    </x:row>
    <x:row r="207">
      <x:c r="A207" s="35" t="n">
        <x:v>206</x:v>
      </x:c>
      <x:c r="B207" s="35" t="n">
        <x:v>28</x:v>
      </x:c>
      <x:c r="C207" s="35" t="str">
        <x:v>Male</x:v>
      </x:c>
      <x:c r="D207" s="35" t="str">
        <x:v>Finance</x:v>
      </x:c>
      <x:c r="E207" s="35" t="str">
        <x:v>Finance Manager</x:v>
      </x:c>
      <x:c r="F207" s="35" t="str">
        <x:v>Life Sciences</x:v>
      </x:c>
      <x:c r="G207" s="35" t="str">
        <x:v>Married</x:v>
      </x:c>
      <x:c r="H207" s="35" t="n">
        <x:v>2</x:v>
      </x:c>
      <x:c r="I207" s="36" t="n">
        <x:v>9250</x:v>
      </x:c>
      <x:c r="J207" s="35" t="n">
        <x:v>5</x:v>
      </x:c>
      <x:c r="K207" s="35" t="n">
        <x:v>1</x:v>
      </x:c>
      <x:c r="L207" s="35" t="n">
        <x:v>0</x:v>
      </x:c>
      <x:c r="M207" s="35" t="n">
        <x:v>2</x:v>
      </x:c>
      <x:c r="N207" s="35" t="str">
        <x:v>Yes</x:v>
      </x:c>
      <x:c r="O207" s="35" t="n">
        <x:v>3</x:v>
      </x:c>
      <x:c r="P207" s="35" t="n">
        <x:v>3</x:v>
      </x:c>
      <x:c r="Q207" s="35" t="n">
        <x:v>2</x:v>
      </x:c>
      <x:c r="R207" s="35" t="n">
        <x:v>4</x:v>
      </x:c>
      <x:c r="S207" s="35" t="n">
        <x:v>3</x:v>
      </x:c>
      <x:c r="T207" s="35" t="n">
        <x:v>5</x:v>
      </x:c>
      <x:c r="U207" s="35" t="n">
        <x:v>1</x:v>
      </x:c>
      <x:c r="V207" s="35" t="n">
        <x:v>9</x:v>
      </x:c>
      <x:c r="W207" s="35" t="n">
        <x:v>13</x:v>
      </x:c>
      <x:c r="X207" s="35" t="n">
        <x:v>83</x:v>
      </x:c>
      <x:c r="Y207" s="35" t="n">
        <x:v>4</x:v>
      </x:c>
      <x:c r="Z207" s="35" t="n">
        <x:v>100</x:v>
      </x:c>
      <x:c r="AA207" s="35" t="n">
        <x:v>5</x:v>
      </x:c>
      <x:c r="AB207" s="35" t="n">
        <x:v>3</x:v>
      </x:c>
      <x:c r="AC207" s="35" t="n">
        <x:v>1</x:v>
      </x:c>
      <x:c r="AD207" s="35" t="n">
        <x:v>61</x:v>
      </x:c>
      <x:c r="AE207" s="35" t="n">
        <x:v>83</x:v>
      </x:c>
      <x:c r="AF207" s="35" t="n">
        <x:v>72</x:v>
      </x:c>
      <x:c r="AG207" s="35" t="n">
        <x:v>100</x:v>
      </x:c>
      <x:c r="AH207" s="35" t="n">
        <x:v>4</x:v>
      </x:c>
      <x:c r="AI207" s="37" t="n">
        <x:v>100</x:v>
      </x:c>
      <x:c r="AJ207" s="37" t="n">
        <x:v>90.5</x:v>
      </x:c>
      <x:c r="AK207" s="35" t="str">
        <x:v>No</x:v>
      </x:c>
      <x:c r="AL207" s="38" t="n">
        <x:f>IF(AA207=0,0,AB207/AA207)</x:f>
        <x:v>0.6</x:v>
      </x:c>
      <x:c r="AM207" s="38" t="n">
        <x:f>IF(AB207=0,0,AC207/AB207)</x:f>
        <x:v>0.3333333333333333</x:v>
      </x:c>
      <x:c r="AN207" s="37" t="n">
        <x:f>ROUND((AD207*0.20+AE207*0.20+AF207*0.25+AG207*0.15+MIN(100,AC207*12)*0.20),1)</x:f>
        <x:v>64.2</x:v>
      </x:c>
      <x:c r="AO207" s="37" t="n">
        <x:f>ROUND(MAX(0,MIN(100,(X207*0.35)+(W207/45*100*0.20)+((5-O207)/4*100*0.15)+((5-P207)/4*100*0.10)+((6-Y207)/5*100*0.10)+((100-Z207)*0.10))),1)</x:f>
        <x:v>51.3</x:v>
      </x:c>
      <x:c r="AP207" s="37" t="str">
        <x:f>IF(AO207&gt;=70,"High",IF(AO207&gt;=40,"Moderate","Low"))</x:f>
        <x:v>Moderate</x:v>
      </x:c>
      <x:c r="AQ207" s="37" t="n">
        <x:f>ROUND(MAX(0,MIN(100,(O207/4*100*0.25)+(P207/4*100*0.20)+(Q207/4*100*0.15)+(Y207/5*100*0.20)+(100-AO207)*0.20)),1)</x:f>
        <x:v>67</x:v>
      </x:c>
      <x:c r="AR207" s="37" t="n">
        <x:f>ROUND((AI207*0.20+AJ207*0.15+AN207*0.18+AG207*0.12+Z207*0.15+AQ207*0.20),1)</x:f>
        <x:v>85.5</x:v>
      </x:c>
      <x:c r="AS207" s="39" t="n">
        <x:f>ROUND((AC207*AF207*120)+(AH207*350)+(MAX(0,AI207-75)*220)+(MAX(0,AQ207-60)*100),0)</x:f>
        <x:v>16240</x:v>
      </x:c>
    </x:row>
    <x:row r="208">
      <x:c r="A208" s="35" t="n">
        <x:v>207</x:v>
      </x:c>
      <x:c r="B208" s="35" t="n">
        <x:v>35</x:v>
      </x:c>
      <x:c r="C208" s="35" t="str">
        <x:v>Female</x:v>
      </x:c>
      <x:c r="D208" s="35" t="str">
        <x:v>Research &amp; Development</x:v>
      </x:c>
      <x:c r="E208" s="35" t="str">
        <x:v>R&amp;D Manager</x:v>
      </x:c>
      <x:c r="F208" s="35" t="str">
        <x:v>Business</x:v>
      </x:c>
      <x:c r="G208" s="35" t="str">
        <x:v>Married</x:v>
      </x:c>
      <x:c r="H208" s="35" t="n">
        <x:v>3</x:v>
      </x:c>
      <x:c r="I208" s="36" t="n">
        <x:v>9670</x:v>
      </x:c>
      <x:c r="J208" s="35" t="n">
        <x:v>12</x:v>
      </x:c>
      <x:c r="K208" s="35" t="n">
        <x:v>5</x:v>
      </x:c>
      <x:c r="L208" s="35" t="n">
        <x:v>2</x:v>
      </x:c>
      <x:c r="M208" s="35" t="n">
        <x:v>2</x:v>
      </x:c>
      <x:c r="N208" s="35" t="str">
        <x:v>Yes</x:v>
      </x:c>
      <x:c r="O208" s="35" t="n">
        <x:v>3</x:v>
      </x:c>
      <x:c r="P208" s="35" t="n">
        <x:v>3</x:v>
      </x:c>
      <x:c r="Q208" s="35" t="n">
        <x:v>3</x:v>
      </x:c>
      <x:c r="R208" s="35" t="n">
        <x:v>4</x:v>
      </x:c>
      <x:c r="S208" s="35" t="n">
        <x:v>3</x:v>
      </x:c>
      <x:c r="T208" s="35" t="n">
        <x:v>4</x:v>
      </x:c>
      <x:c r="U208" s="35" t="n">
        <x:v>0</x:v>
      </x:c>
      <x:c r="V208" s="35" t="n">
        <x:v>0</x:v>
      </x:c>
      <x:c r="W208" s="35" t="n">
        <x:v>11</x:v>
      </x:c>
      <x:c r="X208" s="35" t="n">
        <x:v>71</x:v>
      </x:c>
      <x:c r="Y208" s="35" t="n">
        <x:v>5</x:v>
      </x:c>
      <x:c r="Z208" s="35" t="n">
        <x:v>100</x:v>
      </x:c>
      <x:c r="AA208" s="35" t="n">
        <x:v>8</x:v>
      </x:c>
      <x:c r="AB208" s="35" t="n">
        <x:v>7</x:v>
      </x:c>
      <x:c r="AC208" s="35" t="n">
        <x:v>4</x:v>
      </x:c>
      <x:c r="AD208" s="35" t="n">
        <x:v>94</x:v>
      </x:c>
      <x:c r="AE208" s="35" t="n">
        <x:v>83</x:v>
      </x:c>
      <x:c r="AF208" s="35" t="n">
        <x:v>100</x:v>
      </x:c>
      <x:c r="AG208" s="35" t="n">
        <x:v>100</x:v>
      </x:c>
      <x:c r="AH208" s="35" t="n">
        <x:v>11</x:v>
      </x:c>
      <x:c r="AI208" s="37" t="n">
        <x:v>94.6</x:v>
      </x:c>
      <x:c r="AJ208" s="37" t="n">
        <x:v>93.5</x:v>
      </x:c>
      <x:c r="AK208" s="35" t="str">
        <x:v>No</x:v>
      </x:c>
      <x:c r="AL208" s="38" t="n">
        <x:f>IF(AA208=0,0,AB208/AA208)</x:f>
        <x:v>0.875</x:v>
      </x:c>
      <x:c r="AM208" s="38" t="n">
        <x:f>IF(AB208=0,0,AC208/AB208)</x:f>
        <x:v>0.5714285714285714</x:v>
      </x:c>
      <x:c r="AN208" s="37" t="n">
        <x:f>ROUND((AD208*0.20+AE208*0.20+AF208*0.25+AG208*0.15+MIN(100,AC208*12)*0.20),1)</x:f>
        <x:v>85</x:v>
      </x:c>
      <x:c r="AO208" s="37" t="n">
        <x:f>ROUND(MAX(0,MIN(100,(X208*0.35)+(W208/45*100*0.20)+((5-O208)/4*100*0.15)+((5-P208)/4*100*0.10)+((6-Y208)/5*100*0.10)+((100-Z208)*0.10))),1)</x:f>
        <x:v>44.2</x:v>
      </x:c>
      <x:c r="AP208" s="37" t="str">
        <x:f>IF(AO208&gt;=70,"High",IF(AO208&gt;=40,"Moderate","Low"))</x:f>
        <x:v>Moderate</x:v>
      </x:c>
      <x:c r="AQ208" s="37" t="n">
        <x:f>ROUND(MAX(0,MIN(100,(O208/4*100*0.25)+(P208/4*100*0.20)+(Q208/4*100*0.15)+(Y208/5*100*0.20)+(100-AO208)*0.20)),1)</x:f>
        <x:v>76.2</x:v>
      </x:c>
      <x:c r="AR208" s="37" t="n">
        <x:f>ROUND((AI208*0.20+AJ208*0.15+AN208*0.18+AG208*0.12+Z208*0.15+AQ208*0.20),1)</x:f>
        <x:v>90.5</x:v>
      </x:c>
      <x:c r="AS208" s="39" t="n">
        <x:f>ROUND((AC208*AF208*120)+(AH208*350)+(MAX(0,AI208-75)*220)+(MAX(0,AQ208-60)*100),0)</x:f>
        <x:v>57782</x:v>
      </x:c>
    </x:row>
    <x:row r="209">
      <x:c r="A209" s="35" t="n">
        <x:v>208</x:v>
      </x:c>
      <x:c r="B209" s="35" t="n">
        <x:v>38</x:v>
      </x:c>
      <x:c r="C209" s="35" t="str">
        <x:v>Male</x:v>
      </x:c>
      <x:c r="D209" s="35" t="str">
        <x:v>Marketing</x:v>
      </x:c>
      <x:c r="E209" s="35" t="str">
        <x:v>Marketing Specialist</x:v>
      </x:c>
      <x:c r="F209" s="35" t="str">
        <x:v>Computer Science</x:v>
      </x:c>
      <x:c r="G209" s="35" t="str">
        <x:v>Married</x:v>
      </x:c>
      <x:c r="H209" s="35" t="n">
        <x:v>2</x:v>
      </x:c>
      <x:c r="I209" s="36" t="n">
        <x:v>6860</x:v>
      </x:c>
      <x:c r="J209" s="35" t="n">
        <x:v>9</x:v>
      </x:c>
      <x:c r="K209" s="35" t="n">
        <x:v>3</x:v>
      </x:c>
      <x:c r="L209" s="35" t="n">
        <x:v>1</x:v>
      </x:c>
      <x:c r="M209" s="35" t="n">
        <x:v>9</x:v>
      </x:c>
      <x:c r="N209" s="35" t="str">
        <x:v>No</x:v>
      </x:c>
      <x:c r="O209" s="35" t="n">
        <x:v>2</x:v>
      </x:c>
      <x:c r="P209" s="35" t="n">
        <x:v>2</x:v>
      </x:c>
      <x:c r="Q209" s="35" t="n">
        <x:v>4</x:v>
      </x:c>
      <x:c r="R209" s="35" t="n">
        <x:v>4</x:v>
      </x:c>
      <x:c r="S209" s="35" t="n">
        <x:v>3</x:v>
      </x:c>
      <x:c r="T209" s="35" t="n">
        <x:v>1</x:v>
      </x:c>
      <x:c r="U209" s="35" t="n">
        <x:v>0</x:v>
      </x:c>
      <x:c r="V209" s="35" t="n">
        <x:v>20</x:v>
      </x:c>
      <x:c r="W209" s="35" t="n">
        <x:v>0</x:v>
      </x:c>
      <x:c r="X209" s="35" t="n">
        <x:v>73</x:v>
      </x:c>
      <x:c r="Y209" s="35" t="n">
        <x:v>5</x:v>
      </x:c>
      <x:c r="Z209" s="35" t="n">
        <x:v>100</x:v>
      </x:c>
      <x:c r="AA209" s="35" t="n">
        <x:v>4</x:v>
      </x:c>
      <x:c r="AB209" s="35" t="n">
        <x:v>3</x:v>
      </x:c>
      <x:c r="AC209" s="35" t="n">
        <x:v>3</x:v>
      </x:c>
      <x:c r="AD209" s="35" t="n">
        <x:v>67</x:v>
      </x:c>
      <x:c r="AE209" s="35" t="n">
        <x:v>94</x:v>
      </x:c>
      <x:c r="AF209" s="35" t="n">
        <x:v>73</x:v>
      </x:c>
      <x:c r="AG209" s="35" t="n">
        <x:v>100</x:v>
      </x:c>
      <x:c r="AH209" s="35" t="n">
        <x:v>5</x:v>
      </x:c>
      <x:c r="AI209" s="37" t="n">
        <x:v>100</x:v>
      </x:c>
      <x:c r="AJ209" s="37" t="n">
        <x:v>100</x:v>
      </x:c>
      <x:c r="AK209" s="35" t="str">
        <x:v>No</x:v>
      </x:c>
      <x:c r="AL209" s="38" t="n">
        <x:f>IF(AA209=0,0,AB209/AA209)</x:f>
        <x:v>0.75</x:v>
      </x:c>
      <x:c r="AM209" s="38" t="n">
        <x:f>IF(AB209=0,0,AC209/AB209)</x:f>
        <x:v>1</x:v>
      </x:c>
      <x:c r="AN209" s="37" t="n">
        <x:f>ROUND((AD209*0.20+AE209*0.20+AF209*0.25+AG209*0.15+MIN(100,AC209*12)*0.20),1)</x:f>
        <x:v>72.7</x:v>
      </x:c>
      <x:c r="AO209" s="37" t="n">
        <x:f>ROUND(MAX(0,MIN(100,(X209*0.35)+(W209/45*100*0.20)+((5-O209)/4*100*0.15)+((5-P209)/4*100*0.10)+((6-Y209)/5*100*0.10)+((100-Z209)*0.10))),1)</x:f>
        <x:v>46.3</x:v>
      </x:c>
      <x:c r="AP209" s="37" t="str">
        <x:f>IF(AO209&gt;=70,"High",IF(AO209&gt;=40,"Moderate","Low"))</x:f>
        <x:v>Moderate</x:v>
      </x:c>
      <x:c r="AQ209" s="37" t="n">
        <x:f>ROUND(MAX(0,MIN(100,(O209/4*100*0.25)+(P209/4*100*0.20)+(Q209/4*100*0.15)+(Y209/5*100*0.20)+(100-AO209)*0.20)),1)</x:f>
        <x:v>68.2</x:v>
      </x:c>
      <x:c r="AR209" s="37" t="n">
        <x:f>ROUND((AI209*0.20+AJ209*0.15+AN209*0.18+AG209*0.12+Z209*0.15+AQ209*0.20),1)</x:f>
        <x:v>88.7</x:v>
      </x:c>
      <x:c r="AS209" s="39" t="n">
        <x:f>ROUND((AC209*AF209*120)+(AH209*350)+(MAX(0,AI209-75)*220)+(MAX(0,AQ209-60)*100),0)</x:f>
        <x:v>34350</x:v>
      </x:c>
    </x:row>
    <x:row r="210">
      <x:c r="A210" s="35" t="n">
        <x:v>209</x:v>
      </x:c>
      <x:c r="B210" s="35" t="n">
        <x:v>32</x:v>
      </x:c>
      <x:c r="C210" s="35" t="str">
        <x:v>Female</x:v>
      </x:c>
      <x:c r="D210" s="35" t="str">
        <x:v>Information Technology</x:v>
      </x:c>
      <x:c r="E210" s="35" t="str">
        <x:v>Software Engineer</x:v>
      </x:c>
      <x:c r="F210" s="35" t="str">
        <x:v>Life Sciences</x:v>
      </x:c>
      <x:c r="G210" s="35" t="str">
        <x:v>Divorced</x:v>
      </x:c>
      <x:c r="H210" s="35" t="n">
        <x:v>2</x:v>
      </x:c>
      <x:c r="I210" s="36" t="n">
        <x:v>6970</x:v>
      </x:c>
      <x:c r="J210" s="35" t="n">
        <x:v>10</x:v>
      </x:c>
      <x:c r="K210" s="35" t="n">
        <x:v>5</x:v>
      </x:c>
      <x:c r="L210" s="35" t="n">
        <x:v>2</x:v>
      </x:c>
      <x:c r="M210" s="35" t="n">
        <x:v>10</x:v>
      </x:c>
      <x:c r="N210" s="35" t="str">
        <x:v>No</x:v>
      </x:c>
      <x:c r="O210" s="35" t="n">
        <x:v>3</x:v>
      </x:c>
      <x:c r="P210" s="35" t="n">
        <x:v>3</x:v>
      </x:c>
      <x:c r="Q210" s="35" t="n">
        <x:v>4</x:v>
      </x:c>
      <x:c r="R210" s="35" t="n">
        <x:v>2</x:v>
      </x:c>
      <x:c r="S210" s="35" t="n">
        <x:v>3</x:v>
      </x:c>
      <x:c r="T210" s="35" t="n">
        <x:v>3</x:v>
      </x:c>
      <x:c r="U210" s="35" t="n">
        <x:v>1</x:v>
      </x:c>
      <x:c r="V210" s="35" t="n">
        <x:v>4</x:v>
      </x:c>
      <x:c r="W210" s="35" t="n">
        <x:v>12</x:v>
      </x:c>
      <x:c r="X210" s="35" t="n">
        <x:v>55</x:v>
      </x:c>
      <x:c r="Y210" s="35" t="n">
        <x:v>5</x:v>
      </x:c>
      <x:c r="Z210" s="35" t="n">
        <x:v>95</x:v>
      </x:c>
      <x:c r="AA210" s="35" t="n">
        <x:v>7</x:v>
      </x:c>
      <x:c r="AB210" s="35" t="n">
        <x:v>5</x:v>
      </x:c>
      <x:c r="AC210" s="35" t="n">
        <x:v>3</x:v>
      </x:c>
      <x:c r="AD210" s="35" t="n">
        <x:v>71</x:v>
      </x:c>
      <x:c r="AE210" s="35" t="n">
        <x:v>84</x:v>
      </x:c>
      <x:c r="AF210" s="35" t="n">
        <x:v>73</x:v>
      </x:c>
      <x:c r="AG210" s="35" t="n">
        <x:v>83</x:v>
      </x:c>
      <x:c r="AH210" s="35" t="n">
        <x:v>7</x:v>
      </x:c>
      <x:c r="AI210" s="37" t="n">
        <x:v>97.9</x:v>
      </x:c>
      <x:c r="AJ210" s="37" t="n">
        <x:v>95.1</x:v>
      </x:c>
      <x:c r="AK210" s="35" t="str">
        <x:v>Yes</x:v>
      </x:c>
      <x:c r="AL210" s="38" t="n">
        <x:f>IF(AA210=0,0,AB210/AA210)</x:f>
        <x:v>0.7142857142857143</x:v>
      </x:c>
      <x:c r="AM210" s="38" t="n">
        <x:f>IF(AB210=0,0,AC210/AB210)</x:f>
        <x:v>0.6</x:v>
      </x:c>
      <x:c r="AN210" s="37" t="n">
        <x:f>ROUND((AD210*0.20+AE210*0.20+AF210*0.25+AG210*0.15+MIN(100,AC210*12)*0.20),1)</x:f>
        <x:v>68.9</x:v>
      </x:c>
      <x:c r="AO210" s="37" t="n">
        <x:f>ROUND(MAX(0,MIN(100,(X210*0.35)+(W210/45*100*0.20)+((5-O210)/4*100*0.15)+((5-P210)/4*100*0.10)+((6-Y210)/5*100*0.10)+((100-Z210)*0.10))),1)</x:f>
        <x:v>39.6</x:v>
      </x:c>
      <x:c r="AP210" s="37" t="str">
        <x:f>IF(AO210&gt;=70,"High",IF(AO210&gt;=40,"Moderate","Low"))</x:f>
        <x:v>Low</x:v>
      </x:c>
      <x:c r="AQ210" s="37" t="n">
        <x:f>ROUND(MAX(0,MIN(100,(O210/4*100*0.25)+(P210/4*100*0.20)+(Q210/4*100*0.15)+(Y210/5*100*0.20)+(100-AO210)*0.20)),1)</x:f>
        <x:v>80.8</x:v>
      </x:c>
      <x:c r="AR210" s="37" t="n">
        <x:f>ROUND((AI210*0.20+AJ210*0.15+AN210*0.18+AG210*0.12+Z210*0.15+AQ210*0.20),1)</x:f>
        <x:v>86.6</x:v>
      </x:c>
      <x:c r="AS210" s="39" t="n">
        <x:f>ROUND((AC210*AF210*120)+(AH210*350)+(MAX(0,AI210-75)*220)+(MAX(0,AQ210-60)*100),0)</x:f>
        <x:v>35848</x:v>
      </x:c>
    </x:row>
    <x:row r="211">
      <x:c r="A211" s="35" t="n">
        <x:v>210</x:v>
      </x:c>
      <x:c r="B211" s="35" t="n">
        <x:v>42</x:v>
      </x:c>
      <x:c r="C211" s="35" t="str">
        <x:v>Male</x:v>
      </x:c>
      <x:c r="D211" s="35" t="str">
        <x:v>Research &amp; Development</x:v>
      </x:c>
      <x:c r="E211" s="35" t="str">
        <x:v>Research Scientist</x:v>
      </x:c>
      <x:c r="F211" s="35" t="str">
        <x:v>Medical</x:v>
      </x:c>
      <x:c r="G211" s="35" t="str">
        <x:v>Single</x:v>
      </x:c>
      <x:c r="H211" s="35" t="n">
        <x:v>2</x:v>
      </x:c>
      <x:c r="I211" s="36" t="n">
        <x:v>10020</x:v>
      </x:c>
      <x:c r="J211" s="35" t="n">
        <x:v>15</x:v>
      </x:c>
      <x:c r="K211" s="35" t="n">
        <x:v>8</x:v>
      </x:c>
      <x:c r="L211" s="35" t="n">
        <x:v>5</x:v>
      </x:c>
      <x:c r="M211" s="35" t="n">
        <x:v>11</x:v>
      </x:c>
      <x:c r="N211" s="35" t="str">
        <x:v>Yes</x:v>
      </x:c>
      <x:c r="O211" s="35" t="n">
        <x:v>3</x:v>
      </x:c>
      <x:c r="P211" s="35" t="n">
        <x:v>4</x:v>
      </x:c>
      <x:c r="Q211" s="35" t="n">
        <x:v>3</x:v>
      </x:c>
      <x:c r="R211" s="35" t="n">
        <x:v>4</x:v>
      </x:c>
      <x:c r="S211" s="35" t="n">
        <x:v>4</x:v>
      </x:c>
      <x:c r="T211" s="35" t="n">
        <x:v>5</x:v>
      </x:c>
      <x:c r="U211" s="35" t="n">
        <x:v>0</x:v>
      </x:c>
      <x:c r="V211" s="35" t="n">
        <x:v>1</x:v>
      </x:c>
      <x:c r="W211" s="35" t="n">
        <x:v>31</x:v>
      </x:c>
      <x:c r="X211" s="35" t="n">
        <x:v>66</x:v>
      </x:c>
      <x:c r="Y211" s="35" t="n">
        <x:v>5</x:v>
      </x:c>
      <x:c r="Z211" s="35" t="n">
        <x:v>100</x:v>
      </x:c>
      <x:c r="AA211" s="35" t="n">
        <x:v>8</x:v>
      </x:c>
      <x:c r="AB211" s="35" t="n">
        <x:v>6</x:v>
      </x:c>
      <x:c r="AC211" s="35" t="n">
        <x:v>6</x:v>
      </x:c>
      <x:c r="AD211" s="35" t="n">
        <x:v>84</x:v>
      </x:c>
      <x:c r="AE211" s="35" t="n">
        <x:v>91</x:v>
      </x:c>
      <x:c r="AF211" s="35" t="n">
        <x:v>100</x:v>
      </x:c>
      <x:c r="AG211" s="35" t="n">
        <x:v>90</x:v>
      </x:c>
      <x:c r="AH211" s="35" t="n">
        <x:v>12</x:v>
      </x:c>
      <x:c r="AI211" s="37" t="n">
        <x:v>100</x:v>
      </x:c>
      <x:c r="AJ211" s="37" t="n">
        <x:v>97.6</x:v>
      </x:c>
      <x:c r="AK211" s="35" t="str">
        <x:v>No</x:v>
      </x:c>
      <x:c r="AL211" s="38" t="n">
        <x:f>IF(AA211=0,0,AB211/AA211)</x:f>
        <x:v>0.75</x:v>
      </x:c>
      <x:c r="AM211" s="38" t="n">
        <x:f>IF(AB211=0,0,AC211/AB211)</x:f>
        <x:v>1</x:v>
      </x:c>
      <x:c r="AN211" s="37" t="n">
        <x:f>ROUND((AD211*0.20+AE211*0.20+AF211*0.25+AG211*0.15+MIN(100,AC211*12)*0.20),1)</x:f>
        <x:v>87.9</x:v>
      </x:c>
      <x:c r="AO211" s="37" t="n">
        <x:f>ROUND(MAX(0,MIN(100,(X211*0.35)+(W211/45*100*0.20)+((5-O211)/4*100*0.15)+((5-P211)/4*100*0.10)+((6-Y211)/5*100*0.10)+((100-Z211)*0.10))),1)</x:f>
        <x:v>48.9</x:v>
      </x:c>
      <x:c r="AP211" s="37" t="str">
        <x:f>IF(AO211&gt;=70,"High",IF(AO211&gt;=40,"Moderate","Low"))</x:f>
        <x:v>Moderate</x:v>
      </x:c>
      <x:c r="AQ211" s="37" t="n">
        <x:f>ROUND(MAX(0,MIN(100,(O211/4*100*0.25)+(P211/4*100*0.20)+(Q211/4*100*0.15)+(Y211/5*100*0.20)+(100-AO211)*0.20)),1)</x:f>
        <x:v>80.2</x:v>
      </x:c>
      <x:c r="AR211" s="37" t="n">
        <x:f>ROUND((AI211*0.20+AJ211*0.15+AN211*0.18+AG211*0.12+Z211*0.15+AQ211*0.20),1)</x:f>
        <x:v>92.3</x:v>
      </x:c>
      <x:c r="AS211" s="39" t="n">
        <x:f>ROUND((AC211*AF211*120)+(AH211*350)+(MAX(0,AI211-75)*220)+(MAX(0,AQ211-60)*100),0)</x:f>
        <x:v>83720</x:v>
      </x:c>
    </x:row>
    <x:row r="212">
      <x:c r="A212" s="35" t="n">
        <x:v>211</x:v>
      </x:c>
      <x:c r="B212" s="35" t="n">
        <x:v>43</x:v>
      </x:c>
      <x:c r="C212" s="35" t="str">
        <x:v>Male</x:v>
      </x:c>
      <x:c r="D212" s="35" t="str">
        <x:v>Sales</x:v>
      </x:c>
      <x:c r="E212" s="35" t="str">
        <x:v>Account Manager</x:v>
      </x:c>
      <x:c r="F212" s="35" t="str">
        <x:v>Computer Science</x:v>
      </x:c>
      <x:c r="G212" s="35" t="str">
        <x:v>Married</x:v>
      </x:c>
      <x:c r="H212" s="35" t="n">
        <x:v>4</x:v>
      </x:c>
      <x:c r="I212" s="36" t="n">
        <x:v>23190</x:v>
      </x:c>
      <x:c r="J212" s="35" t="n">
        <x:v>18</x:v>
      </x:c>
      <x:c r="K212" s="35" t="n">
        <x:v>11</x:v>
      </x:c>
      <x:c r="L212" s="35" t="n">
        <x:v>6</x:v>
      </x:c>
      <x:c r="M212" s="35" t="n">
        <x:v>8</x:v>
      </x:c>
      <x:c r="N212" s="35" t="str">
        <x:v>No</x:v>
      </x:c>
      <x:c r="O212" s="35" t="n">
        <x:v>2</x:v>
      </x:c>
      <x:c r="P212" s="35" t="n">
        <x:v>2</x:v>
      </x:c>
      <x:c r="Q212" s="35" t="n">
        <x:v>4</x:v>
      </x:c>
      <x:c r="R212" s="35" t="n">
        <x:v>2</x:v>
      </x:c>
      <x:c r="S212" s="35" t="n">
        <x:v>3</x:v>
      </x:c>
      <x:c r="T212" s="35" t="n">
        <x:v>1</x:v>
      </x:c>
      <x:c r="U212" s="35" t="n">
        <x:v>0</x:v>
      </x:c>
      <x:c r="V212" s="35" t="n">
        <x:v>0</x:v>
      </x:c>
      <x:c r="W212" s="35" t="n">
        <x:v>1</x:v>
      </x:c>
      <x:c r="X212" s="35" t="n">
        <x:v>45</x:v>
      </x:c>
      <x:c r="Y212" s="35" t="n">
        <x:v>5</x:v>
      </x:c>
      <x:c r="Z212" s="35" t="n">
        <x:v>93</x:v>
      </x:c>
      <x:c r="AA212" s="35" t="n">
        <x:v>4</x:v>
      </x:c>
      <x:c r="AB212" s="35" t="n">
        <x:v>3</x:v>
      </x:c>
      <x:c r="AC212" s="35" t="n">
        <x:v>3</x:v>
      </x:c>
      <x:c r="AD212" s="35" t="n">
        <x:v>69</x:v>
      </x:c>
      <x:c r="AE212" s="35" t="n">
        <x:v>72</x:v>
      </x:c>
      <x:c r="AF212" s="35" t="n">
        <x:v>74</x:v>
      </x:c>
      <x:c r="AG212" s="35" t="n">
        <x:v>72</x:v>
      </x:c>
      <x:c r="AH212" s="35" t="n">
        <x:v>7</x:v>
      </x:c>
      <x:c r="AI212" s="37" t="n">
        <x:v>93.6</x:v>
      </x:c>
      <x:c r="AJ212" s="37" t="n">
        <x:v>93.5</x:v>
      </x:c>
      <x:c r="AK212" s="35" t="str">
        <x:v>Yes</x:v>
      </x:c>
      <x:c r="AL212" s="38" t="n">
        <x:f>IF(AA212=0,0,AB212/AA212)</x:f>
        <x:v>0.75</x:v>
      </x:c>
      <x:c r="AM212" s="38" t="n">
        <x:f>IF(AB212=0,0,AC212/AB212)</x:f>
        <x:v>1</x:v>
      </x:c>
      <x:c r="AN212" s="37" t="n">
        <x:f>ROUND((AD212*0.20+AE212*0.20+AF212*0.25+AG212*0.15+MIN(100,AC212*12)*0.20),1)</x:f>
        <x:v>64.7</x:v>
      </x:c>
      <x:c r="AO212" s="37" t="n">
        <x:f>ROUND(MAX(0,MIN(100,(X212*0.35)+(W212/45*100*0.20)+((5-O212)/4*100*0.15)+((5-P212)/4*100*0.10)+((6-Y212)/5*100*0.10)+((100-Z212)*0.10))),1)</x:f>
        <x:v>37.6</x:v>
      </x:c>
      <x:c r="AP212" s="37" t="str">
        <x:f>IF(AO212&gt;=70,"High",IF(AO212&gt;=40,"Moderate","Low"))</x:f>
        <x:v>Low</x:v>
      </x:c>
      <x:c r="AQ212" s="37" t="n">
        <x:f>ROUND(MAX(0,MIN(100,(O212/4*100*0.25)+(P212/4*100*0.20)+(Q212/4*100*0.15)+(Y212/5*100*0.20)+(100-AO212)*0.20)),1)</x:f>
        <x:v>70</x:v>
      </x:c>
      <x:c r="AR212" s="37" t="n">
        <x:f>ROUND((AI212*0.20+AJ212*0.15+AN212*0.18+AG212*0.12+Z212*0.15+AQ212*0.20),1)</x:f>
        <x:v>81</x:v>
      </x:c>
      <x:c r="AS212" s="39" t="n">
        <x:f>ROUND((AC212*AF212*120)+(AH212*350)+(MAX(0,AI212-75)*220)+(MAX(0,AQ212-60)*100),0)</x:f>
        <x:v>34182</x:v>
      </x:c>
    </x:row>
    <x:row r="213">
      <x:c r="A213" s="35" t="n">
        <x:v>212</x:v>
      </x:c>
      <x:c r="B213" s="35" t="n">
        <x:v>50</x:v>
      </x:c>
      <x:c r="C213" s="35" t="str">
        <x:v>Male</x:v>
      </x:c>
      <x:c r="D213" s="35" t="str">
        <x:v>Sales</x:v>
      </x:c>
      <x:c r="E213" s="35" t="str">
        <x:v>Account Manager</x:v>
      </x:c>
      <x:c r="F213" s="35" t="str">
        <x:v>Medical</x:v>
      </x:c>
      <x:c r="G213" s="35" t="str">
        <x:v>Married</x:v>
      </x:c>
      <x:c r="H213" s="35" t="n">
        <x:v>4</x:v>
      </x:c>
      <x:c r="I213" s="36" t="n">
        <x:v>23070</x:v>
      </x:c>
      <x:c r="J213" s="35" t="n">
        <x:v>20</x:v>
      </x:c>
      <x:c r="K213" s="35" t="n">
        <x:v>9</x:v>
      </x:c>
      <x:c r="L213" s="35" t="n">
        <x:v>3</x:v>
      </x:c>
      <x:c r="M213" s="35" t="n">
        <x:v>9</x:v>
      </x:c>
      <x:c r="N213" s="35" t="str">
        <x:v>Yes</x:v>
      </x:c>
      <x:c r="O213" s="35" t="n">
        <x:v>3</x:v>
      </x:c>
      <x:c r="P213" s="35" t="n">
        <x:v>2</x:v>
      </x:c>
      <x:c r="Q213" s="35" t="n">
        <x:v>2</x:v>
      </x:c>
      <x:c r="R213" s="35" t="n">
        <x:v>1</x:v>
      </x:c>
      <x:c r="S213" s="35" t="n">
        <x:v>3</x:v>
      </x:c>
      <x:c r="T213" s="35" t="n">
        <x:v>6</x:v>
      </x:c>
      <x:c r="U213" s="35" t="n">
        <x:v>3</x:v>
      </x:c>
      <x:c r="V213" s="35" t="n">
        <x:v>6</x:v>
      </x:c>
      <x:c r="W213" s="35" t="n">
        <x:v>15</x:v>
      </x:c>
      <x:c r="X213" s="35" t="n">
        <x:v>80</x:v>
      </x:c>
      <x:c r="Y213" s="35" t="n">
        <x:v>4</x:v>
      </x:c>
      <x:c r="Z213" s="35" t="n">
        <x:v>75</x:v>
      </x:c>
      <x:c r="AA213" s="35" t="n">
        <x:v>3</x:v>
      </x:c>
      <x:c r="AB213" s="35" t="n">
        <x:v>2</x:v>
      </x:c>
      <x:c r="AC213" s="35" t="n">
        <x:v>2</x:v>
      </x:c>
      <x:c r="AD213" s="35" t="n">
        <x:v>63</x:v>
      </x:c>
      <x:c r="AE213" s="35" t="n">
        <x:v>63</x:v>
      </x:c>
      <x:c r="AF213" s="35" t="n">
        <x:v>97</x:v>
      </x:c>
      <x:c r="AG213" s="35" t="n">
        <x:v>68</x:v>
      </x:c>
      <x:c r="AH213" s="35" t="n">
        <x:v>5</x:v>
      </x:c>
      <x:c r="AI213" s="37" t="n">
        <x:v>96.3</x:v>
      </x:c>
      <x:c r="AJ213" s="37" t="n">
        <x:v>87.8</x:v>
      </x:c>
      <x:c r="AK213" s="35" t="str">
        <x:v>Yes</x:v>
      </x:c>
      <x:c r="AL213" s="38" t="n">
        <x:f>IF(AA213=0,0,AB213/AA213)</x:f>
        <x:v>0.6666666666666666</x:v>
      </x:c>
      <x:c r="AM213" s="38" t="n">
        <x:f>IF(AB213=0,0,AC213/AB213)</x:f>
        <x:v>1</x:v>
      </x:c>
      <x:c r="AN213" s="37" t="n">
        <x:f>ROUND((AD213*0.20+AE213*0.20+AF213*0.25+AG213*0.15+MIN(100,AC213*12)*0.20),1)</x:f>
        <x:v>64.5</x:v>
      </x:c>
      <x:c r="AO213" s="37" t="n">
        <x:f>ROUND(MAX(0,MIN(100,(X213*0.35)+(W213/45*100*0.20)+((5-O213)/4*100*0.15)+((5-P213)/4*100*0.10)+((6-Y213)/5*100*0.10)+((100-Z213)*0.10))),1)</x:f>
        <x:v>56.2</x:v>
      </x:c>
      <x:c r="AP213" s="37" t="str">
        <x:f>IF(AO213&gt;=70,"High",IF(AO213&gt;=40,"Moderate","Low"))</x:f>
        <x:v>Moderate</x:v>
      </x:c>
      <x:c r="AQ213" s="37" t="n">
        <x:f>ROUND(MAX(0,MIN(100,(O213/4*100*0.25)+(P213/4*100*0.20)+(Q213/4*100*0.15)+(Y213/5*100*0.20)+(100-AO213)*0.20)),1)</x:f>
        <x:v>61</x:v>
      </x:c>
      <x:c r="AR213" s="37" t="n">
        <x:f>ROUND((AI213*0.20+AJ213*0.15+AN213*0.18+AG213*0.12+Z213*0.15+AQ213*0.20),1)</x:f>
        <x:v>75.7</x:v>
      </x:c>
      <x:c r="AS213" s="39" t="n">
        <x:f>ROUND((AC213*AF213*120)+(AH213*350)+(MAX(0,AI213-75)*220)+(MAX(0,AQ213-60)*100),0)</x:f>
        <x:v>29816</x:v>
      </x:c>
    </x:row>
    <x:row r="214">
      <x:c r="A214" s="35" t="n">
        <x:v>213</x:v>
      </x:c>
      <x:c r="B214" s="35" t="n">
        <x:v>41</x:v>
      </x:c>
      <x:c r="C214" s="35" t="str">
        <x:v>Female</x:v>
      </x:c>
      <x:c r="D214" s="35" t="str">
        <x:v>Research &amp; Development</x:v>
      </x:c>
      <x:c r="E214" s="35" t="str">
        <x:v>Laboratory Technician</x:v>
      </x:c>
      <x:c r="F214" s="35" t="str">
        <x:v>Medical</x:v>
      </x:c>
      <x:c r="G214" s="35" t="str">
        <x:v>Married</x:v>
      </x:c>
      <x:c r="H214" s="35" t="n">
        <x:v>3</x:v>
      </x:c>
      <x:c r="I214" s="36" t="n">
        <x:v>15640</x:v>
      </x:c>
      <x:c r="J214" s="35" t="n">
        <x:v>12</x:v>
      </x:c>
      <x:c r="K214" s="35" t="n">
        <x:v>5</x:v>
      </x:c>
      <x:c r="L214" s="35" t="n">
        <x:v>1</x:v>
      </x:c>
      <x:c r="M214" s="35" t="n">
        <x:v>11</x:v>
      </x:c>
      <x:c r="N214" s="35" t="str">
        <x:v>No</x:v>
      </x:c>
      <x:c r="O214" s="35" t="n">
        <x:v>2</x:v>
      </x:c>
      <x:c r="P214" s="35" t="n">
        <x:v>3</x:v>
      </x:c>
      <x:c r="Q214" s="35" t="n">
        <x:v>3</x:v>
      </x:c>
      <x:c r="R214" s="35" t="n">
        <x:v>3</x:v>
      </x:c>
      <x:c r="S214" s="35" t="n">
        <x:v>3</x:v>
      </x:c>
      <x:c r="T214" s="35" t="n">
        <x:v>4</x:v>
      </x:c>
      <x:c r="U214" s="35" t="n">
        <x:v>2</x:v>
      </x:c>
      <x:c r="V214" s="35" t="n">
        <x:v>10</x:v>
      </x:c>
      <x:c r="W214" s="35" t="n">
        <x:v>0</x:v>
      </x:c>
      <x:c r="X214" s="35" t="n">
        <x:v>43</x:v>
      </x:c>
      <x:c r="Y214" s="35" t="n">
        <x:v>5</x:v>
      </x:c>
      <x:c r="Z214" s="35" t="n">
        <x:v>100</x:v>
      </x:c>
      <x:c r="AA214" s="35" t="n">
        <x:v>3</x:v>
      </x:c>
      <x:c r="AB214" s="35" t="n">
        <x:v>2</x:v>
      </x:c>
      <x:c r="AC214" s="35" t="n">
        <x:v>1</x:v>
      </x:c>
      <x:c r="AD214" s="35" t="n">
        <x:v>91</x:v>
      </x:c>
      <x:c r="AE214" s="35" t="n">
        <x:v>82</x:v>
      </x:c>
      <x:c r="AF214" s="35" t="n">
        <x:v>82</x:v>
      </x:c>
      <x:c r="AG214" s="35" t="n">
        <x:v>72</x:v>
      </x:c>
      <x:c r="AH214" s="35" t="n">
        <x:v>6</x:v>
      </x:c>
      <x:c r="AI214" s="37" t="n">
        <x:v>97.8</x:v>
      </x:c>
      <x:c r="AJ214" s="37" t="n">
        <x:v>100</x:v>
      </x:c>
      <x:c r="AK214" s="35" t="str">
        <x:v>No</x:v>
      </x:c>
      <x:c r="AL214" s="38" t="n">
        <x:f>IF(AA214=0,0,AB214/AA214)</x:f>
        <x:v>0.6666666666666666</x:v>
      </x:c>
      <x:c r="AM214" s="38" t="n">
        <x:f>IF(AB214=0,0,AC214/AB214)</x:f>
        <x:v>0.5</x:v>
      </x:c>
      <x:c r="AN214" s="37" t="n">
        <x:f>ROUND((AD214*0.20+AE214*0.20+AF214*0.25+AG214*0.15+MIN(100,AC214*12)*0.20),1)</x:f>
        <x:v>68.3</x:v>
      </x:c>
      <x:c r="AO214" s="37" t="n">
        <x:f>ROUND(MAX(0,MIN(100,(X214*0.35)+(W214/45*100*0.20)+((5-O214)/4*100*0.15)+((5-P214)/4*100*0.10)+((6-Y214)/5*100*0.10)+((100-Z214)*0.10))),1)</x:f>
        <x:v>33.3</x:v>
      </x:c>
      <x:c r="AP214" s="37" t="str">
        <x:f>IF(AO214&gt;=70,"High",IF(AO214&gt;=40,"Moderate","Low"))</x:f>
        <x:v>Low</x:v>
      </x:c>
      <x:c r="AQ214" s="37" t="n">
        <x:f>ROUND(MAX(0,MIN(100,(O214/4*100*0.25)+(P214/4*100*0.20)+(Q214/4*100*0.15)+(Y214/5*100*0.20)+(100-AO214)*0.20)),1)</x:f>
        <x:v>72.1</x:v>
      </x:c>
      <x:c r="AR214" s="37" t="n">
        <x:f>ROUND((AI214*0.20+AJ214*0.15+AN214*0.18+AG214*0.12+Z214*0.15+AQ214*0.20),1)</x:f>
        <x:v>84.9</x:v>
      </x:c>
      <x:c r="AS214" s="39" t="n">
        <x:f>ROUND((AC214*AF214*120)+(AH214*350)+(MAX(0,AI214-75)*220)+(MAX(0,AQ214-60)*100),0)</x:f>
        <x:v>18166</x:v>
      </x:c>
    </x:row>
    <x:row r="215">
      <x:c r="A215" s="35" t="n">
        <x:v>214</x:v>
      </x:c>
      <x:c r="B215" s="35" t="n">
        <x:v>38</x:v>
      </x:c>
      <x:c r="C215" s="35" t="str">
        <x:v>Male</x:v>
      </x:c>
      <x:c r="D215" s="35" t="str">
        <x:v>Research &amp; Development</x:v>
      </x:c>
      <x:c r="E215" s="35" t="str">
        <x:v>Laboratory Technician</x:v>
      </x:c>
      <x:c r="F215" s="35" t="str">
        <x:v>Computer Science</x:v>
      </x:c>
      <x:c r="G215" s="35" t="str">
        <x:v>Single</x:v>
      </x:c>
      <x:c r="H215" s="35" t="n">
        <x:v>3</x:v>
      </x:c>
      <x:c r="I215" s="36" t="n">
        <x:v>14280</x:v>
      </x:c>
      <x:c r="J215" s="35" t="n">
        <x:v>10</x:v>
      </x:c>
      <x:c r="K215" s="35" t="n">
        <x:v>3</x:v>
      </x:c>
      <x:c r="L215" s="35" t="n">
        <x:v>2</x:v>
      </x:c>
      <x:c r="M215" s="35" t="n">
        <x:v>2</x:v>
      </x:c>
      <x:c r="N215" s="35" t="str">
        <x:v>Yes</x:v>
      </x:c>
      <x:c r="O215" s="35" t="n">
        <x:v>2</x:v>
      </x:c>
      <x:c r="P215" s="35" t="n">
        <x:v>3</x:v>
      </x:c>
      <x:c r="Q215" s="35" t="n">
        <x:v>2</x:v>
      </x:c>
      <x:c r="R215" s="35" t="n">
        <x:v>4</x:v>
      </x:c>
      <x:c r="S215" s="35" t="n">
        <x:v>4</x:v>
      </x:c>
      <x:c r="T215" s="35" t="n">
        <x:v>3</x:v>
      </x:c>
      <x:c r="U215" s="35" t="n">
        <x:v>2</x:v>
      </x:c>
      <x:c r="V215" s="35" t="n">
        <x:v>7</x:v>
      </x:c>
      <x:c r="W215" s="35" t="n">
        <x:v>23</x:v>
      </x:c>
      <x:c r="X215" s="35" t="n">
        <x:v>80</x:v>
      </x:c>
      <x:c r="Y215" s="35" t="n">
        <x:v>4</x:v>
      </x:c>
      <x:c r="Z215" s="35" t="n">
        <x:v>100</x:v>
      </x:c>
      <x:c r="AA215" s="35" t="n">
        <x:v>2</x:v>
      </x:c>
      <x:c r="AB215" s="35" t="n">
        <x:v>2</x:v>
      </x:c>
      <x:c r="AC215" s="35" t="n">
        <x:v>2</x:v>
      </x:c>
      <x:c r="AD215" s="35" t="n">
        <x:v>61</x:v>
      </x:c>
      <x:c r="AE215" s="35" t="n">
        <x:v>73</x:v>
      </x:c>
      <x:c r="AF215" s="35" t="n">
        <x:v>72</x:v>
      </x:c>
      <x:c r="AG215" s="35" t="n">
        <x:v>100</x:v>
      </x:c>
      <x:c r="AH215" s="35" t="n">
        <x:v>10</x:v>
      </x:c>
      <x:c r="AI215" s="37" t="n">
        <x:v>100</x:v>
      </x:c>
      <x:c r="AJ215" s="37" t="n">
        <x:v>94.7</x:v>
      </x:c>
      <x:c r="AK215" s="35" t="str">
        <x:v>Yes</x:v>
      </x:c>
      <x:c r="AL215" s="38" t="n">
        <x:f>IF(AA215=0,0,AB215/AA215)</x:f>
        <x:v>1</x:v>
      </x:c>
      <x:c r="AM215" s="38" t="n">
        <x:f>IF(AB215=0,0,AC215/AB215)</x:f>
        <x:v>1</x:v>
      </x:c>
      <x:c r="AN215" s="37" t="n">
        <x:f>ROUND((AD215*0.20+AE215*0.20+AF215*0.25+AG215*0.15+MIN(100,AC215*12)*0.20),1)</x:f>
        <x:v>64.6</x:v>
      </x:c>
      <x:c r="AO215" s="37" t="n">
        <x:f>ROUND(MAX(0,MIN(100,(X215*0.35)+(W215/45*100*0.20)+((5-O215)/4*100*0.15)+((5-P215)/4*100*0.10)+((6-Y215)/5*100*0.10)+((100-Z215)*0.10))),1)</x:f>
        <x:v>58.5</x:v>
      </x:c>
      <x:c r="AP215" s="37" t="str">
        <x:f>IF(AO215&gt;=70,"High",IF(AO215&gt;=40,"Moderate","Low"))</x:f>
        <x:v>Moderate</x:v>
      </x:c>
      <x:c r="AQ215" s="37" t="n">
        <x:f>ROUND(MAX(0,MIN(100,(O215/4*100*0.25)+(P215/4*100*0.20)+(Q215/4*100*0.15)+(Y215/5*100*0.20)+(100-AO215)*0.20)),1)</x:f>
        <x:v>59.3</x:v>
      </x:c>
      <x:c r="AR215" s="37" t="n">
        <x:f>ROUND((AI215*0.20+AJ215*0.15+AN215*0.18+AG215*0.12+Z215*0.15+AQ215*0.20),1)</x:f>
        <x:v>84.7</x:v>
      </x:c>
      <x:c r="AS215" s="39" t="n">
        <x:f>ROUND((AC215*AF215*120)+(AH215*350)+(MAX(0,AI215-75)*220)+(MAX(0,AQ215-60)*100),0)</x:f>
        <x:v>26280</x:v>
      </x:c>
    </x:row>
    <x:row r="216">
      <x:c r="A216" s="35" t="n">
        <x:v>215</x:v>
      </x:c>
      <x:c r="B216" s="35" t="n">
        <x:v>40</x:v>
      </x:c>
      <x:c r="C216" s="35" t="str">
        <x:v>Male</x:v>
      </x:c>
      <x:c r="D216" s="35" t="str">
        <x:v>Research &amp; Development</x:v>
      </x:c>
      <x:c r="E216" s="35" t="str">
        <x:v>Data Scientist</x:v>
      </x:c>
      <x:c r="F216" s="35" t="str">
        <x:v>Medical</x:v>
      </x:c>
      <x:c r="G216" s="35" t="str">
        <x:v>Single</x:v>
      </x:c>
      <x:c r="H216" s="35" t="n">
        <x:v>4</x:v>
      </x:c>
      <x:c r="I216" s="36" t="n">
        <x:v>21330</x:v>
      </x:c>
      <x:c r="J216" s="35" t="n">
        <x:v>12</x:v>
      </x:c>
      <x:c r="K216" s="35" t="n">
        <x:v>3</x:v>
      </x:c>
      <x:c r="L216" s="35" t="n">
        <x:v>1</x:v>
      </x:c>
      <x:c r="M216" s="35" t="n">
        <x:v>4</x:v>
      </x:c>
      <x:c r="N216" s="35" t="str">
        <x:v>No</x:v>
      </x:c>
      <x:c r="O216" s="35" t="n">
        <x:v>4</x:v>
      </x:c>
      <x:c r="P216" s="35" t="n">
        <x:v>3</x:v>
      </x:c>
      <x:c r="Q216" s="35" t="n">
        <x:v>3</x:v>
      </x:c>
      <x:c r="R216" s="35" t="n">
        <x:v>3</x:v>
      </x:c>
      <x:c r="S216" s="35" t="n">
        <x:v>3</x:v>
      </x:c>
      <x:c r="T216" s="35" t="n">
        <x:v>5</x:v>
      </x:c>
      <x:c r="U216" s="35" t="n">
        <x:v>1</x:v>
      </x:c>
      <x:c r="V216" s="35" t="n">
        <x:v>3</x:v>
      </x:c>
      <x:c r="W216" s="35" t="n">
        <x:v>13</x:v>
      </x:c>
      <x:c r="X216" s="35" t="n">
        <x:v>64</x:v>
      </x:c>
      <x:c r="Y216" s="35" t="n">
        <x:v>5</x:v>
      </x:c>
      <x:c r="Z216" s="35" t="n">
        <x:v>99</x:v>
      </x:c>
      <x:c r="AA216" s="35" t="n">
        <x:v>4</x:v>
      </x:c>
      <x:c r="AB216" s="35" t="n">
        <x:v>4</x:v>
      </x:c>
      <x:c r="AC216" s="35" t="n">
        <x:v>3</x:v>
      </x:c>
      <x:c r="AD216" s="35" t="n">
        <x:v>68</x:v>
      </x:c>
      <x:c r="AE216" s="35" t="n">
        <x:v>98</x:v>
      </x:c>
      <x:c r="AF216" s="35" t="n">
        <x:v>100</x:v>
      </x:c>
      <x:c r="AG216" s="35" t="n">
        <x:v>96</x:v>
      </x:c>
      <x:c r="AH216" s="35" t="n">
        <x:v>8</x:v>
      </x:c>
      <x:c r="AI216" s="37" t="n">
        <x:v>100</x:v>
      </x:c>
      <x:c r="AJ216" s="37" t="n">
        <x:v>97.1</x:v>
      </x:c>
      <x:c r="AK216" s="35" t="str">
        <x:v>No</x:v>
      </x:c>
      <x:c r="AL216" s="38" t="n">
        <x:f>IF(AA216=0,0,AB216/AA216)</x:f>
        <x:v>1</x:v>
      </x:c>
      <x:c r="AM216" s="38" t="n">
        <x:f>IF(AB216=0,0,AC216/AB216)</x:f>
        <x:v>0.75</x:v>
      </x:c>
      <x:c r="AN216" s="37" t="n">
        <x:f>ROUND((AD216*0.20+AE216*0.20+AF216*0.25+AG216*0.15+MIN(100,AC216*12)*0.20),1)</x:f>
        <x:v>79.8</x:v>
      </x:c>
      <x:c r="AO216" s="37" t="n">
        <x:f>ROUND(MAX(0,MIN(100,(X216*0.35)+(W216/45*100*0.20)+((5-O216)/4*100*0.15)+((5-P216)/4*100*0.10)+((6-Y216)/5*100*0.10)+((100-Z216)*0.10))),1)</x:f>
        <x:v>39</x:v>
      </x:c>
      <x:c r="AP216" s="37" t="str">
        <x:f>IF(AO216&gt;=70,"High",IF(AO216&gt;=40,"Moderate","Low"))</x:f>
        <x:v>Low</x:v>
      </x:c>
      <x:c r="AQ216" s="37" t="n">
        <x:f>ROUND(MAX(0,MIN(100,(O216/4*100*0.25)+(P216/4*100*0.20)+(Q216/4*100*0.15)+(Y216/5*100*0.20)+(100-AO216)*0.20)),1)</x:f>
        <x:v>83.5</x:v>
      </x:c>
      <x:c r="AR216" s="37" t="n">
        <x:f>ROUND((AI216*0.20+AJ216*0.15+AN216*0.18+AG216*0.12+Z216*0.15+AQ216*0.20),1)</x:f>
        <x:v>92</x:v>
      </x:c>
      <x:c r="AS216" s="39" t="n">
        <x:f>ROUND((AC216*AF216*120)+(AH216*350)+(MAX(0,AI216-75)*220)+(MAX(0,AQ216-60)*100),0)</x:f>
        <x:v>46650</x:v>
      </x:c>
    </x:row>
    <x:row r="217">
      <x:c r="A217" s="35" t="n">
        <x:v>216</x:v>
      </x:c>
      <x:c r="B217" s="35" t="n">
        <x:v>26</x:v>
      </x:c>
      <x:c r="C217" s="35" t="str">
        <x:v>Female</x:v>
      </x:c>
      <x:c r="D217" s="35" t="str">
        <x:v>Information Technology</x:v>
      </x:c>
      <x:c r="E217" s="35" t="str">
        <x:v>IT Support</x:v>
      </x:c>
      <x:c r="F217" s="35" t="str">
        <x:v>Life Sciences</x:v>
      </x:c>
      <x:c r="G217" s="35" t="str">
        <x:v>Single</x:v>
      </x:c>
      <x:c r="H217" s="35" t="n">
        <x:v>1</x:v>
      </x:c>
      <x:c r="I217" s="36" t="n">
        <x:v>5350</x:v>
      </x:c>
      <x:c r="J217" s="35" t="n">
        <x:v>3</x:v>
      </x:c>
      <x:c r="K217" s="35" t="n">
        <x:v>1</x:v>
      </x:c>
      <x:c r="L217" s="35" t="n">
        <x:v>1</x:v>
      </x:c>
      <x:c r="M217" s="35" t="n">
        <x:v>8</x:v>
      </x:c>
      <x:c r="N217" s="35" t="str">
        <x:v>No</x:v>
      </x:c>
      <x:c r="O217" s="35" t="n">
        <x:v>3</x:v>
      </x:c>
      <x:c r="P217" s="35" t="n">
        <x:v>2</x:v>
      </x:c>
      <x:c r="Q217" s="35" t="n">
        <x:v>2</x:v>
      </x:c>
      <x:c r="R217" s="35" t="n">
        <x:v>2</x:v>
      </x:c>
      <x:c r="S217" s="35" t="n">
        <x:v>3</x:v>
      </x:c>
      <x:c r="T217" s="35" t="n">
        <x:v>6</x:v>
      </x:c>
      <x:c r="U217" s="35" t="n">
        <x:v>2</x:v>
      </x:c>
      <x:c r="V217" s="35" t="n">
        <x:v>8</x:v>
      </x:c>
      <x:c r="W217" s="35" t="n">
        <x:v>4</x:v>
      </x:c>
      <x:c r="X217" s="35" t="n">
        <x:v>81</x:v>
      </x:c>
      <x:c r="Y217" s="35" t="n">
        <x:v>3</x:v>
      </x:c>
      <x:c r="Z217" s="35" t="n">
        <x:v>71</x:v>
      </x:c>
      <x:c r="AA217" s="35" t="n">
        <x:v>7</x:v>
      </x:c>
      <x:c r="AB217" s="35" t="n">
        <x:v>5</x:v>
      </x:c>
      <x:c r="AC217" s="35" t="n">
        <x:v>5</x:v>
      </x:c>
      <x:c r="AD217" s="35" t="n">
        <x:v>87</x:v>
      </x:c>
      <x:c r="AE217" s="35" t="n">
        <x:v>90</x:v>
      </x:c>
      <x:c r="AF217" s="35" t="n">
        <x:v>84</x:v>
      </x:c>
      <x:c r="AG217" s="35" t="n">
        <x:v>72</x:v>
      </x:c>
      <x:c r="AH217" s="35" t="n">
        <x:v>7</x:v>
      </x:c>
      <x:c r="AI217" s="37" t="n">
        <x:v>100</x:v>
      </x:c>
      <x:c r="AJ217" s="37" t="n">
        <x:v>83.1</x:v>
      </x:c>
      <x:c r="AK217" s="35" t="str">
        <x:v>No</x:v>
      </x:c>
      <x:c r="AL217" s="38" t="n">
        <x:f>IF(AA217=0,0,AB217/AA217)</x:f>
        <x:v>0.7142857142857143</x:v>
      </x:c>
      <x:c r="AM217" s="38" t="n">
        <x:f>IF(AB217=0,0,AC217/AB217)</x:f>
        <x:v>1</x:v>
      </x:c>
      <x:c r="AN217" s="37" t="n">
        <x:f>ROUND((AD217*0.20+AE217*0.20+AF217*0.25+AG217*0.15+MIN(100,AC217*12)*0.20),1)</x:f>
        <x:v>79.2</x:v>
      </x:c>
      <x:c r="AO217" s="37" t="n">
        <x:f>ROUND(MAX(0,MIN(100,(X217*0.35)+(W217/45*100*0.20)+((5-O217)/4*100*0.15)+((5-P217)/4*100*0.10)+((6-Y217)/5*100*0.10)+((100-Z217)*0.10))),1)</x:f>
        <x:v>54</x:v>
      </x:c>
      <x:c r="AP217" s="37" t="str">
        <x:f>IF(AO217&gt;=70,"High",IF(AO217&gt;=40,"Moderate","Low"))</x:f>
        <x:v>Moderate</x:v>
      </x:c>
      <x:c r="AQ217" s="37" t="n">
        <x:f>ROUND(MAX(0,MIN(100,(O217/4*100*0.25)+(P217/4*100*0.20)+(Q217/4*100*0.15)+(Y217/5*100*0.20)+(100-AO217)*0.20)),1)</x:f>
        <x:v>57.5</x:v>
      </x:c>
      <x:c r="AR217" s="37" t="n">
        <x:f>ROUND((AI217*0.20+AJ217*0.15+AN217*0.18+AG217*0.12+Z217*0.15+AQ217*0.20),1)</x:f>
        <x:v>77.5</x:v>
      </x:c>
      <x:c r="AS217" s="39" t="n">
        <x:f>ROUND((AC217*AF217*120)+(AH217*350)+(MAX(0,AI217-75)*220)+(MAX(0,AQ217-60)*100),0)</x:f>
        <x:v>58350</x:v>
      </x:c>
    </x:row>
    <x:row r="218">
      <x:c r="A218" s="35" t="n">
        <x:v>217</x:v>
      </x:c>
      <x:c r="B218" s="35" t="n">
        <x:v>45</x:v>
      </x:c>
      <x:c r="C218" s="35" t="str">
        <x:v>Male</x:v>
      </x:c>
      <x:c r="D218" s="35" t="str">
        <x:v>Research &amp; Development</x:v>
      </x:c>
      <x:c r="E218" s="35" t="str">
        <x:v>Laboratory Technician</x:v>
      </x:c>
      <x:c r="F218" s="35" t="str">
        <x:v>Business</x:v>
      </x:c>
      <x:c r="G218" s="35" t="str">
        <x:v>Divorced</x:v>
      </x:c>
      <x:c r="H218" s="35" t="n">
        <x:v>4</x:v>
      </x:c>
      <x:c r="I218" s="36" t="n">
        <x:v>23630</x:v>
      </x:c>
      <x:c r="J218" s="35" t="n">
        <x:v>16</x:v>
      </x:c>
      <x:c r="K218" s="35" t="n">
        <x:v>7</x:v>
      </x:c>
      <x:c r="L218" s="35" t="n">
        <x:v>2</x:v>
      </x:c>
      <x:c r="M218" s="35" t="n">
        <x:v>13</x:v>
      </x:c>
      <x:c r="N218" s="35" t="str">
        <x:v>Yes</x:v>
      </x:c>
      <x:c r="O218" s="35" t="n">
        <x:v>2</x:v>
      </x:c>
      <x:c r="P218" s="35" t="n">
        <x:v>2</x:v>
      </x:c>
      <x:c r="Q218" s="35" t="n">
        <x:v>3</x:v>
      </x:c>
      <x:c r="R218" s="35" t="n">
        <x:v>3</x:v>
      </x:c>
      <x:c r="S218" s="35" t="n">
        <x:v>3</x:v>
      </x:c>
      <x:c r="T218" s="35" t="n">
        <x:v>5</x:v>
      </x:c>
      <x:c r="U218" s="35" t="n">
        <x:v>0</x:v>
      </x:c>
      <x:c r="V218" s="35" t="n">
        <x:v>7</x:v>
      </x:c>
      <x:c r="W218" s="35" t="n">
        <x:v>27</x:v>
      </x:c>
      <x:c r="X218" s="35" t="n">
        <x:v>78</x:v>
      </x:c>
      <x:c r="Y218" s="35" t="n">
        <x:v>4</x:v>
      </x:c>
      <x:c r="Z218" s="35" t="n">
        <x:v>95</x:v>
      </x:c>
      <x:c r="AA218" s="35" t="n">
        <x:v>7</x:v>
      </x:c>
      <x:c r="AB218" s="35" t="n">
        <x:v>4</x:v>
      </x:c>
      <x:c r="AC218" s="35" t="n">
        <x:v>2</x:v>
      </x:c>
      <x:c r="AD218" s="35" t="n">
        <x:v>90</x:v>
      </x:c>
      <x:c r="AE218" s="35" t="n">
        <x:v>65</x:v>
      </x:c>
      <x:c r="AF218" s="35" t="n">
        <x:v>100</x:v>
      </x:c>
      <x:c r="AG218" s="35" t="n">
        <x:v>90</x:v>
      </x:c>
      <x:c r="AH218" s="35" t="n">
        <x:v>5</x:v>
      </x:c>
      <x:c r="AI218" s="37" t="n">
        <x:v>100</x:v>
      </x:c>
      <x:c r="AJ218" s="37" t="n">
        <x:v>100</x:v>
      </x:c>
      <x:c r="AK218" s="35" t="str">
        <x:v>No</x:v>
      </x:c>
      <x:c r="AL218" s="38" t="n">
        <x:f>IF(AA218=0,0,AB218/AA218)</x:f>
        <x:v>0.5714285714285714</x:v>
      </x:c>
      <x:c r="AM218" s="38" t="n">
        <x:f>IF(AB218=0,0,AC218/AB218)</x:f>
        <x:v>0.5</x:v>
      </x:c>
      <x:c r="AN218" s="37" t="n">
        <x:f>ROUND((AD218*0.20+AE218*0.20+AF218*0.25+AG218*0.15+MIN(100,AC218*12)*0.20),1)</x:f>
        <x:v>74.3</x:v>
      </x:c>
      <x:c r="AO218" s="37" t="n">
        <x:f>ROUND(MAX(0,MIN(100,(X218*0.35)+(W218/45*100*0.20)+((5-O218)/4*100*0.15)+((5-P218)/4*100*0.10)+((6-Y218)/5*100*0.10)+((100-Z218)*0.10))),1)</x:f>
        <x:v>62.6</x:v>
      </x:c>
      <x:c r="AP218" s="37" t="str">
        <x:f>IF(AO218&gt;=70,"High",IF(AO218&gt;=40,"Moderate","Low"))</x:f>
        <x:v>Moderate</x:v>
      </x:c>
      <x:c r="AQ218" s="37" t="n">
        <x:f>ROUND(MAX(0,MIN(100,(O218/4*100*0.25)+(P218/4*100*0.20)+(Q218/4*100*0.15)+(Y218/5*100*0.20)+(100-AO218)*0.20)),1)</x:f>
        <x:v>57.2</x:v>
      </x:c>
      <x:c r="AR218" s="37" t="n">
        <x:f>ROUND((AI218*0.20+AJ218*0.15+AN218*0.18+AG218*0.12+Z218*0.15+AQ218*0.20),1)</x:f>
        <x:v>84.9</x:v>
      </x:c>
      <x:c r="AS218" s="39" t="n">
        <x:f>ROUND((AC218*AF218*120)+(AH218*350)+(MAX(0,AI218-75)*220)+(MAX(0,AQ218-60)*100),0)</x:f>
        <x:v>31250</x:v>
      </x:c>
    </x:row>
    <x:row r="219">
      <x:c r="A219" s="35" t="n">
        <x:v>218</x:v>
      </x:c>
      <x:c r="B219" s="35" t="n">
        <x:v>37</x:v>
      </x:c>
      <x:c r="C219" s="35" t="str">
        <x:v>Male</x:v>
      </x:c>
      <x:c r="D219" s="35" t="str">
        <x:v>Sales</x:v>
      </x:c>
      <x:c r="E219" s="35" t="str">
        <x:v>Sales Executive</x:v>
      </x:c>
      <x:c r="F219" s="35" t="str">
        <x:v>Medical</x:v>
      </x:c>
      <x:c r="G219" s="35" t="str">
        <x:v>Married</x:v>
      </x:c>
      <x:c r="H219" s="35" t="n">
        <x:v>2</x:v>
      </x:c>
      <x:c r="I219" s="36" t="n">
        <x:v>6880</x:v>
      </x:c>
      <x:c r="J219" s="35" t="n">
        <x:v>8</x:v>
      </x:c>
      <x:c r="K219" s="35" t="n">
        <x:v>3</x:v>
      </x:c>
      <x:c r="L219" s="35" t="n">
        <x:v>2</x:v>
      </x:c>
      <x:c r="M219" s="35" t="n">
        <x:v>2</x:v>
      </x:c>
      <x:c r="N219" s="35" t="str">
        <x:v>Yes</x:v>
      </x:c>
      <x:c r="O219" s="35" t="n">
        <x:v>3</x:v>
      </x:c>
      <x:c r="P219" s="35" t="n">
        <x:v>3</x:v>
      </x:c>
      <x:c r="Q219" s="35" t="n">
        <x:v>4</x:v>
      </x:c>
      <x:c r="R219" s="35" t="n">
        <x:v>3</x:v>
      </x:c>
      <x:c r="S219" s="35" t="n">
        <x:v>3</x:v>
      </x:c>
      <x:c r="T219" s="35" t="n">
        <x:v>1</x:v>
      </x:c>
      <x:c r="U219" s="35" t="n">
        <x:v>2</x:v>
      </x:c>
      <x:c r="V219" s="35" t="n">
        <x:v>4</x:v>
      </x:c>
      <x:c r="W219" s="35" t="n">
        <x:v>21</x:v>
      </x:c>
      <x:c r="X219" s="35" t="n">
        <x:v>84</x:v>
      </x:c>
      <x:c r="Y219" s="35" t="n">
        <x:v>4</x:v>
      </x:c>
      <x:c r="Z219" s="35" t="n">
        <x:v>92</x:v>
      </x:c>
      <x:c r="AA219" s="35" t="n">
        <x:v>5</x:v>
      </x:c>
      <x:c r="AB219" s="35" t="n">
        <x:v>4</x:v>
      </x:c>
      <x:c r="AC219" s="35" t="n">
        <x:v>3</x:v>
      </x:c>
      <x:c r="AD219" s="35" t="n">
        <x:v>55</x:v>
      </x:c>
      <x:c r="AE219" s="35" t="n">
        <x:v>83</x:v>
      </x:c>
      <x:c r="AF219" s="35" t="n">
        <x:v>50</x:v>
      </x:c>
      <x:c r="AG219" s="35" t="n">
        <x:v>92</x:v>
      </x:c>
      <x:c r="AH219" s="35" t="n">
        <x:v>2</x:v>
      </x:c>
      <x:c r="AI219" s="37" t="n">
        <x:v>100</x:v>
      </x:c>
      <x:c r="AJ219" s="37" t="n">
        <x:v>91.6</x:v>
      </x:c>
      <x:c r="AK219" s="35" t="str">
        <x:v>No</x:v>
      </x:c>
      <x:c r="AL219" s="38" t="n">
        <x:f>IF(AA219=0,0,AB219/AA219)</x:f>
        <x:v>0.8</x:v>
      </x:c>
      <x:c r="AM219" s="38" t="n">
        <x:f>IF(AB219=0,0,AC219/AB219)</x:f>
        <x:v>0.75</x:v>
      </x:c>
      <x:c r="AN219" s="37" t="n">
        <x:f>ROUND((AD219*0.20+AE219*0.20+AF219*0.25+AG219*0.15+MIN(100,AC219*12)*0.20),1)</x:f>
        <x:v>61.1</x:v>
      </x:c>
      <x:c r="AO219" s="37" t="n">
        <x:f>ROUND(MAX(0,MIN(100,(X219*0.35)+(W219/45*100*0.20)+((5-O219)/4*100*0.15)+((5-P219)/4*100*0.10)+((6-Y219)/5*100*0.10)+((100-Z219)*0.10))),1)</x:f>
        <x:v>56</x:v>
      </x:c>
      <x:c r="AP219" s="37" t="str">
        <x:f>IF(AO219&gt;=70,"High",IF(AO219&gt;=40,"Moderate","Low"))</x:f>
        <x:v>Moderate</x:v>
      </x:c>
      <x:c r="AQ219" s="37" t="n">
        <x:f>ROUND(MAX(0,MIN(100,(O219/4*100*0.25)+(P219/4*100*0.20)+(Q219/4*100*0.15)+(Y219/5*100*0.20)+(100-AO219)*0.20)),1)</x:f>
        <x:v>73.6</x:v>
      </x:c>
      <x:c r="AR219" s="37" t="n">
        <x:f>ROUND((AI219*0.20+AJ219*0.15+AN219*0.18+AG219*0.12+Z219*0.15+AQ219*0.20),1)</x:f>
        <x:v>84.3</x:v>
      </x:c>
      <x:c r="AS219" s="39" t="n">
        <x:f>ROUND((AC219*AF219*120)+(AH219*350)+(MAX(0,AI219-75)*220)+(MAX(0,AQ219-60)*100),0)</x:f>
        <x:v>25560</x:v>
      </x:c>
    </x:row>
    <x:row r="220">
      <x:c r="A220" s="35" t="n">
        <x:v>219</x:v>
      </x:c>
      <x:c r="B220" s="35" t="n">
        <x:v>26</x:v>
      </x:c>
      <x:c r="C220" s="35" t="str">
        <x:v>Female</x:v>
      </x:c>
      <x:c r="D220" s="35" t="str">
        <x:v>Finance</x:v>
      </x:c>
      <x:c r="E220" s="35" t="str">
        <x:v>Accountant</x:v>
      </x:c>
      <x:c r="F220" s="35" t="str">
        <x:v>Life Sciences</x:v>
      </x:c>
      <x:c r="G220" s="35" t="str">
        <x:v>Married</x:v>
      </x:c>
      <x:c r="H220" s="35" t="n">
        <x:v>1</x:v>
      </x:c>
      <x:c r="I220" s="36" t="n">
        <x:v>4000</x:v>
      </x:c>
      <x:c r="J220" s="35" t="n">
        <x:v>4</x:v>
      </x:c>
      <x:c r="K220" s="35" t="n">
        <x:v>3</x:v>
      </x:c>
      <x:c r="L220" s="35" t="n">
        <x:v>2</x:v>
      </x:c>
      <x:c r="M220" s="35" t="n">
        <x:v>4</x:v>
      </x:c>
      <x:c r="N220" s="35" t="str">
        <x:v>Yes</x:v>
      </x:c>
      <x:c r="O220" s="35" t="n">
        <x:v>2</x:v>
      </x:c>
      <x:c r="P220" s="35" t="n">
        <x:v>3</x:v>
      </x:c>
      <x:c r="Q220" s="35" t="n">
        <x:v>3</x:v>
      </x:c>
      <x:c r="R220" s="35" t="n">
        <x:v>3</x:v>
      </x:c>
      <x:c r="S220" s="35" t="n">
        <x:v>3</x:v>
      </x:c>
      <x:c r="T220" s="35" t="n">
        <x:v>2</x:v>
      </x:c>
      <x:c r="U220" s="35" t="n">
        <x:v>0</x:v>
      </x:c>
      <x:c r="V220" s="35" t="n">
        <x:v>6</x:v>
      </x:c>
      <x:c r="W220" s="35" t="n">
        <x:v>23</x:v>
      </x:c>
      <x:c r="X220" s="35" t="n">
        <x:v>83</x:v>
      </x:c>
      <x:c r="Y220" s="35" t="n">
        <x:v>3</x:v>
      </x:c>
      <x:c r="Z220" s="35" t="n">
        <x:v>96</x:v>
      </x:c>
      <x:c r="AA220" s="35" t="n">
        <x:v>9</x:v>
      </x:c>
      <x:c r="AB220" s="35" t="n">
        <x:v>5</x:v>
      </x:c>
      <x:c r="AC220" s="35" t="n">
        <x:v>4</x:v>
      </x:c>
      <x:c r="AD220" s="35" t="n">
        <x:v>76</x:v>
      </x:c>
      <x:c r="AE220" s="35" t="n">
        <x:v>75</x:v>
      </x:c>
      <x:c r="AF220" s="35" t="n">
        <x:v>54</x:v>
      </x:c>
      <x:c r="AG220" s="35" t="n">
        <x:v>100</x:v>
      </x:c>
      <x:c r="AH220" s="35" t="n">
        <x:v>5</x:v>
      </x:c>
      <x:c r="AI220" s="37" t="n">
        <x:v>95.3</x:v>
      </x:c>
      <x:c r="AJ220" s="37" t="n">
        <x:v>100</x:v>
      </x:c>
      <x:c r="AK220" s="35" t="str">
        <x:v>Yes</x:v>
      </x:c>
      <x:c r="AL220" s="38" t="n">
        <x:f>IF(AA220=0,0,AB220/AA220)</x:f>
        <x:v>0.5555555555555556</x:v>
      </x:c>
      <x:c r="AM220" s="38" t="n">
        <x:f>IF(AB220=0,0,AC220/AB220)</x:f>
        <x:v>0.8</x:v>
      </x:c>
      <x:c r="AN220" s="37" t="n">
        <x:f>ROUND((AD220*0.20+AE220*0.20+AF220*0.25+AG220*0.15+MIN(100,AC220*12)*0.20),1)</x:f>
        <x:v>68.3</x:v>
      </x:c>
      <x:c r="AO220" s="37" t="n">
        <x:f>ROUND(MAX(0,MIN(100,(X220*0.35)+(W220/45*100*0.20)+((5-O220)/4*100*0.15)+((5-P220)/4*100*0.10)+((6-Y220)/5*100*0.10)+((100-Z220)*0.10))),1)</x:f>
        <x:v>61.9</x:v>
      </x:c>
      <x:c r="AP220" s="37" t="str">
        <x:f>IF(AO220&gt;=70,"High",IF(AO220&gt;=40,"Moderate","Low"))</x:f>
        <x:v>Moderate</x:v>
      </x:c>
      <x:c r="AQ220" s="37" t="n">
        <x:f>ROUND(MAX(0,MIN(100,(O220/4*100*0.25)+(P220/4*100*0.20)+(Q220/4*100*0.15)+(Y220/5*100*0.20)+(100-AO220)*0.20)),1)</x:f>
        <x:v>58.4</x:v>
      </x:c>
      <x:c r="AR220" s="37" t="n">
        <x:f>ROUND((AI220*0.20+AJ220*0.15+AN220*0.18+AG220*0.12+Z220*0.15+AQ220*0.20),1)</x:f>
        <x:v>84.4</x:v>
      </x:c>
      <x:c r="AS220" s="39" t="n">
        <x:f>ROUND((AC220*AF220*120)+(AH220*350)+(MAX(0,AI220-75)*220)+(MAX(0,AQ220-60)*100),0)</x:f>
        <x:v>32136</x:v>
      </x:c>
    </x:row>
    <x:row r="221">
      <x:c r="A221" s="35" t="n">
        <x:v>220</x:v>
      </x:c>
      <x:c r="B221" s="35" t="n">
        <x:v>34</x:v>
      </x:c>
      <x:c r="C221" s="35" t="str">
        <x:v>Male</x:v>
      </x:c>
      <x:c r="D221" s="35" t="str">
        <x:v>Human Resources</x:v>
      </x:c>
      <x:c r="E221" s="35" t="str">
        <x:v>Talent Development Specialist</x:v>
      </x:c>
      <x:c r="F221" s="35" t="str">
        <x:v>Human Resources</x:v>
      </x:c>
      <x:c r="G221" s="35" t="str">
        <x:v>Single</x:v>
      </x:c>
      <x:c r="H221" s="35" t="n">
        <x:v>1</x:v>
      </x:c>
      <x:c r="I221" s="36" t="n">
        <x:v>4610</x:v>
      </x:c>
      <x:c r="J221" s="35" t="n">
        <x:v>8</x:v>
      </x:c>
      <x:c r="K221" s="35" t="n">
        <x:v>6</x:v>
      </x:c>
      <x:c r="L221" s="35" t="n">
        <x:v>2</x:v>
      </x:c>
      <x:c r="M221" s="35" t="n">
        <x:v>16</x:v>
      </x:c>
      <x:c r="N221" s="35" t="str">
        <x:v>No</x:v>
      </x:c>
      <x:c r="O221" s="35" t="n">
        <x:v>3</x:v>
      </x:c>
      <x:c r="P221" s="35" t="n">
        <x:v>2</x:v>
      </x:c>
      <x:c r="Q221" s="35" t="n">
        <x:v>2</x:v>
      </x:c>
      <x:c r="R221" s="35" t="n">
        <x:v>3</x:v>
      </x:c>
      <x:c r="S221" s="35" t="n">
        <x:v>3</x:v>
      </x:c>
      <x:c r="T221" s="35" t="n">
        <x:v>6</x:v>
      </x:c>
      <x:c r="U221" s="35" t="n">
        <x:v>3</x:v>
      </x:c>
      <x:c r="V221" s="35" t="n">
        <x:v>7</x:v>
      </x:c>
      <x:c r="W221" s="35" t="n">
        <x:v>6</x:v>
      </x:c>
      <x:c r="X221" s="35" t="n">
        <x:v>74</x:v>
      </x:c>
      <x:c r="Y221" s="35" t="n">
        <x:v>3</x:v>
      </x:c>
      <x:c r="Z221" s="35" t="n">
        <x:v>89</x:v>
      </x:c>
      <x:c r="AA221" s="35" t="n">
        <x:v>5</x:v>
      </x:c>
      <x:c r="AB221" s="35" t="n">
        <x:v>5</x:v>
      </x:c>
      <x:c r="AC221" s="35" t="n">
        <x:v>5</x:v>
      </x:c>
      <x:c r="AD221" s="35" t="n">
        <x:v>60</x:v>
      </x:c>
      <x:c r="AE221" s="35" t="n">
        <x:v>79</x:v>
      </x:c>
      <x:c r="AF221" s="35" t="n">
        <x:v>83</x:v>
      </x:c>
      <x:c r="AG221" s="35" t="n">
        <x:v>93</x:v>
      </x:c>
      <x:c r="AH221" s="35" t="n">
        <x:v>10</x:v>
      </x:c>
      <x:c r="AI221" s="37" t="n">
        <x:v>93.3</x:v>
      </x:c>
      <x:c r="AJ221" s="37" t="n">
        <x:v>94.1</x:v>
      </x:c>
      <x:c r="AK221" s="35" t="str">
        <x:v>No</x:v>
      </x:c>
      <x:c r="AL221" s="38" t="n">
        <x:f>IF(AA221=0,0,AB221/AA221)</x:f>
        <x:v>1</x:v>
      </x:c>
      <x:c r="AM221" s="38" t="n">
        <x:f>IF(AB221=0,0,AC221/AB221)</x:f>
        <x:v>1</x:v>
      </x:c>
      <x:c r="AN221" s="37" t="n">
        <x:f>ROUND((AD221*0.20+AE221*0.20+AF221*0.25+AG221*0.15+MIN(100,AC221*12)*0.20),1)</x:f>
        <x:v>74.5</x:v>
      </x:c>
      <x:c r="AO221" s="37" t="n">
        <x:f>ROUND(MAX(0,MIN(100,(X221*0.35)+(W221/45*100*0.20)+((5-O221)/4*100*0.15)+((5-P221)/4*100*0.10)+((6-Y221)/5*100*0.10)+((100-Z221)*0.10))),1)</x:f>
        <x:v>50.7</x:v>
      </x:c>
      <x:c r="AP221" s="37" t="str">
        <x:f>IF(AO221&gt;=70,"High",IF(AO221&gt;=40,"Moderate","Low"))</x:f>
        <x:v>Moderate</x:v>
      </x:c>
      <x:c r="AQ221" s="37" t="n">
        <x:f>ROUND(MAX(0,MIN(100,(O221/4*100*0.25)+(P221/4*100*0.20)+(Q221/4*100*0.15)+(Y221/5*100*0.20)+(100-AO221)*0.20)),1)</x:f>
        <x:v>58.1</x:v>
      </x:c>
      <x:c r="AR221" s="37" t="n">
        <x:f>ROUND((AI221*0.20+AJ221*0.15+AN221*0.18+AG221*0.12+Z221*0.15+AQ221*0.20),1)</x:f>
        <x:v>82.3</x:v>
      </x:c>
      <x:c r="AS221" s="39" t="n">
        <x:f>ROUND((AC221*AF221*120)+(AH221*350)+(MAX(0,AI221-75)*220)+(MAX(0,AQ221-60)*100),0)</x:f>
        <x:v>57326</x:v>
      </x:c>
    </x:row>
    <x:row r="222">
      <x:c r="A222" s="35" t="n">
        <x:v>221</x:v>
      </x:c>
      <x:c r="B222" s="35" t="n">
        <x:v>23</x:v>
      </x:c>
      <x:c r="C222" s="35" t="str">
        <x:v>Female</x:v>
      </x:c>
      <x:c r="D222" s="35" t="str">
        <x:v>Human Resources</x:v>
      </x:c>
      <x:c r="E222" s="35" t="str">
        <x:v>Talent Development Specialist</x:v>
      </x:c>
      <x:c r="F222" s="35" t="str">
        <x:v>Human Resources</x:v>
      </x:c>
      <x:c r="G222" s="35" t="str">
        <x:v>Married</x:v>
      </x:c>
      <x:c r="H222" s="35" t="n">
        <x:v>2</x:v>
      </x:c>
      <x:c r="I222" s="36" t="n">
        <x:v>9450</x:v>
      </x:c>
      <x:c r="J222" s="35" t="n">
        <x:v>1</x:v>
      </x:c>
      <x:c r="K222" s="35" t="n">
        <x:v>0</x:v>
      </x:c>
      <x:c r="L222" s="35" t="n">
        <x:v>0</x:v>
      </x:c>
      <x:c r="M222" s="35" t="n">
        <x:v>3</x:v>
      </x:c>
      <x:c r="N222" s="35" t="str">
        <x:v>No</x:v>
      </x:c>
      <x:c r="O222" s="35" t="n">
        <x:v>2</x:v>
      </x:c>
      <x:c r="P222" s="35" t="n">
        <x:v>3</x:v>
      </x:c>
      <x:c r="Q222" s="35" t="n">
        <x:v>4</x:v>
      </x:c>
      <x:c r="R222" s="35" t="n">
        <x:v>3</x:v>
      </x:c>
      <x:c r="S222" s="35" t="n">
        <x:v>3</x:v>
      </x:c>
      <x:c r="T222" s="35" t="n">
        <x:v>3</x:v>
      </x:c>
      <x:c r="U222" s="35" t="n">
        <x:v>0</x:v>
      </x:c>
      <x:c r="V222" s="35" t="n">
        <x:v>8</x:v>
      </x:c>
      <x:c r="W222" s="35" t="n">
        <x:v>12</x:v>
      </x:c>
      <x:c r="X222" s="35" t="n">
        <x:v>50</x:v>
      </x:c>
      <x:c r="Y222" s="35" t="n">
        <x:v>4</x:v>
      </x:c>
      <x:c r="Z222" s="35" t="n">
        <x:v>100</x:v>
      </x:c>
      <x:c r="AA222" s="35" t="n">
        <x:v>8</x:v>
      </x:c>
      <x:c r="AB222" s="35" t="n">
        <x:v>6</x:v>
      </x:c>
      <x:c r="AC222" s="35" t="n">
        <x:v>5</x:v>
      </x:c>
      <x:c r="AD222" s="35" t="n">
        <x:v>77</x:v>
      </x:c>
      <x:c r="AE222" s="35" t="n">
        <x:v>89</x:v>
      </x:c>
      <x:c r="AF222" s="35" t="n">
        <x:v>79</x:v>
      </x:c>
      <x:c r="AG222" s="35" t="n">
        <x:v>87</x:v>
      </x:c>
      <x:c r="AH222" s="35" t="n">
        <x:v>9</x:v>
      </x:c>
      <x:c r="AI222" s="37" t="n">
        <x:v>100</x:v>
      </x:c>
      <x:c r="AJ222" s="37" t="n">
        <x:v>96</x:v>
      </x:c>
      <x:c r="AK222" s="35" t="str">
        <x:v>No</x:v>
      </x:c>
      <x:c r="AL222" s="38" t="n">
        <x:f>IF(AA222=0,0,AB222/AA222)</x:f>
        <x:v>0.75</x:v>
      </x:c>
      <x:c r="AM222" s="38" t="n">
        <x:f>IF(AB222=0,0,AC222/AB222)</x:f>
        <x:v>0.8333333333333334</x:v>
      </x:c>
      <x:c r="AN222" s="37" t="n">
        <x:f>ROUND((AD222*0.20+AE222*0.20+AF222*0.25+AG222*0.15+MIN(100,AC222*12)*0.20),1)</x:f>
        <x:v>78</x:v>
      </x:c>
      <x:c r="AO222" s="37" t="n">
        <x:f>ROUND(MAX(0,MIN(100,(X222*0.35)+(W222/45*100*0.20)+((5-O222)/4*100*0.15)+((5-P222)/4*100*0.10)+((6-Y222)/5*100*0.10)+((100-Z222)*0.10))),1)</x:f>
        <x:v>43.1</x:v>
      </x:c>
      <x:c r="AP222" s="37" t="str">
        <x:f>IF(AO222&gt;=70,"High",IF(AO222&gt;=40,"Moderate","Low"))</x:f>
        <x:v>Moderate</x:v>
      </x:c>
      <x:c r="AQ222" s="37" t="n">
        <x:f>ROUND(MAX(0,MIN(100,(O222/4*100*0.25)+(P222/4*100*0.20)+(Q222/4*100*0.15)+(Y222/5*100*0.20)+(100-AO222)*0.20)),1)</x:f>
        <x:v>69.9</x:v>
      </x:c>
      <x:c r="AR222" s="37" t="n">
        <x:f>ROUND((AI222*0.20+AJ222*0.15+AN222*0.18+AG222*0.12+Z222*0.15+AQ222*0.20),1)</x:f>
        <x:v>87.9</x:v>
      </x:c>
      <x:c r="AS222" s="39" t="n">
        <x:f>ROUND((AC222*AF222*120)+(AH222*350)+(MAX(0,AI222-75)*220)+(MAX(0,AQ222-60)*100),0)</x:f>
        <x:v>57040</x:v>
      </x:c>
    </x:row>
    <x:row r="223">
      <x:c r="A223" s="35" t="n">
        <x:v>222</x:v>
      </x:c>
      <x:c r="B223" s="35" t="n">
        <x:v>34</x:v>
      </x:c>
      <x:c r="C223" s="35" t="str">
        <x:v>Female</x:v>
      </x:c>
      <x:c r="D223" s="35" t="str">
        <x:v>Information Technology</x:v>
      </x:c>
      <x:c r="E223" s="35" t="str">
        <x:v>IT Manager</x:v>
      </x:c>
      <x:c r="F223" s="35" t="str">
        <x:v>Technical Degree</x:v>
      </x:c>
      <x:c r="G223" s="35" t="str">
        <x:v>Married</x:v>
      </x:c>
      <x:c r="H223" s="35" t="n">
        <x:v>1</x:v>
      </x:c>
      <x:c r="I223" s="36" t="n">
        <x:v>4850</x:v>
      </x:c>
      <x:c r="J223" s="35" t="n">
        <x:v>7</x:v>
      </x:c>
      <x:c r="K223" s="35" t="n">
        <x:v>4</x:v>
      </x:c>
      <x:c r="L223" s="35" t="n">
        <x:v>1</x:v>
      </x:c>
      <x:c r="M223" s="35" t="n">
        <x:v>2</x:v>
      </x:c>
      <x:c r="N223" s="35" t="str">
        <x:v>No</x:v>
      </x:c>
      <x:c r="O223" s="35" t="n">
        <x:v>2</x:v>
      </x:c>
      <x:c r="P223" s="35" t="n">
        <x:v>3</x:v>
      </x:c>
      <x:c r="Q223" s="35" t="n">
        <x:v>4</x:v>
      </x:c>
      <x:c r="R223" s="35" t="n">
        <x:v>4</x:v>
      </x:c>
      <x:c r="S223" s="35" t="n">
        <x:v>3</x:v>
      </x:c>
      <x:c r="T223" s="35" t="n">
        <x:v>2</x:v>
      </x:c>
      <x:c r="U223" s="35" t="n">
        <x:v>1</x:v>
      </x:c>
      <x:c r="V223" s="35" t="n">
        <x:v>4</x:v>
      </x:c>
      <x:c r="W223" s="35" t="n">
        <x:v>6</x:v>
      </x:c>
      <x:c r="X223" s="35" t="n">
        <x:v>69</x:v>
      </x:c>
      <x:c r="Y223" s="35" t="n">
        <x:v>4</x:v>
      </x:c>
      <x:c r="Z223" s="35" t="n">
        <x:v>100</x:v>
      </x:c>
      <x:c r="AA223" s="35" t="n">
        <x:v>8</x:v>
      </x:c>
      <x:c r="AB223" s="35" t="n">
        <x:v>7</x:v>
      </x:c>
      <x:c r="AC223" s="35" t="n">
        <x:v>6</x:v>
      </x:c>
      <x:c r="AD223" s="35" t="n">
        <x:v>65</x:v>
      </x:c>
      <x:c r="AE223" s="35" t="n">
        <x:v>100</x:v>
      </x:c>
      <x:c r="AF223" s="35" t="n">
        <x:v>77</x:v>
      </x:c>
      <x:c r="AG223" s="35" t="n">
        <x:v>100</x:v>
      </x:c>
      <x:c r="AH223" s="35" t="n">
        <x:v>9</x:v>
      </x:c>
      <x:c r="AI223" s="37" t="n">
        <x:v>93.3</x:v>
      </x:c>
      <x:c r="AJ223" s="37" t="n">
        <x:v>86.5</x:v>
      </x:c>
      <x:c r="AK223" s="35" t="str">
        <x:v>No</x:v>
      </x:c>
      <x:c r="AL223" s="38" t="n">
        <x:f>IF(AA223=0,0,AB223/AA223)</x:f>
        <x:v>0.875</x:v>
      </x:c>
      <x:c r="AM223" s="38" t="n">
        <x:f>IF(AB223=0,0,AC223/AB223)</x:f>
        <x:v>0.8571428571428571</x:v>
      </x:c>
      <x:c r="AN223" s="37" t="n">
        <x:f>ROUND((AD223*0.20+AE223*0.20+AF223*0.25+AG223*0.15+MIN(100,AC223*12)*0.20),1)</x:f>
        <x:v>81.7</x:v>
      </x:c>
      <x:c r="AO223" s="37" t="n">
        <x:f>ROUND(MAX(0,MIN(100,(X223*0.35)+(W223/45*100*0.20)+((5-O223)/4*100*0.15)+((5-P223)/4*100*0.10)+((6-Y223)/5*100*0.10)+((100-Z223)*0.10))),1)</x:f>
        <x:v>47.1</x:v>
      </x:c>
      <x:c r="AP223" s="37" t="str">
        <x:f>IF(AO223&gt;=70,"High",IF(AO223&gt;=40,"Moderate","Low"))</x:f>
        <x:v>Moderate</x:v>
      </x:c>
      <x:c r="AQ223" s="37" t="n">
        <x:f>ROUND(MAX(0,MIN(100,(O223/4*100*0.25)+(P223/4*100*0.20)+(Q223/4*100*0.15)+(Y223/5*100*0.20)+(100-AO223)*0.20)),1)</x:f>
        <x:v>69.1</x:v>
      </x:c>
      <x:c r="AR223" s="37" t="n">
        <x:f>ROUND((AI223*0.20+AJ223*0.15+AN223*0.18+AG223*0.12+Z223*0.15+AQ223*0.20),1)</x:f>
        <x:v>87.2</x:v>
      </x:c>
      <x:c r="AS223" s="39" t="n">
        <x:f>ROUND((AC223*AF223*120)+(AH223*350)+(MAX(0,AI223-75)*220)+(MAX(0,AQ223-60)*100),0)</x:f>
        <x:v>63526</x:v>
      </x:c>
    </x:row>
    <x:row r="224">
      <x:c r="A224" s="35" t="n">
        <x:v>223</x:v>
      </x:c>
      <x:c r="B224" s="35" t="n">
        <x:v>37</x:v>
      </x:c>
      <x:c r="C224" s="35" t="str">
        <x:v>Male</x:v>
      </x:c>
      <x:c r="D224" s="35" t="str">
        <x:v>Finance</x:v>
      </x:c>
      <x:c r="E224" s="35" t="str">
        <x:v>Finance Manager</x:v>
      </x:c>
      <x:c r="F224" s="35" t="str">
        <x:v>Marketing</x:v>
      </x:c>
      <x:c r="G224" s="35" t="str">
        <x:v>Divorced</x:v>
      </x:c>
      <x:c r="H224" s="35" t="n">
        <x:v>3</x:v>
      </x:c>
      <x:c r="I224" s="36" t="n">
        <x:v>13010</x:v>
      </x:c>
      <x:c r="J224" s="35" t="n">
        <x:v>8</x:v>
      </x:c>
      <x:c r="K224" s="35" t="n">
        <x:v>5</x:v>
      </x:c>
      <x:c r="L224" s="35" t="n">
        <x:v>2</x:v>
      </x:c>
      <x:c r="M224" s="35" t="n">
        <x:v>21</x:v>
      </x:c>
      <x:c r="N224" s="35" t="str">
        <x:v>No</x:v>
      </x:c>
      <x:c r="O224" s="35" t="n">
        <x:v>3</x:v>
      </x:c>
      <x:c r="P224" s="35" t="n">
        <x:v>2</x:v>
      </x:c>
      <x:c r="Q224" s="35" t="n">
        <x:v>3</x:v>
      </x:c>
      <x:c r="R224" s="35" t="n">
        <x:v>3</x:v>
      </x:c>
      <x:c r="S224" s="35" t="n">
        <x:v>3</x:v>
      </x:c>
      <x:c r="T224" s="35" t="n">
        <x:v>2</x:v>
      </x:c>
      <x:c r="U224" s="35" t="n">
        <x:v>1</x:v>
      </x:c>
      <x:c r="V224" s="35" t="n">
        <x:v>9</x:v>
      </x:c>
      <x:c r="W224" s="35" t="n">
        <x:v>12</x:v>
      </x:c>
      <x:c r="X224" s="35" t="n">
        <x:v>50</x:v>
      </x:c>
      <x:c r="Y224" s="35" t="n">
        <x:v>4</x:v>
      </x:c>
      <x:c r="Z224" s="35" t="n">
        <x:v>100</x:v>
      </x:c>
      <x:c r="AA224" s="35" t="n">
        <x:v>5</x:v>
      </x:c>
      <x:c r="AB224" s="35" t="n">
        <x:v>4</x:v>
      </x:c>
      <x:c r="AC224" s="35" t="n">
        <x:v>3</x:v>
      </x:c>
      <x:c r="AD224" s="35" t="n">
        <x:v>75</x:v>
      </x:c>
      <x:c r="AE224" s="35" t="n">
        <x:v>87</x:v>
      </x:c>
      <x:c r="AF224" s="35" t="n">
        <x:v>93</x:v>
      </x:c>
      <x:c r="AG224" s="35" t="n">
        <x:v>77</x:v>
      </x:c>
      <x:c r="AH224" s="35" t="n">
        <x:v>6</x:v>
      </x:c>
      <x:c r="AI224" s="37" t="n">
        <x:v>100</x:v>
      </x:c>
      <x:c r="AJ224" s="37" t="n">
        <x:v>95.3</x:v>
      </x:c>
      <x:c r="AK224" s="35" t="str">
        <x:v>No</x:v>
      </x:c>
      <x:c r="AL224" s="38" t="n">
        <x:f>IF(AA224=0,0,AB224/AA224)</x:f>
        <x:v>0.8</x:v>
      </x:c>
      <x:c r="AM224" s="38" t="n">
        <x:f>IF(AB224=0,0,AC224/AB224)</x:f>
        <x:v>0.75</x:v>
      </x:c>
      <x:c r="AN224" s="37" t="n">
        <x:f>ROUND((AD224*0.20+AE224*0.20+AF224*0.25+AG224*0.15+MIN(100,AC224*12)*0.20),1)</x:f>
        <x:v>74.4</x:v>
      </x:c>
      <x:c r="AO224" s="37" t="n">
        <x:f>ROUND(MAX(0,MIN(100,(X224*0.35)+(W224/45*100*0.20)+((5-O224)/4*100*0.15)+((5-P224)/4*100*0.10)+((6-Y224)/5*100*0.10)+((100-Z224)*0.10))),1)</x:f>
        <x:v>41.8</x:v>
      </x:c>
      <x:c r="AP224" s="37" t="str">
        <x:f>IF(AO224&gt;=70,"High",IF(AO224&gt;=40,"Moderate","Low"))</x:f>
        <x:v>Moderate</x:v>
      </x:c>
      <x:c r="AQ224" s="37" t="n">
        <x:f>ROUND(MAX(0,MIN(100,(O224/4*100*0.25)+(P224/4*100*0.20)+(Q224/4*100*0.15)+(Y224/5*100*0.20)+(100-AO224)*0.20)),1)</x:f>
        <x:v>67.6</x:v>
      </x:c>
      <x:c r="AR224" s="37" t="n">
        <x:f>ROUND((AI224*0.20+AJ224*0.15+AN224*0.18+AG224*0.12+Z224*0.15+AQ224*0.20),1)</x:f>
        <x:v>85.4</x:v>
      </x:c>
      <x:c r="AS224" s="39" t="n">
        <x:f>ROUND((AC224*AF224*120)+(AH224*350)+(MAX(0,AI224-75)*220)+(MAX(0,AQ224-60)*100),0)</x:f>
        <x:v>41840</x:v>
      </x:c>
    </x:row>
    <x:row r="225">
      <x:c r="A225" s="35" t="n">
        <x:v>224</x:v>
      </x:c>
      <x:c r="B225" s="35" t="n">
        <x:v>33</x:v>
      </x:c>
      <x:c r="C225" s="35" t="str">
        <x:v>Female</x:v>
      </x:c>
      <x:c r="D225" s="35" t="str">
        <x:v>Sales</x:v>
      </x:c>
      <x:c r="E225" s="35" t="str">
        <x:v>Sales Representative</x:v>
      </x:c>
      <x:c r="F225" s="35" t="str">
        <x:v>Medical</x:v>
      </x:c>
      <x:c r="G225" s="35" t="str">
        <x:v>Single</x:v>
      </x:c>
      <x:c r="H225" s="35" t="n">
        <x:v>2</x:v>
      </x:c>
      <x:c r="I225" s="36" t="n">
        <x:v>10100</x:v>
      </x:c>
      <x:c r="J225" s="35" t="n">
        <x:v>7</x:v>
      </x:c>
      <x:c r="K225" s="35" t="n">
        <x:v>2</x:v>
      </x:c>
      <x:c r="L225" s="35" t="n">
        <x:v>1</x:v>
      </x:c>
      <x:c r="M225" s="35" t="n">
        <x:v>7</x:v>
      </x:c>
      <x:c r="N225" s="35" t="str">
        <x:v>No</x:v>
      </x:c>
      <x:c r="O225" s="35" t="n">
        <x:v>3</x:v>
      </x:c>
      <x:c r="P225" s="35" t="n">
        <x:v>1</x:v>
      </x:c>
      <x:c r="Q225" s="35" t="n">
        <x:v>4</x:v>
      </x:c>
      <x:c r="R225" s="35" t="n">
        <x:v>3</x:v>
      </x:c>
      <x:c r="S225" s="35" t="n">
        <x:v>3</x:v>
      </x:c>
      <x:c r="T225" s="35" t="n">
        <x:v>6</x:v>
      </x:c>
      <x:c r="U225" s="35" t="n">
        <x:v>1</x:v>
      </x:c>
      <x:c r="V225" s="35" t="n">
        <x:v>0</x:v>
      </x:c>
      <x:c r="W225" s="35" t="n">
        <x:v>3</x:v>
      </x:c>
      <x:c r="X225" s="35" t="n">
        <x:v>68</x:v>
      </x:c>
      <x:c r="Y225" s="35" t="n">
        <x:v>4</x:v>
      </x:c>
      <x:c r="Z225" s="35" t="n">
        <x:v>85</x:v>
      </x:c>
      <x:c r="AA225" s="35" t="n">
        <x:v>6</x:v>
      </x:c>
      <x:c r="AB225" s="35" t="n">
        <x:v>6</x:v>
      </x:c>
      <x:c r="AC225" s="35" t="n">
        <x:v>5</x:v>
      </x:c>
      <x:c r="AD225" s="35" t="n">
        <x:v>93</x:v>
      </x:c>
      <x:c r="AE225" s="35" t="n">
        <x:v>83</x:v>
      </x:c>
      <x:c r="AF225" s="35" t="n">
        <x:v>75</x:v>
      </x:c>
      <x:c r="AG225" s="35" t="n">
        <x:v>95</x:v>
      </x:c>
      <x:c r="AH225" s="35" t="n">
        <x:v>10</x:v>
      </x:c>
      <x:c r="AI225" s="37" t="n">
        <x:v>100</x:v>
      </x:c>
      <x:c r="AJ225" s="37" t="n">
        <x:v>87.1</x:v>
      </x:c>
      <x:c r="AK225" s="35" t="str">
        <x:v>No</x:v>
      </x:c>
      <x:c r="AL225" s="38" t="n">
        <x:f>IF(AA225=0,0,AB225/AA225)</x:f>
        <x:v>1</x:v>
      </x:c>
      <x:c r="AM225" s="38" t="n">
        <x:f>IF(AB225=0,0,AC225/AB225)</x:f>
        <x:v>0.8333333333333334</x:v>
      </x:c>
      <x:c r="AN225" s="37" t="n">
        <x:f>ROUND((AD225*0.20+AE225*0.20+AF225*0.25+AG225*0.15+MIN(100,AC225*12)*0.20),1)</x:f>
        <x:v>80.2</x:v>
      </x:c>
      <x:c r="AO225" s="37" t="n">
        <x:f>ROUND(MAX(0,MIN(100,(X225*0.35)+(W225/45*100*0.20)+((5-O225)/4*100*0.15)+((5-P225)/4*100*0.10)+((6-Y225)/5*100*0.10)+((100-Z225)*0.10))),1)</x:f>
        <x:v>48.1</x:v>
      </x:c>
      <x:c r="AP225" s="37" t="str">
        <x:f>IF(AO225&gt;=70,"High",IF(AO225&gt;=40,"Moderate","Low"))</x:f>
        <x:v>Moderate</x:v>
      </x:c>
      <x:c r="AQ225" s="37" t="n">
        <x:f>ROUND(MAX(0,MIN(100,(O225/4*100*0.25)+(P225/4*100*0.20)+(Q225/4*100*0.15)+(Y225/5*100*0.20)+(100-AO225)*0.20)),1)</x:f>
        <x:v>65.1</x:v>
      </x:c>
      <x:c r="AR225" s="37" t="n">
        <x:f>ROUND((AI225*0.20+AJ225*0.15+AN225*0.18+AG225*0.12+Z225*0.15+AQ225*0.20),1)</x:f>
        <x:v>84.7</x:v>
      </x:c>
      <x:c r="AS225" s="39" t="n">
        <x:f>ROUND((AC225*AF225*120)+(AH225*350)+(MAX(0,AI225-75)*220)+(MAX(0,AQ225-60)*100),0)</x:f>
        <x:v>54510</x:v>
      </x:c>
    </x:row>
    <x:row r="226">
      <x:c r="A226" s="35" t="n">
        <x:v>225</x:v>
      </x:c>
      <x:c r="B226" s="35" t="n">
        <x:v>46</x:v>
      </x:c>
      <x:c r="C226" s="35" t="str">
        <x:v>Female</x:v>
      </x:c>
      <x:c r="D226" s="35" t="str">
        <x:v>Research &amp; Development</x:v>
      </x:c>
      <x:c r="E226" s="35" t="str">
        <x:v>Research Scientist</x:v>
      </x:c>
      <x:c r="F226" s="35" t="str">
        <x:v>Medical</x:v>
      </x:c>
      <x:c r="G226" s="35" t="str">
        <x:v>Single</x:v>
      </x:c>
      <x:c r="H226" s="35" t="n">
        <x:v>4</x:v>
      </x:c>
      <x:c r="I226" s="36" t="n">
        <x:v>17960</x:v>
      </x:c>
      <x:c r="J226" s="35" t="n">
        <x:v>16</x:v>
      </x:c>
      <x:c r="K226" s="35" t="n">
        <x:v>9</x:v>
      </x:c>
      <x:c r="L226" s="35" t="n">
        <x:v>3</x:v>
      </x:c>
      <x:c r="M226" s="35" t="n">
        <x:v>14</x:v>
      </x:c>
      <x:c r="N226" s="35" t="str">
        <x:v>Yes</x:v>
      </x:c>
      <x:c r="O226" s="35" t="n">
        <x:v>2</x:v>
      </x:c>
      <x:c r="P226" s="35" t="n">
        <x:v>2</x:v>
      </x:c>
      <x:c r="Q226" s="35" t="n">
        <x:v>3</x:v>
      </x:c>
      <x:c r="R226" s="35" t="n">
        <x:v>3</x:v>
      </x:c>
      <x:c r="S226" s="35" t="n">
        <x:v>4</x:v>
      </x:c>
      <x:c r="T226" s="35" t="n">
        <x:v>4</x:v>
      </x:c>
      <x:c r="U226" s="35" t="n">
        <x:v>0</x:v>
      </x:c>
      <x:c r="V226" s="35" t="n">
        <x:v>14</x:v>
      </x:c>
      <x:c r="W226" s="35" t="n">
        <x:v>24</x:v>
      </x:c>
      <x:c r="X226" s="35" t="n">
        <x:v>98</x:v>
      </x:c>
      <x:c r="Y226" s="35" t="n">
        <x:v>4</x:v>
      </x:c>
      <x:c r="Z226" s="35" t="n">
        <x:v>89</x:v>
      </x:c>
      <x:c r="AA226" s="35" t="n">
        <x:v>1</x:v>
      </x:c>
      <x:c r="AB226" s="35" t="n">
        <x:v>1</x:v>
      </x:c>
      <x:c r="AC226" s="35" t="n">
        <x:v>0</x:v>
      </x:c>
      <x:c r="AD226" s="35" t="n">
        <x:v>55</x:v>
      </x:c>
      <x:c r="AE226" s="35" t="n">
        <x:v>71</x:v>
      </x:c>
      <x:c r="AF226" s="35" t="n">
        <x:v>80</x:v>
      </x:c>
      <x:c r="AG226" s="35" t="n">
        <x:v>95</x:v>
      </x:c>
      <x:c r="AH226" s="35" t="n">
        <x:v>7</x:v>
      </x:c>
      <x:c r="AI226" s="37" t="n">
        <x:v>100</x:v>
      </x:c>
      <x:c r="AJ226" s="37" t="n">
        <x:v>95.4</x:v>
      </x:c>
      <x:c r="AK226" s="35" t="str">
        <x:v>Yes</x:v>
      </x:c>
      <x:c r="AL226" s="38" t="n">
        <x:f>IF(AA226=0,0,AB226/AA226)</x:f>
        <x:v>1</x:v>
      </x:c>
      <x:c r="AM226" s="38" t="n">
        <x:f>IF(AB226=0,0,AC226/AB226)</x:f>
        <x:v>0</x:v>
      </x:c>
      <x:c r="AN226" s="37" t="n">
        <x:f>ROUND((AD226*0.20+AE226*0.20+AF226*0.25+AG226*0.15+MIN(100,AC226*12)*0.20),1)</x:f>
        <x:v>59.5</x:v>
      </x:c>
      <x:c r="AO226" s="37" t="n">
        <x:f>ROUND(MAX(0,MIN(100,(X226*0.35)+(W226/45*100*0.20)+((5-O226)/4*100*0.15)+((5-P226)/4*100*0.10)+((6-Y226)/5*100*0.10)+((100-Z226)*0.10))),1)</x:f>
        <x:v>68.8</x:v>
      </x:c>
      <x:c r="AP226" s="37" t="str">
        <x:f>IF(AO226&gt;=70,"High",IF(AO226&gt;=40,"Moderate","Low"))</x:f>
        <x:v>Moderate</x:v>
      </x:c>
      <x:c r="AQ226" s="37" t="n">
        <x:f>ROUND(MAX(0,MIN(100,(O226/4*100*0.25)+(P226/4*100*0.20)+(Q226/4*100*0.15)+(Y226/5*100*0.20)+(100-AO226)*0.20)),1)</x:f>
        <x:v>56</x:v>
      </x:c>
      <x:c r="AR226" s="37" t="n">
        <x:f>ROUND((AI226*0.20+AJ226*0.15+AN226*0.18+AG226*0.12+Z226*0.15+AQ226*0.20),1)</x:f>
        <x:v>81</x:v>
      </x:c>
      <x:c r="AS226" s="39" t="n">
        <x:f>ROUND((AC226*AF226*120)+(AH226*350)+(MAX(0,AI226-75)*220)+(MAX(0,AQ226-60)*100),0)</x:f>
        <x:v>7950</x:v>
      </x:c>
    </x:row>
    <x:row r="227">
      <x:c r="A227" s="35" t="n">
        <x:v>226</x:v>
      </x:c>
      <x:c r="B227" s="35" t="n">
        <x:v>39</x:v>
      </x:c>
      <x:c r="C227" s="35" t="str">
        <x:v>Female</x:v>
      </x:c>
      <x:c r="D227" s="35" t="str">
        <x:v>Operations</x:v>
      </x:c>
      <x:c r="E227" s="35" t="str">
        <x:v>Operations Manager</x:v>
      </x:c>
      <x:c r="F227" s="35" t="str">
        <x:v>Human Resources</x:v>
      </x:c>
      <x:c r="G227" s="35" t="str">
        <x:v>Single</x:v>
      </x:c>
      <x:c r="H227" s="35" t="n">
        <x:v>2</x:v>
      </x:c>
      <x:c r="I227" s="36" t="n">
        <x:v>9340</x:v>
      </x:c>
      <x:c r="J227" s="35" t="n">
        <x:v>9</x:v>
      </x:c>
      <x:c r="K227" s="35" t="n">
        <x:v>4</x:v>
      </x:c>
      <x:c r="L227" s="35" t="n">
        <x:v>2</x:v>
      </x:c>
      <x:c r="M227" s="35" t="n">
        <x:v>33</x:v>
      </x:c>
      <x:c r="N227" s="35" t="str">
        <x:v>No</x:v>
      </x:c>
      <x:c r="O227" s="35" t="n">
        <x:v>2</x:v>
      </x:c>
      <x:c r="P227" s="35" t="n">
        <x:v>2</x:v>
      </x:c>
      <x:c r="Q227" s="35" t="n">
        <x:v>3</x:v>
      </x:c>
      <x:c r="R227" s="35" t="n">
        <x:v>3</x:v>
      </x:c>
      <x:c r="S227" s="35" t="n">
        <x:v>3</x:v>
      </x:c>
      <x:c r="T227" s="35" t="n">
        <x:v>3</x:v>
      </x:c>
      <x:c r="U227" s="35" t="n">
        <x:v>0</x:v>
      </x:c>
      <x:c r="V227" s="35" t="n">
        <x:v>12</x:v>
      </x:c>
      <x:c r="W227" s="35" t="n">
        <x:v>20</x:v>
      </x:c>
      <x:c r="X227" s="35" t="n">
        <x:v>58</x:v>
      </x:c>
      <x:c r="Y227" s="35" t="n">
        <x:v>4</x:v>
      </x:c>
      <x:c r="Z227" s="35" t="n">
        <x:v>100</x:v>
      </x:c>
      <x:c r="AA227" s="35" t="n">
        <x:v>8</x:v>
      </x:c>
      <x:c r="AB227" s="35" t="n">
        <x:v>7</x:v>
      </x:c>
      <x:c r="AC227" s="35" t="n">
        <x:v>6</x:v>
      </x:c>
      <x:c r="AD227" s="35" t="n">
        <x:v>80</x:v>
      </x:c>
      <x:c r="AE227" s="35" t="n">
        <x:v>85</x:v>
      </x:c>
      <x:c r="AF227" s="35" t="n">
        <x:v>89</x:v>
      </x:c>
      <x:c r="AG227" s="35" t="n">
        <x:v>95</x:v>
      </x:c>
      <x:c r="AH227" s="35" t="n">
        <x:v>10</x:v>
      </x:c>
      <x:c r="AI227" s="37" t="n">
        <x:v>100</x:v>
      </x:c>
      <x:c r="AJ227" s="37" t="n">
        <x:v>96</x:v>
      </x:c>
      <x:c r="AK227" s="35" t="str">
        <x:v>Yes</x:v>
      </x:c>
      <x:c r="AL227" s="38" t="n">
        <x:f>IF(AA227=0,0,AB227/AA227)</x:f>
        <x:v>0.875</x:v>
      </x:c>
      <x:c r="AM227" s="38" t="n">
        <x:f>IF(AB227=0,0,AC227/AB227)</x:f>
        <x:v>0.8571428571428571</x:v>
      </x:c>
      <x:c r="AN227" s="37" t="n">
        <x:f>ROUND((AD227*0.20+AE227*0.20+AF227*0.25+AG227*0.15+MIN(100,AC227*12)*0.20),1)</x:f>
        <x:v>83.9</x:v>
      </x:c>
      <x:c r="AO227" s="37" t="n">
        <x:f>ROUND(MAX(0,MIN(100,(X227*0.35)+(W227/45*100*0.20)+((5-O227)/4*100*0.15)+((5-P227)/4*100*0.10)+((6-Y227)/5*100*0.10)+((100-Z227)*0.10))),1)</x:f>
        <x:v>51.9</x:v>
      </x:c>
      <x:c r="AP227" s="37" t="str">
        <x:f>IF(AO227&gt;=70,"High",IF(AO227&gt;=40,"Moderate","Low"))</x:f>
        <x:v>Moderate</x:v>
      </x:c>
      <x:c r="AQ227" s="37" t="n">
        <x:f>ROUND(MAX(0,MIN(100,(O227/4*100*0.25)+(P227/4*100*0.20)+(Q227/4*100*0.15)+(Y227/5*100*0.20)+(100-AO227)*0.20)),1)</x:f>
        <x:v>59.4</x:v>
      </x:c>
      <x:c r="AR227" s="37" t="n">
        <x:f>ROUND((AI227*0.20+AJ227*0.15+AN227*0.18+AG227*0.12+Z227*0.15+AQ227*0.20),1)</x:f>
        <x:v>87.8</x:v>
      </x:c>
      <x:c r="AS227" s="39" t="n">
        <x:f>ROUND((AC227*AF227*120)+(AH227*350)+(MAX(0,AI227-75)*220)+(MAX(0,AQ227-60)*100),0)</x:f>
        <x:v>73080</x:v>
      </x:c>
    </x:row>
    <x:row r="228">
      <x:c r="A228" s="35" t="n">
        <x:v>227</x:v>
      </x:c>
      <x:c r="B228" s="35" t="n">
        <x:v>42</x:v>
      </x:c>
      <x:c r="C228" s="35" t="str">
        <x:v>Female</x:v>
      </x:c>
      <x:c r="D228" s="35" t="str">
        <x:v>Sales</x:v>
      </x:c>
      <x:c r="E228" s="35" t="str">
        <x:v>Account Manager</x:v>
      </x:c>
      <x:c r="F228" s="35" t="str">
        <x:v>Marketing</x:v>
      </x:c>
      <x:c r="G228" s="35" t="str">
        <x:v>Single</x:v>
      </x:c>
      <x:c r="H228" s="35" t="n">
        <x:v>2</x:v>
      </x:c>
      <x:c r="I228" s="36" t="n">
        <x:v>11830</x:v>
      </x:c>
      <x:c r="J228" s="35" t="n">
        <x:v>14</x:v>
      </x:c>
      <x:c r="K228" s="35" t="n">
        <x:v>7</x:v>
      </x:c>
      <x:c r="L228" s="35" t="n">
        <x:v>6</x:v>
      </x:c>
      <x:c r="M228" s="35" t="n">
        <x:v>3</x:v>
      </x:c>
      <x:c r="N228" s="35" t="str">
        <x:v>Yes</x:v>
      </x:c>
      <x:c r="O228" s="35" t="n">
        <x:v>3</x:v>
      </x:c>
      <x:c r="P228" s="35" t="n">
        <x:v>3</x:v>
      </x:c>
      <x:c r="Q228" s="35" t="n">
        <x:v>4</x:v>
      </x:c>
      <x:c r="R228" s="35" t="n">
        <x:v>2</x:v>
      </x:c>
      <x:c r="S228" s="35" t="n">
        <x:v>3</x:v>
      </x:c>
      <x:c r="T228" s="35" t="n">
        <x:v>0</x:v>
      </x:c>
      <x:c r="U228" s="35" t="n">
        <x:v>1</x:v>
      </x:c>
      <x:c r="V228" s="35" t="n">
        <x:v>8</x:v>
      </x:c>
      <x:c r="W228" s="35" t="n">
        <x:v>28</x:v>
      </x:c>
      <x:c r="X228" s="35" t="n">
        <x:v>69</x:v>
      </x:c>
      <x:c r="Y228" s="35" t="n">
        <x:v>4</x:v>
      </x:c>
      <x:c r="Z228" s="35" t="n">
        <x:v>86</x:v>
      </x:c>
      <x:c r="AA228" s="35" t="n">
        <x:v>5</x:v>
      </x:c>
      <x:c r="AB228" s="35" t="n">
        <x:v>4</x:v>
      </x:c>
      <x:c r="AC228" s="35" t="n">
        <x:v>2</x:v>
      </x:c>
      <x:c r="AD228" s="35" t="n">
        <x:v>66</x:v>
      </x:c>
      <x:c r="AE228" s="35" t="n">
        <x:v>80</x:v>
      </x:c>
      <x:c r="AF228" s="35" t="n">
        <x:v>80</x:v>
      </x:c>
      <x:c r="AG228" s="35" t="n">
        <x:v>94</x:v>
      </x:c>
      <x:c r="AH228" s="35" t="n">
        <x:v>4</x:v>
      </x:c>
      <x:c r="AI228" s="37" t="n">
        <x:v>100</x:v>
      </x:c>
      <x:c r="AJ228" s="37" t="n">
        <x:v>99.1</x:v>
      </x:c>
      <x:c r="AK228" s="35" t="str">
        <x:v>No</x:v>
      </x:c>
      <x:c r="AL228" s="38" t="n">
        <x:f>IF(AA228=0,0,AB228/AA228)</x:f>
        <x:v>0.8</x:v>
      </x:c>
      <x:c r="AM228" s="38" t="n">
        <x:f>IF(AB228=0,0,AC228/AB228)</x:f>
        <x:v>0.5</x:v>
      </x:c>
      <x:c r="AN228" s="37" t="n">
        <x:f>ROUND((AD228*0.20+AE228*0.20+AF228*0.25+AG228*0.15+MIN(100,AC228*12)*0.20),1)</x:f>
        <x:v>68.1</x:v>
      </x:c>
      <x:c r="AO228" s="37" t="n">
        <x:f>ROUND(MAX(0,MIN(100,(X228*0.35)+(W228/45*100*0.20)+((5-O228)/4*100*0.15)+((5-P228)/4*100*0.10)+((6-Y228)/5*100*0.10)+((100-Z228)*0.10))),1)</x:f>
        <x:v>54.5</x:v>
      </x:c>
      <x:c r="AP228" s="37" t="str">
        <x:f>IF(AO228&gt;=70,"High",IF(AO228&gt;=40,"Moderate","Low"))</x:f>
        <x:v>Moderate</x:v>
      </x:c>
      <x:c r="AQ228" s="37" t="n">
        <x:f>ROUND(MAX(0,MIN(100,(O228/4*100*0.25)+(P228/4*100*0.20)+(Q228/4*100*0.15)+(Y228/5*100*0.20)+(100-AO228)*0.20)),1)</x:f>
        <x:v>73.9</x:v>
      </x:c>
      <x:c r="AR228" s="37" t="n">
        <x:f>ROUND((AI228*0.20+AJ228*0.15+AN228*0.18+AG228*0.12+Z228*0.15+AQ228*0.20),1)</x:f>
        <x:v>86.1</x:v>
      </x:c>
      <x:c r="AS228" s="39" t="n">
        <x:f>ROUND((AC228*AF228*120)+(AH228*350)+(MAX(0,AI228-75)*220)+(MAX(0,AQ228-60)*100),0)</x:f>
        <x:v>27490</x:v>
      </x:c>
    </x:row>
    <x:row r="229">
      <x:c r="A229" s="35" t="n">
        <x:v>228</x:v>
      </x:c>
      <x:c r="B229" s="35" t="n">
        <x:v>37</x:v>
      </x:c>
      <x:c r="C229" s="35" t="str">
        <x:v>Male</x:v>
      </x:c>
      <x:c r="D229" s="35" t="str">
        <x:v>Sales</x:v>
      </x:c>
      <x:c r="E229" s="35" t="str">
        <x:v>Sales Executive</x:v>
      </x:c>
      <x:c r="F229" s="35" t="str">
        <x:v>Medical</x:v>
      </x:c>
      <x:c r="G229" s="35" t="str">
        <x:v>Single</x:v>
      </x:c>
      <x:c r="H229" s="35" t="n">
        <x:v>2</x:v>
      </x:c>
      <x:c r="I229" s="36" t="n">
        <x:v>9600</x:v>
      </x:c>
      <x:c r="J229" s="35" t="n">
        <x:v>13</x:v>
      </x:c>
      <x:c r="K229" s="35" t="n">
        <x:v>6</x:v>
      </x:c>
      <x:c r="L229" s="35" t="n">
        <x:v>4</x:v>
      </x:c>
      <x:c r="M229" s="35" t="n">
        <x:v>16</x:v>
      </x:c>
      <x:c r="N229" s="35" t="str">
        <x:v>No</x:v>
      </x:c>
      <x:c r="O229" s="35" t="n">
        <x:v>3</x:v>
      </x:c>
      <x:c r="P229" s="35" t="n">
        <x:v>2</x:v>
      </x:c>
      <x:c r="Q229" s="35" t="n">
        <x:v>4</x:v>
      </x:c>
      <x:c r="R229" s="35" t="n">
        <x:v>3</x:v>
      </x:c>
      <x:c r="S229" s="35" t="n">
        <x:v>3</x:v>
      </x:c>
      <x:c r="T229" s="35" t="n">
        <x:v>4</x:v>
      </x:c>
      <x:c r="U229" s="35" t="n">
        <x:v>0</x:v>
      </x:c>
      <x:c r="V229" s="35" t="n">
        <x:v>3</x:v>
      </x:c>
      <x:c r="W229" s="35" t="n">
        <x:v>3</x:v>
      </x:c>
      <x:c r="X229" s="35" t="n">
        <x:v>58</x:v>
      </x:c>
      <x:c r="Y229" s="35" t="n">
        <x:v>4</x:v>
      </x:c>
      <x:c r="Z229" s="35" t="n">
        <x:v>98</x:v>
      </x:c>
      <x:c r="AA229" s="35" t="n">
        <x:v>4</x:v>
      </x:c>
      <x:c r="AB229" s="35" t="n">
        <x:v>3</x:v>
      </x:c>
      <x:c r="AC229" s="35" t="n">
        <x:v>2</x:v>
      </x:c>
      <x:c r="AD229" s="35" t="n">
        <x:v>87</x:v>
      </x:c>
      <x:c r="AE229" s="35" t="n">
        <x:v>83</x:v>
      </x:c>
      <x:c r="AF229" s="35" t="n">
        <x:v>69</x:v>
      </x:c>
      <x:c r="AG229" s="35" t="n">
        <x:v>100</x:v>
      </x:c>
      <x:c r="AH229" s="35" t="n">
        <x:v>6</x:v>
      </x:c>
      <x:c r="AI229" s="37" t="n">
        <x:v>99.6</x:v>
      </x:c>
      <x:c r="AJ229" s="37" t="n">
        <x:v>100</x:v>
      </x:c>
      <x:c r="AK229" s="35" t="str">
        <x:v>No</x:v>
      </x:c>
      <x:c r="AL229" s="38" t="n">
        <x:f>IF(AA229=0,0,AB229/AA229)</x:f>
        <x:v>0.75</x:v>
      </x:c>
      <x:c r="AM229" s="38" t="n">
        <x:f>IF(AB229=0,0,AC229/AB229)</x:f>
        <x:v>0.6666666666666666</x:v>
      </x:c>
      <x:c r="AN229" s="37" t="n">
        <x:f>ROUND((AD229*0.20+AE229*0.20+AF229*0.25+AG229*0.15+MIN(100,AC229*12)*0.20),1)</x:f>
        <x:v>71.1</x:v>
      </x:c>
      <x:c r="AO229" s="37" t="n">
        <x:f>ROUND(MAX(0,MIN(100,(X229*0.35)+(W229/45*100*0.20)+((5-O229)/4*100*0.15)+((5-P229)/4*100*0.10)+((6-Y229)/5*100*0.10)+((100-Z229)*0.10))),1)</x:f>
        <x:v>40.8</x:v>
      </x:c>
      <x:c r="AP229" s="37" t="str">
        <x:f>IF(AO229&gt;=70,"High",IF(AO229&gt;=40,"Moderate","Low"))</x:f>
        <x:v>Moderate</x:v>
      </x:c>
      <x:c r="AQ229" s="37" t="n">
        <x:f>ROUND(MAX(0,MIN(100,(O229/4*100*0.25)+(P229/4*100*0.20)+(Q229/4*100*0.15)+(Y229/5*100*0.20)+(100-AO229)*0.20)),1)</x:f>
        <x:v>71.6</x:v>
      </x:c>
      <x:c r="AR229" s="37" t="n">
        <x:f>ROUND((AI229*0.20+AJ229*0.15+AN229*0.18+AG229*0.12+Z229*0.15+AQ229*0.20),1)</x:f>
        <x:v>88.7</x:v>
      </x:c>
      <x:c r="AS229" s="39" t="n">
        <x:f>ROUND((AC229*AF229*120)+(AH229*350)+(MAX(0,AI229-75)*220)+(MAX(0,AQ229-60)*100),0)</x:f>
        <x:v>25232</x:v>
      </x:c>
    </x:row>
    <x:row r="230">
      <x:c r="A230" s="35" t="n">
        <x:v>229</x:v>
      </x:c>
      <x:c r="B230" s="35" t="n">
        <x:v>43</x:v>
      </x:c>
      <x:c r="C230" s="35" t="str">
        <x:v>Female</x:v>
      </x:c>
      <x:c r="D230" s="35" t="str">
        <x:v>Finance</x:v>
      </x:c>
      <x:c r="E230" s="35" t="str">
        <x:v>Accountant</x:v>
      </x:c>
      <x:c r="F230" s="35" t="str">
        <x:v>Medical</x:v>
      </x:c>
      <x:c r="G230" s="35" t="str">
        <x:v>Single</x:v>
      </x:c>
      <x:c r="H230" s="35" t="n">
        <x:v>4</x:v>
      </x:c>
      <x:c r="I230" s="36" t="n">
        <x:v>17870</x:v>
      </x:c>
      <x:c r="J230" s="35" t="n">
        <x:v>11</x:v>
      </x:c>
      <x:c r="K230" s="35" t="n">
        <x:v>9</x:v>
      </x:c>
      <x:c r="L230" s="35" t="n">
        <x:v>6</x:v>
      </x:c>
      <x:c r="M230" s="35" t="n">
        <x:v>11</x:v>
      </x:c>
      <x:c r="N230" s="35" t="str">
        <x:v>No</x:v>
      </x:c>
      <x:c r="O230" s="35" t="n">
        <x:v>3</x:v>
      </x:c>
      <x:c r="P230" s="35" t="n">
        <x:v>2</x:v>
      </x:c>
      <x:c r="Q230" s="35" t="n">
        <x:v>2</x:v>
      </x:c>
      <x:c r="R230" s="35" t="n">
        <x:v>3</x:v>
      </x:c>
      <x:c r="S230" s="35" t="n">
        <x:v>3</x:v>
      </x:c>
      <x:c r="T230" s="35" t="n">
        <x:v>6</x:v>
      </x:c>
      <x:c r="U230" s="35" t="n">
        <x:v>0</x:v>
      </x:c>
      <x:c r="V230" s="35" t="n">
        <x:v>9</x:v>
      </x:c>
      <x:c r="W230" s="35" t="n">
        <x:v>10</x:v>
      </x:c>
      <x:c r="X230" s="35" t="n">
        <x:v>77</x:v>
      </x:c>
      <x:c r="Y230" s="35" t="n">
        <x:v>3</x:v>
      </x:c>
      <x:c r="Z230" s="35" t="n">
        <x:v>88</x:v>
      </x:c>
      <x:c r="AA230" s="35" t="n">
        <x:v>7</x:v>
      </x:c>
      <x:c r="AB230" s="35" t="n">
        <x:v>5</x:v>
      </x:c>
      <x:c r="AC230" s="35" t="n">
        <x:v>3</x:v>
      </x:c>
      <x:c r="AD230" s="35" t="n">
        <x:v>88</x:v>
      </x:c>
      <x:c r="AE230" s="35" t="n">
        <x:v>80</x:v>
      </x:c>
      <x:c r="AF230" s="35" t="n">
        <x:v>81</x:v>
      </x:c>
      <x:c r="AG230" s="35" t="n">
        <x:v>91</x:v>
      </x:c>
      <x:c r="AH230" s="35" t="n">
        <x:v>6</x:v>
      </x:c>
      <x:c r="AI230" s="37" t="n">
        <x:v>92.2</x:v>
      </x:c>
      <x:c r="AJ230" s="37" t="n">
        <x:v>95.5</x:v>
      </x:c>
      <x:c r="AK230" s="35" t="str">
        <x:v>No</x:v>
      </x:c>
      <x:c r="AL230" s="38" t="n">
        <x:f>IF(AA230=0,0,AB230/AA230)</x:f>
        <x:v>0.7142857142857143</x:v>
      </x:c>
      <x:c r="AM230" s="38" t="n">
        <x:f>IF(AB230=0,0,AC230/AB230)</x:f>
        <x:v>0.6</x:v>
      </x:c>
      <x:c r="AN230" s="37" t="n">
        <x:f>ROUND((AD230*0.20+AE230*0.20+AF230*0.25+AG230*0.15+MIN(100,AC230*12)*0.20),1)</x:f>
        <x:v>74.7</x:v>
      </x:c>
      <x:c r="AO230" s="37" t="n">
        <x:f>ROUND(MAX(0,MIN(100,(X230*0.35)+(W230/45*100*0.20)+((5-O230)/4*100*0.15)+((5-P230)/4*100*0.10)+((6-Y230)/5*100*0.10)+((100-Z230)*0.10))),1)</x:f>
        <x:v>53.6</x:v>
      </x:c>
      <x:c r="AP230" s="37" t="str">
        <x:f>IF(AO230&gt;=70,"High",IF(AO230&gt;=40,"Moderate","Low"))</x:f>
        <x:v>Moderate</x:v>
      </x:c>
      <x:c r="AQ230" s="37" t="n">
        <x:f>ROUND(MAX(0,MIN(100,(O230/4*100*0.25)+(P230/4*100*0.20)+(Q230/4*100*0.15)+(Y230/5*100*0.20)+(100-AO230)*0.20)),1)</x:f>
        <x:v>57.5</x:v>
      </x:c>
      <x:c r="AR230" s="37" t="n">
        <x:f>ROUND((AI230*0.20+AJ230*0.15+AN230*0.18+AG230*0.12+Z230*0.15+AQ230*0.20),1)</x:f>
        <x:v>81.8</x:v>
      </x:c>
      <x:c r="AS230" s="39" t="n">
        <x:f>ROUND((AC230*AF230*120)+(AH230*350)+(MAX(0,AI230-75)*220)+(MAX(0,AQ230-60)*100),0)</x:f>
        <x:v>35044</x:v>
      </x:c>
    </x:row>
    <x:row r="231">
      <x:c r="A231" s="35" t="n">
        <x:v>230</x:v>
      </x:c>
      <x:c r="B231" s="35" t="n">
        <x:v>21</x:v>
      </x:c>
      <x:c r="C231" s="35" t="str">
        <x:v>Male</x:v>
      </x:c>
      <x:c r="D231" s="35" t="str">
        <x:v>Marketing</x:v>
      </x:c>
      <x:c r="E231" s="35" t="str">
        <x:v>Marketing Specialist</x:v>
      </x:c>
      <x:c r="F231" s="35" t="str">
        <x:v>Life Sciences</x:v>
      </x:c>
      <x:c r="G231" s="35" t="str">
        <x:v>Single</x:v>
      </x:c>
      <x:c r="H231" s="35" t="n">
        <x:v>1</x:v>
      </x:c>
      <x:c r="I231" s="36" t="n">
        <x:v>5020</x:v>
      </x:c>
      <x:c r="J231" s="35" t="n">
        <x:v>0</x:v>
      </x:c>
      <x:c r="K231" s="35" t="n">
        <x:v>0</x:v>
      </x:c>
      <x:c r="L231" s="35" t="n">
        <x:v>0</x:v>
      </x:c>
      <x:c r="M231" s="35" t="n">
        <x:v>7</x:v>
      </x:c>
      <x:c r="N231" s="35" t="str">
        <x:v>Yes</x:v>
      </x:c>
      <x:c r="O231" s="35" t="n">
        <x:v>2</x:v>
      </x:c>
      <x:c r="P231" s="35" t="n">
        <x:v>2</x:v>
      </x:c>
      <x:c r="Q231" s="35" t="n">
        <x:v>3</x:v>
      </x:c>
      <x:c r="R231" s="35" t="n">
        <x:v>3</x:v>
      </x:c>
      <x:c r="S231" s="35" t="n">
        <x:v>3</x:v>
      </x:c>
      <x:c r="T231" s="35" t="n">
        <x:v>3</x:v>
      </x:c>
      <x:c r="U231" s="35" t="n">
        <x:v>2</x:v>
      </x:c>
      <x:c r="V231" s="35" t="n">
        <x:v>9</x:v>
      </x:c>
      <x:c r="W231" s="35" t="n">
        <x:v>17</x:v>
      </x:c>
      <x:c r="X231" s="35" t="n">
        <x:v>80</x:v>
      </x:c>
      <x:c r="Y231" s="35" t="n">
        <x:v>3</x:v>
      </x:c>
      <x:c r="Z231" s="35" t="n">
        <x:v>84</x:v>
      </x:c>
      <x:c r="AA231" s="35" t="n">
        <x:v>3</x:v>
      </x:c>
      <x:c r="AB231" s="35" t="n">
        <x:v>2</x:v>
      </x:c>
      <x:c r="AC231" s="35" t="n">
        <x:v>2</x:v>
      </x:c>
      <x:c r="AD231" s="35" t="n">
        <x:v>61</x:v>
      </x:c>
      <x:c r="AE231" s="35" t="n">
        <x:v>70</x:v>
      </x:c>
      <x:c r="AF231" s="35" t="n">
        <x:v>68</x:v>
      </x:c>
      <x:c r="AG231" s="35" t="n">
        <x:v>98</x:v>
      </x:c>
      <x:c r="AH231" s="35" t="n">
        <x:v>6</x:v>
      </x:c>
      <x:c r="AI231" s="37" t="n">
        <x:v>94.2</x:v>
      </x:c>
      <x:c r="AJ231" s="37" t="n">
        <x:v>93.9</x:v>
      </x:c>
      <x:c r="AK231" s="35" t="str">
        <x:v>Yes</x:v>
      </x:c>
      <x:c r="AL231" s="38" t="n">
        <x:f>IF(AA231=0,0,AB231/AA231)</x:f>
        <x:v>0.6666666666666666</x:v>
      </x:c>
      <x:c r="AM231" s="38" t="n">
        <x:f>IF(AB231=0,0,AC231/AB231)</x:f>
        <x:v>1</x:v>
      </x:c>
      <x:c r="AN231" s="37" t="n">
        <x:f>ROUND((AD231*0.20+AE231*0.20+AF231*0.25+AG231*0.15+MIN(100,AC231*12)*0.20),1)</x:f>
        <x:v>62.7</x:v>
      </x:c>
      <x:c r="AO231" s="37" t="n">
        <x:f>ROUND(MAX(0,MIN(100,(X231*0.35)+(W231/45*100*0.20)+((5-O231)/4*100*0.15)+((5-P231)/4*100*0.10)+((6-Y231)/5*100*0.10)+((100-Z231)*0.10))),1)</x:f>
        <x:v>61.9</x:v>
      </x:c>
      <x:c r="AP231" s="37" t="str">
        <x:f>IF(AO231&gt;=70,"High",IF(AO231&gt;=40,"Moderate","Low"))</x:f>
        <x:v>Moderate</x:v>
      </x:c>
      <x:c r="AQ231" s="37" t="n">
        <x:f>ROUND(MAX(0,MIN(100,(O231/4*100*0.25)+(P231/4*100*0.20)+(Q231/4*100*0.15)+(Y231/5*100*0.20)+(100-AO231)*0.20)),1)</x:f>
        <x:v>53.4</x:v>
      </x:c>
      <x:c r="AR231" s="37" t="n">
        <x:f>ROUND((AI231*0.20+AJ231*0.15+AN231*0.18+AG231*0.12+Z231*0.15+AQ231*0.20),1)</x:f>
        <x:v>79.3</x:v>
      </x:c>
      <x:c r="AS231" s="39" t="n">
        <x:f>ROUND((AC231*AF231*120)+(AH231*350)+(MAX(0,AI231-75)*220)+(MAX(0,AQ231-60)*100),0)</x:f>
        <x:v>22644</x:v>
      </x:c>
    </x:row>
    <x:row r="232">
      <x:c r="A232" s="35" t="n">
        <x:v>231</x:v>
      </x:c>
      <x:c r="B232" s="35" t="n">
        <x:v>37</x:v>
      </x:c>
      <x:c r="C232" s="35" t="str">
        <x:v>Female</x:v>
      </x:c>
      <x:c r="D232" s="35" t="str">
        <x:v>Human Resources</x:v>
      </x:c>
      <x:c r="E232" s="35" t="str">
        <x:v>Talent Development Specialist</x:v>
      </x:c>
      <x:c r="F232" s="35" t="str">
        <x:v>Medical</x:v>
      </x:c>
      <x:c r="G232" s="35" t="str">
        <x:v>Divorced</x:v>
      </x:c>
      <x:c r="H232" s="35" t="n">
        <x:v>1</x:v>
      </x:c>
      <x:c r="I232" s="36" t="n">
        <x:v>6090</x:v>
      </x:c>
      <x:c r="J232" s="35" t="n">
        <x:v>12</x:v>
      </x:c>
      <x:c r="K232" s="35" t="n">
        <x:v>4</x:v>
      </x:c>
      <x:c r="L232" s="35" t="n">
        <x:v>2</x:v>
      </x:c>
      <x:c r="M232" s="35" t="n">
        <x:v>21</x:v>
      </x:c>
      <x:c r="N232" s="35" t="str">
        <x:v>No</x:v>
      </x:c>
      <x:c r="O232" s="35" t="n">
        <x:v>3</x:v>
      </x:c>
      <x:c r="P232" s="35" t="n">
        <x:v>4</x:v>
      </x:c>
      <x:c r="Q232" s="35" t="n">
        <x:v>3</x:v>
      </x:c>
      <x:c r="R232" s="35" t="n">
        <x:v>3</x:v>
      </x:c>
      <x:c r="S232" s="35" t="n">
        <x:v>4</x:v>
      </x:c>
      <x:c r="T232" s="35" t="n">
        <x:v>4</x:v>
      </x:c>
      <x:c r="U232" s="35" t="n">
        <x:v>0</x:v>
      </x:c>
      <x:c r="V232" s="35" t="n">
        <x:v>5</x:v>
      </x:c>
      <x:c r="W232" s="35" t="n">
        <x:v>14</x:v>
      </x:c>
      <x:c r="X232" s="35" t="n">
        <x:v>49</x:v>
      </x:c>
      <x:c r="Y232" s="35" t="n">
        <x:v>5</x:v>
      </x:c>
      <x:c r="Z232" s="35" t="n">
        <x:v>100</x:v>
      </x:c>
      <x:c r="AA232" s="35" t="n">
        <x:v>6</x:v>
      </x:c>
      <x:c r="AB232" s="35" t="n">
        <x:v>6</x:v>
      </x:c>
      <x:c r="AC232" s="35" t="n">
        <x:v>6</x:v>
      </x:c>
      <x:c r="AD232" s="35" t="n">
        <x:v>82</x:v>
      </x:c>
      <x:c r="AE232" s="35" t="n">
        <x:v>90</x:v>
      </x:c>
      <x:c r="AF232" s="35" t="n">
        <x:v>89</x:v>
      </x:c>
      <x:c r="AG232" s="35" t="n">
        <x:v>80</x:v>
      </x:c>
      <x:c r="AH232" s="35" t="n">
        <x:v>12</x:v>
      </x:c>
      <x:c r="AI232" s="37" t="n">
        <x:v>92.2</x:v>
      </x:c>
      <x:c r="AJ232" s="37" t="n">
        <x:v>95.5</x:v>
      </x:c>
      <x:c r="AK232" s="35" t="str">
        <x:v>No</x:v>
      </x:c>
      <x:c r="AL232" s="38" t="n">
        <x:f>IF(AA232=0,0,AB232/AA232)</x:f>
        <x:v>1</x:v>
      </x:c>
      <x:c r="AM232" s="38" t="n">
        <x:f>IF(AB232=0,0,AC232/AB232)</x:f>
        <x:v>1</x:v>
      </x:c>
      <x:c r="AN232" s="37" t="n">
        <x:f>ROUND((AD232*0.20+AE232*0.20+AF232*0.25+AG232*0.15+MIN(100,AC232*12)*0.20),1)</x:f>
        <x:v>83.1</x:v>
      </x:c>
      <x:c r="AO232" s="37" t="n">
        <x:f>ROUND(MAX(0,MIN(100,(X232*0.35)+(W232/45*100*0.20)+((5-O232)/4*100*0.15)+((5-P232)/4*100*0.10)+((6-Y232)/5*100*0.10)+((100-Z232)*0.10))),1)</x:f>
        <x:v>35.4</x:v>
      </x:c>
      <x:c r="AP232" s="37" t="str">
        <x:f>IF(AO232&gt;=70,"High",IF(AO232&gt;=40,"Moderate","Low"))</x:f>
        <x:v>Low</x:v>
      </x:c>
      <x:c r="AQ232" s="37" t="n">
        <x:f>ROUND(MAX(0,MIN(100,(O232/4*100*0.25)+(P232/4*100*0.20)+(Q232/4*100*0.15)+(Y232/5*100*0.20)+(100-AO232)*0.20)),1)</x:f>
        <x:v>82.9</x:v>
      </x:c>
      <x:c r="AR232" s="37" t="n">
        <x:f>ROUND((AI232*0.20+AJ232*0.15+AN232*0.18+AG232*0.12+Z232*0.15+AQ232*0.20),1)</x:f>
        <x:v>88.9</x:v>
      </x:c>
      <x:c r="AS232" s="39" t="n">
        <x:f>ROUND((AC232*AF232*120)+(AH232*350)+(MAX(0,AI232-75)*220)+(MAX(0,AQ232-60)*100),0)</x:f>
        <x:v>74354</x:v>
      </x:c>
    </x:row>
    <x:row r="233">
      <x:c r="A233" s="35" t="n">
        <x:v>232</x:v>
      </x:c>
      <x:c r="B233" s="35" t="n">
        <x:v>38</x:v>
      </x:c>
      <x:c r="C233" s="35" t="str">
        <x:v>Female</x:v>
      </x:c>
      <x:c r="D233" s="35" t="str">
        <x:v>Information Technology</x:v>
      </x:c>
      <x:c r="E233" s="35" t="str">
        <x:v>Systems Analyst</x:v>
      </x:c>
      <x:c r="F233" s="35" t="str">
        <x:v>Human Resources</x:v>
      </x:c>
      <x:c r="G233" s="35" t="str">
        <x:v>Single</x:v>
      </x:c>
      <x:c r="H233" s="35" t="n">
        <x:v>1</x:v>
      </x:c>
      <x:c r="I233" s="36" t="n">
        <x:v>5410</x:v>
      </x:c>
      <x:c r="J233" s="35" t="n">
        <x:v>15</x:v>
      </x:c>
      <x:c r="K233" s="35" t="n">
        <x:v>9</x:v>
      </x:c>
      <x:c r="L233" s="35" t="n">
        <x:v>3</x:v>
      </x:c>
      <x:c r="M233" s="35" t="n">
        <x:v>4</x:v>
      </x:c>
      <x:c r="N233" s="35" t="str">
        <x:v>No</x:v>
      </x:c>
      <x:c r="O233" s="35" t="n">
        <x:v>2</x:v>
      </x:c>
      <x:c r="P233" s="35" t="n">
        <x:v>3</x:v>
      </x:c>
      <x:c r="Q233" s="35" t="n">
        <x:v>2</x:v>
      </x:c>
      <x:c r="R233" s="35" t="n">
        <x:v>3</x:v>
      </x:c>
      <x:c r="S233" s="35" t="n">
        <x:v>3</x:v>
      </x:c>
      <x:c r="T233" s="35" t="n">
        <x:v>4</x:v>
      </x:c>
      <x:c r="U233" s="35" t="n">
        <x:v>2</x:v>
      </x:c>
      <x:c r="V233" s="35" t="n">
        <x:v>0</x:v>
      </x:c>
      <x:c r="W233" s="35" t="n">
        <x:v>6</x:v>
      </x:c>
      <x:c r="X233" s="35" t="n">
        <x:v>68</x:v>
      </x:c>
      <x:c r="Y233" s="35" t="n">
        <x:v>3</x:v>
      </x:c>
      <x:c r="Z233" s="35" t="n">
        <x:v>88</x:v>
      </x:c>
      <x:c r="AA233" s="35" t="n">
        <x:v>8</x:v>
      </x:c>
      <x:c r="AB233" s="35" t="n">
        <x:v>5</x:v>
      </x:c>
      <x:c r="AC233" s="35" t="n">
        <x:v>4</x:v>
      </x:c>
      <x:c r="AD233" s="35" t="n">
        <x:v>88</x:v>
      </x:c>
      <x:c r="AE233" s="35" t="n">
        <x:v>93</x:v>
      </x:c>
      <x:c r="AF233" s="35" t="n">
        <x:v>85</x:v>
      </x:c>
      <x:c r="AG233" s="35" t="n">
        <x:v>83</x:v>
      </x:c>
      <x:c r="AH233" s="35" t="n">
        <x:v>8</x:v>
      </x:c>
      <x:c r="AI233" s="37" t="n">
        <x:v>100</x:v>
      </x:c>
      <x:c r="AJ233" s="37" t="n">
        <x:v>100</x:v>
      </x:c>
      <x:c r="AK233" s="35" t="str">
        <x:v>No</x:v>
      </x:c>
      <x:c r="AL233" s="38" t="n">
        <x:f>IF(AA233=0,0,AB233/AA233)</x:f>
        <x:v>0.625</x:v>
      </x:c>
      <x:c r="AM233" s="38" t="n">
        <x:f>IF(AB233=0,0,AC233/AB233)</x:f>
        <x:v>0.8</x:v>
      </x:c>
      <x:c r="AN233" s="37" t="n">
        <x:f>ROUND((AD233*0.20+AE233*0.20+AF233*0.25+AG233*0.15+MIN(100,AC233*12)*0.20),1)</x:f>
        <x:v>79.5</x:v>
      </x:c>
      <x:c r="AO233" s="37" t="n">
        <x:f>ROUND(MAX(0,MIN(100,(X233*0.35)+(W233/45*100*0.20)+((5-O233)/4*100*0.15)+((5-P233)/4*100*0.10)+((6-Y233)/5*100*0.10)+((100-Z233)*0.10))),1)</x:f>
        <x:v>49.9</x:v>
      </x:c>
      <x:c r="AP233" s="37" t="str">
        <x:f>IF(AO233&gt;=70,"High",IF(AO233&gt;=40,"Moderate","Low"))</x:f>
        <x:v>Moderate</x:v>
      </x:c>
      <x:c r="AQ233" s="37" t="n">
        <x:f>ROUND(MAX(0,MIN(100,(O233/4*100*0.25)+(P233/4*100*0.20)+(Q233/4*100*0.15)+(Y233/5*100*0.20)+(100-AO233)*0.20)),1)</x:f>
        <x:v>57</x:v>
      </x:c>
      <x:c r="AR233" s="37" t="n">
        <x:f>ROUND((AI233*0.20+AJ233*0.15+AN233*0.18+AG233*0.12+Z233*0.15+AQ233*0.20),1)</x:f>
        <x:v>83.9</x:v>
      </x:c>
      <x:c r="AS233" s="39" t="n">
        <x:f>ROUND((AC233*AF233*120)+(AH233*350)+(MAX(0,AI233-75)*220)+(MAX(0,AQ233-60)*100),0)</x:f>
        <x:v>49100</x:v>
      </x:c>
    </x:row>
    <x:row r="234">
      <x:c r="A234" s="35" t="n">
        <x:v>233</x:v>
      </x:c>
      <x:c r="B234" s="35" t="n">
        <x:v>21</x:v>
      </x:c>
      <x:c r="C234" s="35" t="str">
        <x:v>Female</x:v>
      </x:c>
      <x:c r="D234" s="35" t="str">
        <x:v>Sales</x:v>
      </x:c>
      <x:c r="E234" s="35" t="str">
        <x:v>Account Manager</x:v>
      </x:c>
      <x:c r="F234" s="35" t="str">
        <x:v>Computer Science</x:v>
      </x:c>
      <x:c r="G234" s="35" t="str">
        <x:v>Married</x:v>
      </x:c>
      <x:c r="H234" s="35" t="n">
        <x:v>1</x:v>
      </x:c>
      <x:c r="I234" s="36" t="n">
        <x:v>5830</x:v>
      </x:c>
      <x:c r="J234" s="35" t="n">
        <x:v>0</x:v>
      </x:c>
      <x:c r="K234" s="35" t="n">
        <x:v>0</x:v>
      </x:c>
      <x:c r="L234" s="35" t="n">
        <x:v>0</x:v>
      </x:c>
      <x:c r="M234" s="35" t="n">
        <x:v>6</x:v>
      </x:c>
      <x:c r="N234" s="35" t="str">
        <x:v>Yes</x:v>
      </x:c>
      <x:c r="O234" s="35" t="n">
        <x:v>3</x:v>
      </x:c>
      <x:c r="P234" s="35" t="n">
        <x:v>4</x:v>
      </x:c>
      <x:c r="Q234" s="35" t="n">
        <x:v>2</x:v>
      </x:c>
      <x:c r="R234" s="35" t="n">
        <x:v>2</x:v>
      </x:c>
      <x:c r="S234" s="35" t="n">
        <x:v>3</x:v>
      </x:c>
      <x:c r="T234" s="35" t="n">
        <x:v>3</x:v>
      </x:c>
      <x:c r="U234" s="35" t="n">
        <x:v>1</x:v>
      </x:c>
      <x:c r="V234" s="35" t="n">
        <x:v>11</x:v>
      </x:c>
      <x:c r="W234" s="35" t="n">
        <x:v>19</x:v>
      </x:c>
      <x:c r="X234" s="35" t="n">
        <x:v>66</x:v>
      </x:c>
      <x:c r="Y234" s="35" t="n">
        <x:v>5</x:v>
      </x:c>
      <x:c r="Z234" s="35" t="n">
        <x:v>100</x:v>
      </x:c>
      <x:c r="AA234" s="35" t="n">
        <x:v>6</x:v>
      </x:c>
      <x:c r="AB234" s="35" t="n">
        <x:v>5</x:v>
      </x:c>
      <x:c r="AC234" s="35" t="n">
        <x:v>4</x:v>
      </x:c>
      <x:c r="AD234" s="35" t="n">
        <x:v>69</x:v>
      </x:c>
      <x:c r="AE234" s="35" t="n">
        <x:v>72</x:v>
      </x:c>
      <x:c r="AF234" s="35" t="n">
        <x:v>62</x:v>
      </x:c>
      <x:c r="AG234" s="35" t="n">
        <x:v>85</x:v>
      </x:c>
      <x:c r="AH234" s="35" t="n">
        <x:v>6</x:v>
      </x:c>
      <x:c r="AI234" s="37" t="n">
        <x:v>92.6</x:v>
      </x:c>
      <x:c r="AJ234" s="37" t="n">
        <x:v>90.2</x:v>
      </x:c>
      <x:c r="AK234" s="35" t="str">
        <x:v>No</x:v>
      </x:c>
      <x:c r="AL234" s="38" t="n">
        <x:f>IF(AA234=0,0,AB234/AA234)</x:f>
        <x:v>0.8333333333333334</x:v>
      </x:c>
      <x:c r="AM234" s="38" t="n">
        <x:f>IF(AB234=0,0,AC234/AB234)</x:f>
        <x:v>0.8</x:v>
      </x:c>
      <x:c r="AN234" s="37" t="n">
        <x:f>ROUND((AD234*0.20+AE234*0.20+AF234*0.25+AG234*0.15+MIN(100,AC234*12)*0.20),1)</x:f>
        <x:v>66.1</x:v>
      </x:c>
      <x:c r="AO234" s="37" t="n">
        <x:f>ROUND(MAX(0,MIN(100,(X234*0.35)+(W234/45*100*0.20)+((5-O234)/4*100*0.15)+((5-P234)/4*100*0.10)+((6-Y234)/5*100*0.10)+((100-Z234)*0.10))),1)</x:f>
        <x:v>43.5</x:v>
      </x:c>
      <x:c r="AP234" s="37" t="str">
        <x:f>IF(AO234&gt;=70,"High",IF(AO234&gt;=40,"Moderate","Low"))</x:f>
        <x:v>Moderate</x:v>
      </x:c>
      <x:c r="AQ234" s="37" t="n">
        <x:f>ROUND(MAX(0,MIN(100,(O234/4*100*0.25)+(P234/4*100*0.20)+(Q234/4*100*0.15)+(Y234/5*100*0.20)+(100-AO234)*0.20)),1)</x:f>
        <x:v>77.6</x:v>
      </x:c>
      <x:c r="AR234" s="37" t="n">
        <x:f>ROUND((AI234*0.20+AJ234*0.15+AN234*0.18+AG234*0.12+Z234*0.15+AQ234*0.20),1)</x:f>
        <x:v>84.7</x:v>
      </x:c>
      <x:c r="AS234" s="39" t="n">
        <x:f>ROUND((AC234*AF234*120)+(AH234*350)+(MAX(0,AI234-75)*220)+(MAX(0,AQ234-60)*100),0)</x:f>
        <x:v>37492</x:v>
      </x:c>
    </x:row>
    <x:row r="235">
      <x:c r="A235" s="35" t="n">
        <x:v>234</x:v>
      </x:c>
      <x:c r="B235" s="35" t="n">
        <x:v>22</x:v>
      </x:c>
      <x:c r="C235" s="35" t="str">
        <x:v>Male</x:v>
      </x:c>
      <x:c r="D235" s="35" t="str">
        <x:v>Finance</x:v>
      </x:c>
      <x:c r="E235" s="35" t="str">
        <x:v>Accountant</x:v>
      </x:c>
      <x:c r="F235" s="35" t="str">
        <x:v>Life Sciences</x:v>
      </x:c>
      <x:c r="G235" s="35" t="str">
        <x:v>Married</x:v>
      </x:c>
      <x:c r="H235" s="35" t="n">
        <x:v>2</x:v>
      </x:c>
      <x:c r="I235" s="36" t="n">
        <x:v>10040</x:v>
      </x:c>
      <x:c r="J235" s="35" t="n">
        <x:v>1</x:v>
      </x:c>
      <x:c r="K235" s="35" t="n">
        <x:v>0</x:v>
      </x:c>
      <x:c r="L235" s="35" t="n">
        <x:v>0</x:v>
      </x:c>
      <x:c r="M235" s="35" t="n">
        <x:v>10</x:v>
      </x:c>
      <x:c r="N235" s="35" t="str">
        <x:v>No</x:v>
      </x:c>
      <x:c r="O235" s="35" t="n">
        <x:v>3</x:v>
      </x:c>
      <x:c r="P235" s="35" t="n">
        <x:v>2</x:v>
      </x:c>
      <x:c r="Q235" s="35" t="n">
        <x:v>2</x:v>
      </x:c>
      <x:c r="R235" s="35" t="n">
        <x:v>2</x:v>
      </x:c>
      <x:c r="S235" s="35" t="n">
        <x:v>3</x:v>
      </x:c>
      <x:c r="T235" s="35" t="n">
        <x:v>5</x:v>
      </x:c>
      <x:c r="U235" s="35" t="n">
        <x:v>1</x:v>
      </x:c>
      <x:c r="V235" s="35" t="n">
        <x:v>4</x:v>
      </x:c>
      <x:c r="W235" s="35" t="n">
        <x:v>18</x:v>
      </x:c>
      <x:c r="X235" s="35" t="n">
        <x:v>50</x:v>
      </x:c>
      <x:c r="Y235" s="35" t="n">
        <x:v>5</x:v>
      </x:c>
      <x:c r="Z235" s="35" t="n">
        <x:v>93</x:v>
      </x:c>
      <x:c r="AA235" s="35" t="n">
        <x:v>7</x:v>
      </x:c>
      <x:c r="AB235" s="35" t="n">
        <x:v>6</x:v>
      </x:c>
      <x:c r="AC235" s="35" t="n">
        <x:v>6</x:v>
      </x:c>
      <x:c r="AD235" s="35" t="n">
        <x:v>71</x:v>
      </x:c>
      <x:c r="AE235" s="35" t="n">
        <x:v>100</x:v>
      </x:c>
      <x:c r="AF235" s="35" t="n">
        <x:v>88</x:v>
      </x:c>
      <x:c r="AG235" s="35" t="n">
        <x:v>74</x:v>
      </x:c>
      <x:c r="AH235" s="35" t="n">
        <x:v>9</x:v>
      </x:c>
      <x:c r="AI235" s="37" t="n">
        <x:v>100</x:v>
      </x:c>
      <x:c r="AJ235" s="37" t="n">
        <x:v>88.9</x:v>
      </x:c>
      <x:c r="AK235" s="35" t="str">
        <x:v>No</x:v>
      </x:c>
      <x:c r="AL235" s="38" t="n">
        <x:f>IF(AA235=0,0,AB235/AA235)</x:f>
        <x:v>0.8571428571428571</x:v>
      </x:c>
      <x:c r="AM235" s="38" t="n">
        <x:f>IF(AB235=0,0,AC235/AB235)</x:f>
        <x:v>1</x:v>
      </x:c>
      <x:c r="AN235" s="37" t="n">
        <x:f>ROUND((AD235*0.20+AE235*0.20+AF235*0.25+AG235*0.15+MIN(100,AC235*12)*0.20),1)</x:f>
        <x:v>81.7</x:v>
      </x:c>
      <x:c r="AO235" s="37" t="n">
        <x:f>ROUND(MAX(0,MIN(100,(X235*0.35)+(W235/45*100*0.20)+((5-O235)/4*100*0.15)+((5-P235)/4*100*0.10)+((6-Y235)/5*100*0.10)+((100-Z235)*0.10))),1)</x:f>
        <x:v>43.2</x:v>
      </x:c>
      <x:c r="AP235" s="37" t="str">
        <x:f>IF(AO235&gt;=70,"High",IF(AO235&gt;=40,"Moderate","Low"))</x:f>
        <x:v>Moderate</x:v>
      </x:c>
      <x:c r="AQ235" s="37" t="n">
        <x:f>ROUND(MAX(0,MIN(100,(O235/4*100*0.25)+(P235/4*100*0.20)+(Q235/4*100*0.15)+(Y235/5*100*0.20)+(100-AO235)*0.20)),1)</x:f>
        <x:v>67.6</x:v>
      </x:c>
      <x:c r="AR235" s="37" t="n">
        <x:f>ROUND((AI235*0.20+AJ235*0.15+AN235*0.18+AG235*0.12+Z235*0.15+AQ235*0.20),1)</x:f>
        <x:v>84.4</x:v>
      </x:c>
      <x:c r="AS235" s="39" t="n">
        <x:f>ROUND((AC235*AF235*120)+(AH235*350)+(MAX(0,AI235-75)*220)+(MAX(0,AQ235-60)*100),0)</x:f>
        <x:v>72770</x:v>
      </x:c>
    </x:row>
    <x:row r="236">
      <x:c r="A236" s="35" t="n">
        <x:v>235</x:v>
      </x:c>
      <x:c r="B236" s="35" t="n">
        <x:v>39</x:v>
      </x:c>
      <x:c r="C236" s="35" t="str">
        <x:v>Male</x:v>
      </x:c>
      <x:c r="D236" s="35" t="str">
        <x:v>Marketing</x:v>
      </x:c>
      <x:c r="E236" s="35" t="str">
        <x:v>Digital Marketing Analyst</x:v>
      </x:c>
      <x:c r="F236" s="35" t="str">
        <x:v>Marketing</x:v>
      </x:c>
      <x:c r="G236" s="35" t="str">
        <x:v>Married</x:v>
      </x:c>
      <x:c r="H236" s="35" t="n">
        <x:v>3</x:v>
      </x:c>
      <x:c r="I236" s="36" t="n">
        <x:v>15000</x:v>
      </x:c>
      <x:c r="J236" s="35" t="n">
        <x:v>14</x:v>
      </x:c>
      <x:c r="K236" s="35" t="n">
        <x:v>7</x:v>
      </x:c>
      <x:c r="L236" s="35" t="n">
        <x:v>3</x:v>
      </x:c>
      <x:c r="M236" s="35" t="n">
        <x:v>1</x:v>
      </x:c>
      <x:c r="N236" s="35" t="str">
        <x:v>Yes</x:v>
      </x:c>
      <x:c r="O236" s="35" t="n">
        <x:v>3</x:v>
      </x:c>
      <x:c r="P236" s="35" t="n">
        <x:v>3</x:v>
      </x:c>
      <x:c r="Q236" s="35" t="n">
        <x:v>3</x:v>
      </x:c>
      <x:c r="R236" s="35" t="n">
        <x:v>4</x:v>
      </x:c>
      <x:c r="S236" s="35" t="n">
        <x:v>3</x:v>
      </x:c>
      <x:c r="T236" s="35" t="n">
        <x:v>2</x:v>
      </x:c>
      <x:c r="U236" s="35" t="n">
        <x:v>0</x:v>
      </x:c>
      <x:c r="V236" s="35" t="n">
        <x:v>13</x:v>
      </x:c>
      <x:c r="W236" s="35" t="n">
        <x:v>26</x:v>
      </x:c>
      <x:c r="X236" s="35" t="n">
        <x:v>74</x:v>
      </x:c>
      <x:c r="Y236" s="35" t="n">
        <x:v>4</x:v>
      </x:c>
      <x:c r="Z236" s="35" t="n">
        <x:v>100</x:v>
      </x:c>
      <x:c r="AA236" s="35" t="n">
        <x:v>5</x:v>
      </x:c>
      <x:c r="AB236" s="35" t="n">
        <x:v>5</x:v>
      </x:c>
      <x:c r="AC236" s="35" t="n">
        <x:v>3</x:v>
      </x:c>
      <x:c r="AD236" s="35" t="n">
        <x:v>74</x:v>
      </x:c>
      <x:c r="AE236" s="35" t="n">
        <x:v>48</x:v>
      </x:c>
      <x:c r="AF236" s="35" t="n">
        <x:v>67</x:v>
      </x:c>
      <x:c r="AG236" s="35" t="n">
        <x:v>82</x:v>
      </x:c>
      <x:c r="AH236" s="35" t="n">
        <x:v>7</x:v>
      </x:c>
      <x:c r="AI236" s="37" t="n">
        <x:v>100</x:v>
      </x:c>
      <x:c r="AJ236" s="37" t="n">
        <x:v>96.4</x:v>
      </x:c>
      <x:c r="AK236" s="35" t="str">
        <x:v>No</x:v>
      </x:c>
      <x:c r="AL236" s="38" t="n">
        <x:f>IF(AA236=0,0,AB236/AA236)</x:f>
        <x:v>1</x:v>
      </x:c>
      <x:c r="AM236" s="38" t="n">
        <x:f>IF(AB236=0,0,AC236/AB236)</x:f>
        <x:v>0.6</x:v>
      </x:c>
      <x:c r="AN236" s="37" t="n">
        <x:f>ROUND((AD236*0.20+AE236*0.20+AF236*0.25+AG236*0.15+MIN(100,AC236*12)*0.20),1)</x:f>
        <x:v>60.7</x:v>
      </x:c>
      <x:c r="AO236" s="37" t="n">
        <x:f>ROUND(MAX(0,MIN(100,(X236*0.35)+(W236/45*100*0.20)+((5-O236)/4*100*0.15)+((5-P236)/4*100*0.10)+((6-Y236)/5*100*0.10)+((100-Z236)*0.10))),1)</x:f>
        <x:v>54</x:v>
      </x:c>
      <x:c r="AP236" s="37" t="str">
        <x:f>IF(AO236&gt;=70,"High",IF(AO236&gt;=40,"Moderate","Low"))</x:f>
        <x:v>Moderate</x:v>
      </x:c>
      <x:c r="AQ236" s="37" t="n">
        <x:f>ROUND(MAX(0,MIN(100,(O236/4*100*0.25)+(P236/4*100*0.20)+(Q236/4*100*0.15)+(Y236/5*100*0.20)+(100-AO236)*0.20)),1)</x:f>
        <x:v>70.2</x:v>
      </x:c>
      <x:c r="AR236" s="37" t="n">
        <x:f>ROUND((AI236*0.20+AJ236*0.15+AN236*0.18+AG236*0.12+Z236*0.15+AQ236*0.20),1)</x:f>
        <x:v>84.3</x:v>
      </x:c>
      <x:c r="AS236" s="39" t="n">
        <x:f>ROUND((AC236*AF236*120)+(AH236*350)+(MAX(0,AI236-75)*220)+(MAX(0,AQ236-60)*100),0)</x:f>
        <x:v>33090</x:v>
      </x:c>
    </x:row>
    <x:row r="237">
      <x:c r="A237" s="35" t="n">
        <x:v>236</x:v>
      </x:c>
      <x:c r="B237" s="35" t="n">
        <x:v>23</x:v>
      </x:c>
      <x:c r="C237" s="35" t="str">
        <x:v>Female</x:v>
      </x:c>
      <x:c r="D237" s="35" t="str">
        <x:v>Finance</x:v>
      </x:c>
      <x:c r="E237" s="35" t="str">
        <x:v>Finance Manager</x:v>
      </x:c>
      <x:c r="F237" s="35" t="str">
        <x:v>Life Sciences</x:v>
      </x:c>
      <x:c r="G237" s="35" t="str">
        <x:v>Single</x:v>
      </x:c>
      <x:c r="H237" s="35" t="n">
        <x:v>1</x:v>
      </x:c>
      <x:c r="I237" s="36" t="n">
        <x:v>4000</x:v>
      </x:c>
      <x:c r="J237" s="35" t="n">
        <x:v>2</x:v>
      </x:c>
      <x:c r="K237" s="35" t="n">
        <x:v>2</x:v>
      </x:c>
      <x:c r="L237" s="35" t="n">
        <x:v>2</x:v>
      </x:c>
      <x:c r="M237" s="35" t="n">
        <x:v>18</x:v>
      </x:c>
      <x:c r="N237" s="35" t="str">
        <x:v>No</x:v>
      </x:c>
      <x:c r="O237" s="35" t="n">
        <x:v>2</x:v>
      </x:c>
      <x:c r="P237" s="35" t="n">
        <x:v>2</x:v>
      </x:c>
      <x:c r="Q237" s="35" t="n">
        <x:v>3</x:v>
      </x:c>
      <x:c r="R237" s="35" t="n">
        <x:v>2</x:v>
      </x:c>
      <x:c r="S237" s="35" t="n">
        <x:v>3</x:v>
      </x:c>
      <x:c r="T237" s="35" t="n">
        <x:v>3</x:v>
      </x:c>
      <x:c r="U237" s="35" t="n">
        <x:v>1</x:v>
      </x:c>
      <x:c r="V237" s="35" t="n">
        <x:v>1</x:v>
      </x:c>
      <x:c r="W237" s="35" t="n">
        <x:v>15</x:v>
      </x:c>
      <x:c r="X237" s="35" t="n">
        <x:v>54</x:v>
      </x:c>
      <x:c r="Y237" s="35" t="n">
        <x:v>5</x:v>
      </x:c>
      <x:c r="Z237" s="35" t="n">
        <x:v>99</x:v>
      </x:c>
      <x:c r="AA237" s="35" t="n">
        <x:v>10</x:v>
      </x:c>
      <x:c r="AB237" s="35" t="n">
        <x:v>7</x:v>
      </x:c>
      <x:c r="AC237" s="35" t="n">
        <x:v>5</x:v>
      </x:c>
      <x:c r="AD237" s="35" t="n">
        <x:v>82</x:v>
      </x:c>
      <x:c r="AE237" s="35" t="n">
        <x:v>100</x:v>
      </x:c>
      <x:c r="AF237" s="35" t="n">
        <x:v>75</x:v>
      </x:c>
      <x:c r="AG237" s="35" t="n">
        <x:v>85</x:v>
      </x:c>
      <x:c r="AH237" s="35" t="n">
        <x:v>9</x:v>
      </x:c>
      <x:c r="AI237" s="37" t="n">
        <x:v>100</x:v>
      </x:c>
      <x:c r="AJ237" s="37" t="n">
        <x:v>100</x:v>
      </x:c>
      <x:c r="AK237" s="35" t="str">
        <x:v>No</x:v>
      </x:c>
      <x:c r="AL237" s="38" t="n">
        <x:f>IF(AA237=0,0,AB237/AA237)</x:f>
        <x:v>0.7</x:v>
      </x:c>
      <x:c r="AM237" s="38" t="n">
        <x:f>IF(AB237=0,0,AC237/AB237)</x:f>
        <x:v>0.7142857142857143</x:v>
      </x:c>
      <x:c r="AN237" s="37" t="n">
        <x:f>ROUND((AD237*0.20+AE237*0.20+AF237*0.25+AG237*0.15+MIN(100,AC237*12)*0.20),1)</x:f>
        <x:v>79.9</x:v>
      </x:c>
      <x:c r="AO237" s="37" t="n">
        <x:f>ROUND(MAX(0,MIN(100,(X237*0.35)+(W237/45*100*0.20)+((5-O237)/4*100*0.15)+((5-P237)/4*100*0.10)+((6-Y237)/5*100*0.10)+((100-Z237)*0.10))),1)</x:f>
        <x:v>46.4</x:v>
      </x:c>
      <x:c r="AP237" s="37" t="str">
        <x:f>IF(AO237&gt;=70,"High",IF(AO237&gt;=40,"Moderate","Low"))</x:f>
        <x:v>Moderate</x:v>
      </x:c>
      <x:c r="AQ237" s="37" t="n">
        <x:f>ROUND(MAX(0,MIN(100,(O237/4*100*0.25)+(P237/4*100*0.20)+(Q237/4*100*0.15)+(Y237/5*100*0.20)+(100-AO237)*0.20)),1)</x:f>
        <x:v>64.5</x:v>
      </x:c>
      <x:c r="AR237" s="37" t="n">
        <x:f>ROUND((AI237*0.20+AJ237*0.15+AN237*0.18+AG237*0.12+Z237*0.15+AQ237*0.20),1)</x:f>
        <x:v>87.3</x:v>
      </x:c>
      <x:c r="AS237" s="39" t="n">
        <x:f>ROUND((AC237*AF237*120)+(AH237*350)+(MAX(0,AI237-75)*220)+(MAX(0,AQ237-60)*100),0)</x:f>
        <x:v>54100</x:v>
      </x:c>
    </x:row>
    <x:row r="238">
      <x:c r="A238" s="35" t="n">
        <x:v>237</x:v>
      </x:c>
      <x:c r="B238" s="35" t="n">
        <x:v>31</x:v>
      </x:c>
      <x:c r="C238" s="35" t="str">
        <x:v>Female</x:v>
      </x:c>
      <x:c r="D238" s="35" t="str">
        <x:v>Sales</x:v>
      </x:c>
      <x:c r="E238" s="35" t="str">
        <x:v>Sales Executive</x:v>
      </x:c>
      <x:c r="F238" s="35" t="str">
        <x:v>Human Resources</x:v>
      </x:c>
      <x:c r="G238" s="35" t="str">
        <x:v>Married</x:v>
      </x:c>
      <x:c r="H238" s="35" t="n">
        <x:v>1</x:v>
      </x:c>
      <x:c r="I238" s="36" t="n">
        <x:v>5960</x:v>
      </x:c>
      <x:c r="J238" s="35" t="n">
        <x:v>8</x:v>
      </x:c>
      <x:c r="K238" s="35" t="n">
        <x:v>6</x:v>
      </x:c>
      <x:c r="L238" s="35" t="n">
        <x:v>2</x:v>
      </x:c>
      <x:c r="M238" s="35" t="n">
        <x:v>10</x:v>
      </x:c>
      <x:c r="N238" s="35" t="str">
        <x:v>No</x:v>
      </x:c>
      <x:c r="O238" s="35" t="n">
        <x:v>3</x:v>
      </x:c>
      <x:c r="P238" s="35" t="n">
        <x:v>2</x:v>
      </x:c>
      <x:c r="Q238" s="35" t="n">
        <x:v>2</x:v>
      </x:c>
      <x:c r="R238" s="35" t="n">
        <x:v>2</x:v>
      </x:c>
      <x:c r="S238" s="35" t="n">
        <x:v>3</x:v>
      </x:c>
      <x:c r="T238" s="35" t="n">
        <x:v>3</x:v>
      </x:c>
      <x:c r="U238" s="35" t="n">
        <x:v>2</x:v>
      </x:c>
      <x:c r="V238" s="35" t="n">
        <x:v>12</x:v>
      </x:c>
      <x:c r="W238" s="35" t="n">
        <x:v>13</x:v>
      </x:c>
      <x:c r="X238" s="35" t="n">
        <x:v>71</x:v>
      </x:c>
      <x:c r="Y238" s="35" t="n">
        <x:v>4</x:v>
      </x:c>
      <x:c r="Z238" s="35" t="n">
        <x:v>84</x:v>
      </x:c>
      <x:c r="AA238" s="35" t="n">
        <x:v>8</x:v>
      </x:c>
      <x:c r="AB238" s="35" t="n">
        <x:v>5</x:v>
      </x:c>
      <x:c r="AC238" s="35" t="n">
        <x:v>2</x:v>
      </x:c>
      <x:c r="AD238" s="35" t="n">
        <x:v>65</x:v>
      </x:c>
      <x:c r="AE238" s="35" t="n">
        <x:v>90</x:v>
      </x:c>
      <x:c r="AF238" s="35" t="n">
        <x:v>67</x:v>
      </x:c>
      <x:c r="AG238" s="35" t="n">
        <x:v>99</x:v>
      </x:c>
      <x:c r="AH238" s="35" t="n">
        <x:v>0</x:v>
      </x:c>
      <x:c r="AI238" s="37" t="n">
        <x:v>97</x:v>
      </x:c>
      <x:c r="AJ238" s="37" t="n">
        <x:v>94.5</x:v>
      </x:c>
      <x:c r="AK238" s="35" t="str">
        <x:v>Yes</x:v>
      </x:c>
      <x:c r="AL238" s="38" t="n">
        <x:f>IF(AA238=0,0,AB238/AA238)</x:f>
        <x:v>0.625</x:v>
      </x:c>
      <x:c r="AM238" s="38" t="n">
        <x:f>IF(AB238=0,0,AC238/AB238)</x:f>
        <x:v>0.4</x:v>
      </x:c>
      <x:c r="AN238" s="37" t="n">
        <x:f>ROUND((AD238*0.20+AE238*0.20+AF238*0.25+AG238*0.15+MIN(100,AC238*12)*0.20),1)</x:f>
        <x:v>67.4</x:v>
      </x:c>
      <x:c r="AO238" s="37" t="n">
        <x:f>ROUND(MAX(0,MIN(100,(X238*0.35)+(W238/45*100*0.20)+((5-O238)/4*100*0.15)+((5-P238)/4*100*0.10)+((6-Y238)/5*100*0.10)+((100-Z238)*0.10))),1)</x:f>
        <x:v>51.2</x:v>
      </x:c>
      <x:c r="AP238" s="37" t="str">
        <x:f>IF(AO238&gt;=70,"High",IF(AO238&gt;=40,"Moderate","Low"))</x:f>
        <x:v>Moderate</x:v>
      </x:c>
      <x:c r="AQ238" s="37" t="n">
        <x:f>ROUND(MAX(0,MIN(100,(O238/4*100*0.25)+(P238/4*100*0.20)+(Q238/4*100*0.15)+(Y238/5*100*0.20)+(100-AO238)*0.20)),1)</x:f>
        <x:v>62</x:v>
      </x:c>
      <x:c r="AR238" s="37" t="n">
        <x:f>ROUND((AI238*0.20+AJ238*0.15+AN238*0.18+AG238*0.12+Z238*0.15+AQ238*0.20),1)</x:f>
        <x:v>82.6</x:v>
      </x:c>
      <x:c r="AS238" s="39" t="n">
        <x:f>ROUND((AC238*AF238*120)+(AH238*350)+(MAX(0,AI238-75)*220)+(MAX(0,AQ238-60)*100),0)</x:f>
        <x:v>21120</x:v>
      </x:c>
    </x:row>
    <x:row r="239">
      <x:c r="A239" s="35" t="n">
        <x:v>238</x:v>
      </x:c>
      <x:c r="B239" s="35" t="n">
        <x:v>46</x:v>
      </x:c>
      <x:c r="C239" s="35" t="str">
        <x:v>Female</x:v>
      </x:c>
      <x:c r="D239" s="35" t="str">
        <x:v>Marketing</x:v>
      </x:c>
      <x:c r="E239" s="35" t="str">
        <x:v>Marketing Specialist</x:v>
      </x:c>
      <x:c r="F239" s="35" t="str">
        <x:v>Computer Science</x:v>
      </x:c>
      <x:c r="G239" s="35" t="str">
        <x:v>Single</x:v>
      </x:c>
      <x:c r="H239" s="35" t="n">
        <x:v>3</x:v>
      </x:c>
      <x:c r="I239" s="36" t="n">
        <x:v>15860</x:v>
      </x:c>
      <x:c r="J239" s="35" t="n">
        <x:v>19</x:v>
      </x:c>
      <x:c r="K239" s="35" t="n">
        <x:v>14</x:v>
      </x:c>
      <x:c r="L239" s="35" t="n">
        <x:v>8</x:v>
      </x:c>
      <x:c r="M239" s="35" t="n">
        <x:v>4</x:v>
      </x:c>
      <x:c r="N239" s="35" t="str">
        <x:v>Yes</x:v>
      </x:c>
      <x:c r="O239" s="35" t="n">
        <x:v>3</x:v>
      </x:c>
      <x:c r="P239" s="35" t="n">
        <x:v>1</x:v>
      </x:c>
      <x:c r="Q239" s="35" t="n">
        <x:v>4</x:v>
      </x:c>
      <x:c r="R239" s="35" t="n">
        <x:v>3</x:v>
      </x:c>
      <x:c r="S239" s="35" t="n">
        <x:v>3</x:v>
      </x:c>
      <x:c r="T239" s="35" t="n">
        <x:v>6</x:v>
      </x:c>
      <x:c r="U239" s="35" t="n">
        <x:v>1</x:v>
      </x:c>
      <x:c r="V239" s="35" t="n">
        <x:v>14</x:v>
      </x:c>
      <x:c r="W239" s="35" t="n">
        <x:v>22</x:v>
      </x:c>
      <x:c r="X239" s="35" t="n">
        <x:v>95</x:v>
      </x:c>
      <x:c r="Y239" s="35" t="n">
        <x:v>4</x:v>
      </x:c>
      <x:c r="Z239" s="35" t="n">
        <x:v>94</x:v>
      </x:c>
      <x:c r="AA239" s="35" t="n">
        <x:v>5</x:v>
      </x:c>
      <x:c r="AB239" s="35" t="n">
        <x:v>4</x:v>
      </x:c>
      <x:c r="AC239" s="35" t="n">
        <x:v>2</x:v>
      </x:c>
      <x:c r="AD239" s="35" t="n">
        <x:v>63</x:v>
      </x:c>
      <x:c r="AE239" s="35" t="n">
        <x:v>82</x:v>
      </x:c>
      <x:c r="AF239" s="35" t="n">
        <x:v>71</x:v>
      </x:c>
      <x:c r="AG239" s="35" t="n">
        <x:v>86</x:v>
      </x:c>
      <x:c r="AH239" s="35" t="n">
        <x:v>6</x:v>
      </x:c>
      <x:c r="AI239" s="37" t="n">
        <x:v>92.5</x:v>
      </x:c>
      <x:c r="AJ239" s="37" t="n">
        <x:v>95.2</x:v>
      </x:c>
      <x:c r="AK239" s="35" t="str">
        <x:v>Yes</x:v>
      </x:c>
      <x:c r="AL239" s="38" t="n">
        <x:f>IF(AA239=0,0,AB239/AA239)</x:f>
        <x:v>0.8</x:v>
      </x:c>
      <x:c r="AM239" s="38" t="n">
        <x:f>IF(AB239=0,0,AC239/AB239)</x:f>
        <x:v>0.5</x:v>
      </x:c>
      <x:c r="AN239" s="37" t="n">
        <x:f>ROUND((AD239*0.20+AE239*0.20+AF239*0.25+AG239*0.15+MIN(100,AC239*12)*0.20),1)</x:f>
        <x:v>64.5</x:v>
      </x:c>
      <x:c r="AO239" s="37" t="n">
        <x:f>ROUND(MAX(0,MIN(100,(X239*0.35)+(W239/45*100*0.20)+((5-O239)/4*100*0.15)+((5-P239)/4*100*0.10)+((6-Y239)/5*100*0.10)+((100-Z239)*0.10))),1)</x:f>
        <x:v>65.1</x:v>
      </x:c>
      <x:c r="AP239" s="37" t="str">
        <x:f>IF(AO239&gt;=70,"High",IF(AO239&gt;=40,"Moderate","Low"))</x:f>
        <x:v>Moderate</x:v>
      </x:c>
      <x:c r="AQ239" s="37" t="n">
        <x:f>ROUND(MAX(0,MIN(100,(O239/4*100*0.25)+(P239/4*100*0.20)+(Q239/4*100*0.15)+(Y239/5*100*0.20)+(100-AO239)*0.20)),1)</x:f>
        <x:v>61.7</x:v>
      </x:c>
      <x:c r="AR239" s="37" t="n">
        <x:f>ROUND((AI239*0.20+AJ239*0.15+AN239*0.18+AG239*0.12+Z239*0.15+AQ239*0.20),1)</x:f>
        <x:v>81.2</x:v>
      </x:c>
      <x:c r="AS239" s="39" t="n">
        <x:f>ROUND((AC239*AF239*120)+(AH239*350)+(MAX(0,AI239-75)*220)+(MAX(0,AQ239-60)*100),0)</x:f>
        <x:v>23160</x:v>
      </x:c>
    </x:row>
    <x:row r="240">
      <x:c r="A240" s="35" t="n">
        <x:v>239</x:v>
      </x:c>
      <x:c r="B240" s="35" t="n">
        <x:v>36</x:v>
      </x:c>
      <x:c r="C240" s="35" t="str">
        <x:v>Female</x:v>
      </x:c>
      <x:c r="D240" s="35" t="str">
        <x:v>Human Resources</x:v>
      </x:c>
      <x:c r="E240" s="35" t="str">
        <x:v>Talent Development Specialist</x:v>
      </x:c>
      <x:c r="F240" s="35" t="str">
        <x:v>Technical Degree</x:v>
      </x:c>
      <x:c r="G240" s="35" t="str">
        <x:v>Married</x:v>
      </x:c>
      <x:c r="H240" s="35" t="n">
        <x:v>2</x:v>
      </x:c>
      <x:c r="I240" s="36" t="n">
        <x:v>8050</x:v>
      </x:c>
      <x:c r="J240" s="35" t="n">
        <x:v>9</x:v>
      </x:c>
      <x:c r="K240" s="35" t="n">
        <x:v>4</x:v>
      </x:c>
      <x:c r="L240" s="35" t="n">
        <x:v>1</x:v>
      </x:c>
      <x:c r="M240" s="35" t="n">
        <x:v>12</x:v>
      </x:c>
      <x:c r="N240" s="35" t="str">
        <x:v>No</x:v>
      </x:c>
      <x:c r="O240" s="35" t="n">
        <x:v>3</x:v>
      </x:c>
      <x:c r="P240" s="35" t="n">
        <x:v>3</x:v>
      </x:c>
      <x:c r="Q240" s="35" t="n">
        <x:v>3</x:v>
      </x:c>
      <x:c r="R240" s="35" t="n">
        <x:v>2</x:v>
      </x:c>
      <x:c r="S240" s="35" t="n">
        <x:v>3</x:v>
      </x:c>
      <x:c r="T240" s="35" t="n">
        <x:v>4</x:v>
      </x:c>
      <x:c r="U240" s="35" t="n">
        <x:v>2</x:v>
      </x:c>
      <x:c r="V240" s="35" t="n">
        <x:v>0</x:v>
      </x:c>
      <x:c r="W240" s="35" t="n">
        <x:v>0</x:v>
      </x:c>
      <x:c r="X240" s="35" t="n">
        <x:v>65</x:v>
      </x:c>
      <x:c r="Y240" s="35" t="n">
        <x:v>5</x:v>
      </x:c>
      <x:c r="Z240" s="35" t="n">
        <x:v>87</x:v>
      </x:c>
      <x:c r="AA240" s="35" t="n">
        <x:v>6</x:v>
      </x:c>
      <x:c r="AB240" s="35" t="n">
        <x:v>5</x:v>
      </x:c>
      <x:c r="AC240" s="35" t="n">
        <x:v>4</x:v>
      </x:c>
      <x:c r="AD240" s="35" t="n">
        <x:v>53</x:v>
      </x:c>
      <x:c r="AE240" s="35" t="n">
        <x:v>84</x:v>
      </x:c>
      <x:c r="AF240" s="35" t="n">
        <x:v>81</x:v>
      </x:c>
      <x:c r="AG240" s="35" t="n">
        <x:v>74</x:v>
      </x:c>
      <x:c r="AH240" s="35" t="n">
        <x:v>7</x:v>
      </x:c>
      <x:c r="AI240" s="37" t="n">
        <x:v>89.6</x:v>
      </x:c>
      <x:c r="AJ240" s="37" t="n">
        <x:v>96.7</x:v>
      </x:c>
      <x:c r="AK240" s="35" t="str">
        <x:v>No</x:v>
      </x:c>
      <x:c r="AL240" s="38" t="n">
        <x:f>IF(AA240=0,0,AB240/AA240)</x:f>
        <x:v>0.8333333333333334</x:v>
      </x:c>
      <x:c r="AM240" s="38" t="n">
        <x:f>IF(AB240=0,0,AC240/AB240)</x:f>
        <x:v>0.8</x:v>
      </x:c>
      <x:c r="AN240" s="37" t="n">
        <x:f>ROUND((AD240*0.20+AE240*0.20+AF240*0.25+AG240*0.15+MIN(100,AC240*12)*0.20),1)</x:f>
        <x:v>68.4</x:v>
      </x:c>
      <x:c r="AO240" s="37" t="n">
        <x:f>ROUND(MAX(0,MIN(100,(X240*0.35)+(W240/45*100*0.20)+((5-O240)/4*100*0.15)+((5-P240)/4*100*0.10)+((6-Y240)/5*100*0.10)+((100-Z240)*0.10))),1)</x:f>
        <x:v>38.6</x:v>
      </x:c>
      <x:c r="AP240" s="37" t="str">
        <x:f>IF(AO240&gt;=70,"High",IF(AO240&gt;=40,"Moderate","Low"))</x:f>
        <x:v>Low</x:v>
      </x:c>
      <x:c r="AQ240" s="37" t="n">
        <x:f>ROUND(MAX(0,MIN(100,(O240/4*100*0.25)+(P240/4*100*0.20)+(Q240/4*100*0.15)+(Y240/5*100*0.20)+(100-AO240)*0.20)),1)</x:f>
        <x:v>77.3</x:v>
      </x:c>
      <x:c r="AR240" s="37" t="n">
        <x:f>ROUND((AI240*0.20+AJ240*0.15+AN240*0.18+AG240*0.12+Z240*0.15+AQ240*0.20),1)</x:f>
        <x:v>82.1</x:v>
      </x:c>
      <x:c r="AS240" s="39" t="n">
        <x:f>ROUND((AC240*AF240*120)+(AH240*350)+(MAX(0,AI240-75)*220)+(MAX(0,AQ240-60)*100),0)</x:f>
        <x:v>46272</x:v>
      </x:c>
    </x:row>
    <x:row r="241">
      <x:c r="A241" s="35" t="n">
        <x:v>240</x:v>
      </x:c>
      <x:c r="B241" s="35" t="n">
        <x:v>46</x:v>
      </x:c>
      <x:c r="C241" s="35" t="str">
        <x:v>Male</x:v>
      </x:c>
      <x:c r="D241" s="35" t="str">
        <x:v>Research &amp; Development</x:v>
      </x:c>
      <x:c r="E241" s="35" t="str">
        <x:v>R&amp;D Manager</x:v>
      </x:c>
      <x:c r="F241" s="35" t="str">
        <x:v>Life Sciences</x:v>
      </x:c>
      <x:c r="G241" s="35" t="str">
        <x:v>Divorced</x:v>
      </x:c>
      <x:c r="H241" s="35" t="n">
        <x:v>3</x:v>
      </x:c>
      <x:c r="I241" s="36" t="n">
        <x:v>10520</x:v>
      </x:c>
      <x:c r="J241" s="35" t="n">
        <x:v>17</x:v>
      </x:c>
      <x:c r="K241" s="35" t="n">
        <x:v>14</x:v>
      </x:c>
      <x:c r="L241" s="35" t="n">
        <x:v>11</x:v>
      </x:c>
      <x:c r="M241" s="35" t="n">
        <x:v>4</x:v>
      </x:c>
      <x:c r="N241" s="35" t="str">
        <x:v>No</x:v>
      </x:c>
      <x:c r="O241" s="35" t="n">
        <x:v>3</x:v>
      </x:c>
      <x:c r="P241" s="35" t="n">
        <x:v>2</x:v>
      </x:c>
      <x:c r="Q241" s="35" t="n">
        <x:v>3</x:v>
      </x:c>
      <x:c r="R241" s="35" t="n">
        <x:v>3</x:v>
      </x:c>
      <x:c r="S241" s="35" t="n">
        <x:v>3</x:v>
      </x:c>
      <x:c r="T241" s="35" t="n">
        <x:v>5</x:v>
      </x:c>
      <x:c r="U241" s="35" t="n">
        <x:v>3</x:v>
      </x:c>
      <x:c r="V241" s="35" t="n">
        <x:v>1</x:v>
      </x:c>
      <x:c r="W241" s="35" t="n">
        <x:v>15</x:v>
      </x:c>
      <x:c r="X241" s="35" t="n">
        <x:v>67</x:v>
      </x:c>
      <x:c r="Y241" s="35" t="n">
        <x:v>5</x:v>
      </x:c>
      <x:c r="Z241" s="35" t="n">
        <x:v>98</x:v>
      </x:c>
      <x:c r="AA241" s="35" t="n">
        <x:v>3</x:v>
      </x:c>
      <x:c r="AB241" s="35" t="n">
        <x:v>3</x:v>
      </x:c>
      <x:c r="AC241" s="35" t="n">
        <x:v>2</x:v>
      </x:c>
      <x:c r="AD241" s="35" t="n">
        <x:v>58</x:v>
      </x:c>
      <x:c r="AE241" s="35" t="n">
        <x:v>92</x:v>
      </x:c>
      <x:c r="AF241" s="35" t="n">
        <x:v>82</x:v>
      </x:c>
      <x:c r="AG241" s="35" t="n">
        <x:v>100</x:v>
      </x:c>
      <x:c r="AH241" s="35" t="n">
        <x:v>2</x:v>
      </x:c>
      <x:c r="AI241" s="37" t="n">
        <x:v>99.2</x:v>
      </x:c>
      <x:c r="AJ241" s="37" t="n">
        <x:v>93.8</x:v>
      </x:c>
      <x:c r="AK241" s="35" t="str">
        <x:v>No</x:v>
      </x:c>
      <x:c r="AL241" s="38" t="n">
        <x:f>IF(AA241=0,0,AB241/AA241)</x:f>
        <x:v>1</x:v>
      </x:c>
      <x:c r="AM241" s="38" t="n">
        <x:f>IF(AB241=0,0,AC241/AB241)</x:f>
        <x:v>0.6666666666666666</x:v>
      </x:c>
      <x:c r="AN241" s="37" t="n">
        <x:f>ROUND((AD241*0.20+AE241*0.20+AF241*0.25+AG241*0.15+MIN(100,AC241*12)*0.20),1)</x:f>
        <x:v>70.3</x:v>
      </x:c>
      <x:c r="AO241" s="37" t="n">
        <x:f>ROUND(MAX(0,MIN(100,(X241*0.35)+(W241/45*100*0.20)+((5-O241)/4*100*0.15)+((5-P241)/4*100*0.10)+((6-Y241)/5*100*0.10)+((100-Z241)*0.10))),1)</x:f>
        <x:v>47.3</x:v>
      </x:c>
      <x:c r="AP241" s="37" t="str">
        <x:f>IF(AO241&gt;=70,"High",IF(AO241&gt;=40,"Moderate","Low"))</x:f>
        <x:v>Moderate</x:v>
      </x:c>
      <x:c r="AQ241" s="37" t="n">
        <x:f>ROUND(MAX(0,MIN(100,(O241/4*100*0.25)+(P241/4*100*0.20)+(Q241/4*100*0.15)+(Y241/5*100*0.20)+(100-AO241)*0.20)),1)</x:f>
        <x:v>70.5</x:v>
      </x:c>
      <x:c r="AR241" s="37" t="n">
        <x:f>ROUND((AI241*0.20+AJ241*0.15+AN241*0.18+AG241*0.12+Z241*0.15+AQ241*0.20),1)</x:f>
        <x:v>87.4</x:v>
      </x:c>
      <x:c r="AS241" s="39" t="n">
        <x:f>ROUND((AC241*AF241*120)+(AH241*350)+(MAX(0,AI241-75)*220)+(MAX(0,AQ241-60)*100),0)</x:f>
        <x:v>26754</x:v>
      </x:c>
    </x:row>
    <x:row r="242">
      <x:c r="A242" s="35" t="n">
        <x:v>241</x:v>
      </x:c>
      <x:c r="B242" s="35" t="n">
        <x:v>41</x:v>
      </x:c>
      <x:c r="C242" s="35" t="str">
        <x:v>Male</x:v>
      </x:c>
      <x:c r="D242" s="35" t="str">
        <x:v>Operations</x:v>
      </x:c>
      <x:c r="E242" s="35" t="str">
        <x:v>Operations Specialist</x:v>
      </x:c>
      <x:c r="F242" s="35" t="str">
        <x:v>Medical</x:v>
      </x:c>
      <x:c r="G242" s="35" t="str">
        <x:v>Single</x:v>
      </x:c>
      <x:c r="H242" s="35" t="n">
        <x:v>3</x:v>
      </x:c>
      <x:c r="I242" s="36" t="n">
        <x:v>15860</x:v>
      </x:c>
      <x:c r="J242" s="35" t="n">
        <x:v>18</x:v>
      </x:c>
      <x:c r="K242" s="35" t="n">
        <x:v>8</x:v>
      </x:c>
      <x:c r="L242" s="35" t="n">
        <x:v>5</x:v>
      </x:c>
      <x:c r="M242" s="35" t="n">
        <x:v>15</x:v>
      </x:c>
      <x:c r="N242" s="35" t="str">
        <x:v>No</x:v>
      </x:c>
      <x:c r="O242" s="35" t="n">
        <x:v>3</x:v>
      </x:c>
      <x:c r="P242" s="35" t="n">
        <x:v>3</x:v>
      </x:c>
      <x:c r="Q242" s="35" t="n">
        <x:v>1</x:v>
      </x:c>
      <x:c r="R242" s="35" t="n">
        <x:v>3</x:v>
      </x:c>
      <x:c r="S242" s="35" t="n">
        <x:v>3</x:v>
      </x:c>
      <x:c r="T242" s="35" t="n">
        <x:v>3</x:v>
      </x:c>
      <x:c r="U242" s="35" t="n">
        <x:v>1</x:v>
      </x:c>
      <x:c r="V242" s="35" t="n">
        <x:v>5</x:v>
      </x:c>
      <x:c r="W242" s="35" t="n">
        <x:v>1</x:v>
      </x:c>
      <x:c r="X242" s="35" t="n">
        <x:v>79</x:v>
      </x:c>
      <x:c r="Y242" s="35" t="n">
        <x:v>4</x:v>
      </x:c>
      <x:c r="Z242" s="35" t="n">
        <x:v>97</x:v>
      </x:c>
      <x:c r="AA242" s="35" t="n">
        <x:v>4</x:v>
      </x:c>
      <x:c r="AB242" s="35" t="n">
        <x:v>4</x:v>
      </x:c>
      <x:c r="AC242" s="35" t="n">
        <x:v>4</x:v>
      </x:c>
      <x:c r="AD242" s="35" t="n">
        <x:v>51</x:v>
      </x:c>
      <x:c r="AE242" s="35" t="n">
        <x:v>97</x:v>
      </x:c>
      <x:c r="AF242" s="35" t="n">
        <x:v>81</x:v>
      </x:c>
      <x:c r="AG242" s="35" t="n">
        <x:v>100</x:v>
      </x:c>
      <x:c r="AH242" s="35" t="n">
        <x:v>7</x:v>
      </x:c>
      <x:c r="AI242" s="37" t="n">
        <x:v>100</x:v>
      </x:c>
      <x:c r="AJ242" s="37" t="n">
        <x:v>93.3</x:v>
      </x:c>
      <x:c r="AK242" s="35" t="str">
        <x:v>No</x:v>
      </x:c>
      <x:c r="AL242" s="38" t="n">
        <x:f>IF(AA242=0,0,AB242/AA242)</x:f>
        <x:v>1</x:v>
      </x:c>
      <x:c r="AM242" s="38" t="n">
        <x:f>IF(AB242=0,0,AC242/AB242)</x:f>
        <x:v>1</x:v>
      </x:c>
      <x:c r="AN242" s="37" t="n">
        <x:f>ROUND((AD242*0.20+AE242*0.20+AF242*0.25+AG242*0.15+MIN(100,AC242*12)*0.20),1)</x:f>
        <x:v>74.4</x:v>
      </x:c>
      <x:c r="AO242" s="37" t="n">
        <x:f>ROUND(MAX(0,MIN(100,(X242*0.35)+(W242/45*100*0.20)+((5-O242)/4*100*0.15)+((5-P242)/4*100*0.10)+((6-Y242)/5*100*0.10)+((100-Z242)*0.10))),1)</x:f>
        <x:v>44.9</x:v>
      </x:c>
      <x:c r="AP242" s="37" t="str">
        <x:f>IF(AO242&gt;=70,"High",IF(AO242&gt;=40,"Moderate","Low"))</x:f>
        <x:v>Moderate</x:v>
      </x:c>
      <x:c r="AQ242" s="37" t="n">
        <x:f>ROUND(MAX(0,MIN(100,(O242/4*100*0.25)+(P242/4*100*0.20)+(Q242/4*100*0.15)+(Y242/5*100*0.20)+(100-AO242)*0.20)),1)</x:f>
        <x:v>64.5</x:v>
      </x:c>
      <x:c r="AR242" s="37" t="n">
        <x:f>ROUND((AI242*0.20+AJ242*0.15+AN242*0.18+AG242*0.12+Z242*0.15+AQ242*0.20),1)</x:f>
        <x:v>86.8</x:v>
      </x:c>
      <x:c r="AS242" s="39" t="n">
        <x:f>ROUND((AC242*AF242*120)+(AH242*350)+(MAX(0,AI242-75)*220)+(MAX(0,AQ242-60)*100),0)</x:f>
        <x:v>47280</x:v>
      </x:c>
    </x:row>
    <x:row r="243">
      <x:c r="A243" s="35" t="n">
        <x:v>242</x:v>
      </x:c>
      <x:c r="B243" s="35" t="n">
        <x:v>45</x:v>
      </x:c>
      <x:c r="C243" s="35" t="str">
        <x:v>Male</x:v>
      </x:c>
      <x:c r="D243" s="35" t="str">
        <x:v>Sales</x:v>
      </x:c>
      <x:c r="E243" s="35" t="str">
        <x:v>Sales Representative</x:v>
      </x:c>
      <x:c r="F243" s="35" t="str">
        <x:v>Human Resources</x:v>
      </x:c>
      <x:c r="G243" s="35" t="str">
        <x:v>Divorced</x:v>
      </x:c>
      <x:c r="H243" s="35" t="n">
        <x:v>2</x:v>
      </x:c>
      <x:c r="I243" s="36" t="n">
        <x:v>9300</x:v>
      </x:c>
      <x:c r="J243" s="35" t="n">
        <x:v>17</x:v>
      </x:c>
      <x:c r="K243" s="35" t="n">
        <x:v>9</x:v>
      </x:c>
      <x:c r="L243" s="35" t="n">
        <x:v>4</x:v>
      </x:c>
      <x:c r="M243" s="35" t="n">
        <x:v>25</x:v>
      </x:c>
      <x:c r="N243" s="35" t="str">
        <x:v>No</x:v>
      </x:c>
      <x:c r="O243" s="35" t="n">
        <x:v>3</x:v>
      </x:c>
      <x:c r="P243" s="35" t="n">
        <x:v>4</x:v>
      </x:c>
      <x:c r="Q243" s="35" t="n">
        <x:v>3</x:v>
      </x:c>
      <x:c r="R243" s="35" t="n">
        <x:v>4</x:v>
      </x:c>
      <x:c r="S243" s="35" t="n">
        <x:v>4</x:v>
      </x:c>
      <x:c r="T243" s="35" t="n">
        <x:v>3</x:v>
      </x:c>
      <x:c r="U243" s="35" t="n">
        <x:v>1</x:v>
      </x:c>
      <x:c r="V243" s="35" t="n">
        <x:v>3</x:v>
      </x:c>
      <x:c r="W243" s="35" t="n">
        <x:v>0</x:v>
      </x:c>
      <x:c r="X243" s="35" t="n">
        <x:v>55</x:v>
      </x:c>
      <x:c r="Y243" s="35" t="n">
        <x:v>4</x:v>
      </x:c>
      <x:c r="Z243" s="35" t="n">
        <x:v>100</x:v>
      </x:c>
      <x:c r="AA243" s="35" t="n">
        <x:v>5</x:v>
      </x:c>
      <x:c r="AB243" s="35" t="n">
        <x:v>4</x:v>
      </x:c>
      <x:c r="AC243" s="35" t="n">
        <x:v>4</x:v>
      </x:c>
      <x:c r="AD243" s="35" t="n">
        <x:v>44</x:v>
      </x:c>
      <x:c r="AE243" s="35" t="n">
        <x:v>61</x:v>
      </x:c>
      <x:c r="AF243" s="35" t="n">
        <x:v>100</x:v>
      </x:c>
      <x:c r="AG243" s="35" t="n">
        <x:v>90</x:v>
      </x:c>
      <x:c r="AH243" s="35" t="n">
        <x:v>9</x:v>
      </x:c>
      <x:c r="AI243" s="37" t="n">
        <x:v>100</x:v>
      </x:c>
      <x:c r="AJ243" s="37" t="n">
        <x:v>99.4</x:v>
      </x:c>
      <x:c r="AK243" s="35" t="str">
        <x:v>No</x:v>
      </x:c>
      <x:c r="AL243" s="38" t="n">
        <x:f>IF(AA243=0,0,AB243/AA243)</x:f>
        <x:v>0.8</x:v>
      </x:c>
      <x:c r="AM243" s="38" t="n">
        <x:f>IF(AB243=0,0,AC243/AB243)</x:f>
        <x:v>1</x:v>
      </x:c>
      <x:c r="AN243" s="37" t="n">
        <x:f>ROUND((AD243*0.20+AE243*0.20+AF243*0.25+AG243*0.15+MIN(100,AC243*12)*0.20),1)</x:f>
        <x:v>69.1</x:v>
      </x:c>
      <x:c r="AO243" s="37" t="n">
        <x:f>ROUND(MAX(0,MIN(100,(X243*0.35)+(W243/45*100*0.20)+((5-O243)/4*100*0.15)+((5-P243)/4*100*0.10)+((6-Y243)/5*100*0.10)+((100-Z243)*0.10))),1)</x:f>
        <x:v>33.3</x:v>
      </x:c>
      <x:c r="AP243" s="37" t="str">
        <x:f>IF(AO243&gt;=70,"High",IF(AO243&gt;=40,"Moderate","Low"))</x:f>
        <x:v>Low</x:v>
      </x:c>
      <x:c r="AQ243" s="37" t="n">
        <x:f>ROUND(MAX(0,MIN(100,(O243/4*100*0.25)+(P243/4*100*0.20)+(Q243/4*100*0.15)+(Y243/5*100*0.20)+(100-AO243)*0.20)),1)</x:f>
        <x:v>79.3</x:v>
      </x:c>
      <x:c r="AR243" s="37" t="n">
        <x:f>ROUND((AI243*0.20+AJ243*0.15+AN243*0.18+AG243*0.12+Z243*0.15+AQ243*0.20),1)</x:f>
        <x:v>89</x:v>
      </x:c>
      <x:c r="AS243" s="39" t="n">
        <x:f>ROUND((AC243*AF243*120)+(AH243*350)+(MAX(0,AI243-75)*220)+(MAX(0,AQ243-60)*100),0)</x:f>
        <x:v>58580</x:v>
      </x:c>
    </x:row>
    <x:row r="244">
      <x:c r="A244" s="35" t="n">
        <x:v>243</x:v>
      </x:c>
      <x:c r="B244" s="35" t="n">
        <x:v>26</x:v>
      </x:c>
      <x:c r="C244" s="35" t="str">
        <x:v>Male</x:v>
      </x:c>
      <x:c r="D244" s="35" t="str">
        <x:v>Operations</x:v>
      </x:c>
      <x:c r="E244" s="35" t="str">
        <x:v>Operations Specialist</x:v>
      </x:c>
      <x:c r="F244" s="35" t="str">
        <x:v>Business</x:v>
      </x:c>
      <x:c r="G244" s="35" t="str">
        <x:v>Married</x:v>
      </x:c>
      <x:c r="H244" s="35" t="n">
        <x:v>1</x:v>
      </x:c>
      <x:c r="I244" s="36" t="n">
        <x:v>5060</x:v>
      </x:c>
      <x:c r="J244" s="35" t="n">
        <x:v>4</x:v>
      </x:c>
      <x:c r="K244" s="35" t="n">
        <x:v>3</x:v>
      </x:c>
      <x:c r="L244" s="35" t="n">
        <x:v>1</x:v>
      </x:c>
      <x:c r="M244" s="35" t="n">
        <x:v>5</x:v>
      </x:c>
      <x:c r="N244" s="35" t="str">
        <x:v>No</x:v>
      </x:c>
      <x:c r="O244" s="35" t="n">
        <x:v>3</x:v>
      </x:c>
      <x:c r="P244" s="35" t="n">
        <x:v>3</x:v>
      </x:c>
      <x:c r="Q244" s="35" t="n">
        <x:v>2</x:v>
      </x:c>
      <x:c r="R244" s="35" t="n">
        <x:v>2</x:v>
      </x:c>
      <x:c r="S244" s="35" t="n">
        <x:v>3</x:v>
      </x:c>
      <x:c r="T244" s="35" t="n">
        <x:v>4</x:v>
      </x:c>
      <x:c r="U244" s="35" t="n">
        <x:v>1</x:v>
      </x:c>
      <x:c r="V244" s="35" t="n">
        <x:v>17</x:v>
      </x:c>
      <x:c r="W244" s="35" t="n">
        <x:v>0</x:v>
      </x:c>
      <x:c r="X244" s="35" t="n">
        <x:v>65</x:v>
      </x:c>
      <x:c r="Y244" s="35" t="n">
        <x:v>5</x:v>
      </x:c>
      <x:c r="Z244" s="35" t="n">
        <x:v>100</x:v>
      </x:c>
      <x:c r="AA244" s="35" t="n">
        <x:v>3</x:v>
      </x:c>
      <x:c r="AB244" s="35" t="n">
        <x:v>3</x:v>
      </x:c>
      <x:c r="AC244" s="35" t="n">
        <x:v>2</x:v>
      </x:c>
      <x:c r="AD244" s="35" t="n">
        <x:v>61</x:v>
      </x:c>
      <x:c r="AE244" s="35" t="n">
        <x:v>80</x:v>
      </x:c>
      <x:c r="AF244" s="35" t="n">
        <x:v>82</x:v>
      </x:c>
      <x:c r="AG244" s="35" t="n">
        <x:v>90</x:v>
      </x:c>
      <x:c r="AH244" s="35" t="n">
        <x:v>6</x:v>
      </x:c>
      <x:c r="AI244" s="37" t="n">
        <x:v>97.7</x:v>
      </x:c>
      <x:c r="AJ244" s="37" t="n">
        <x:v>93.3</x:v>
      </x:c>
      <x:c r="AK244" s="35" t="str">
        <x:v>No</x:v>
      </x:c>
      <x:c r="AL244" s="38" t="n">
        <x:f>IF(AA244=0,0,AB244/AA244)</x:f>
        <x:v>1</x:v>
      </x:c>
      <x:c r="AM244" s="38" t="n">
        <x:f>IF(AB244=0,0,AC244/AB244)</x:f>
        <x:v>0.6666666666666666</x:v>
      </x:c>
      <x:c r="AN244" s="37" t="n">
        <x:f>ROUND((AD244*0.20+AE244*0.20+AF244*0.25+AG244*0.15+MIN(100,AC244*12)*0.20),1)</x:f>
        <x:v>67</x:v>
      </x:c>
      <x:c r="AO244" s="37" t="n">
        <x:f>ROUND(MAX(0,MIN(100,(X244*0.35)+(W244/45*100*0.20)+((5-O244)/4*100*0.15)+((5-P244)/4*100*0.10)+((6-Y244)/5*100*0.10)+((100-Z244)*0.10))),1)</x:f>
        <x:v>37.3</x:v>
      </x:c>
      <x:c r="AP244" s="37" t="str">
        <x:f>IF(AO244&gt;=70,"High",IF(AO244&gt;=40,"Moderate","Low"))</x:f>
        <x:v>Low</x:v>
      </x:c>
      <x:c r="AQ244" s="37" t="n">
        <x:f>ROUND(MAX(0,MIN(100,(O244/4*100*0.25)+(P244/4*100*0.20)+(Q244/4*100*0.15)+(Y244/5*100*0.20)+(100-AO244)*0.20)),1)</x:f>
        <x:v>73.8</x:v>
      </x:c>
      <x:c r="AR244" s="37" t="n">
        <x:f>ROUND((AI244*0.20+AJ244*0.15+AN244*0.18+AG244*0.12+Z244*0.15+AQ244*0.20),1)</x:f>
        <x:v>86.2</x:v>
      </x:c>
      <x:c r="AS244" s="39" t="n">
        <x:f>ROUND((AC244*AF244*120)+(AH244*350)+(MAX(0,AI244-75)*220)+(MAX(0,AQ244-60)*100),0)</x:f>
        <x:v>28154</x:v>
      </x:c>
    </x:row>
    <x:row r="245">
      <x:c r="A245" s="35" t="n">
        <x:v>244</x:v>
      </x:c>
      <x:c r="B245" s="35" t="n">
        <x:v>28</x:v>
      </x:c>
      <x:c r="C245" s="35" t="str">
        <x:v>Female</x:v>
      </x:c>
      <x:c r="D245" s="35" t="str">
        <x:v>Research &amp; Development</x:v>
      </x:c>
      <x:c r="E245" s="35" t="str">
        <x:v>Laboratory Technician</x:v>
      </x:c>
      <x:c r="F245" s="35" t="str">
        <x:v>Business</x:v>
      </x:c>
      <x:c r="G245" s="35" t="str">
        <x:v>Married</x:v>
      </x:c>
      <x:c r="H245" s="35" t="n">
        <x:v>1</x:v>
      </x:c>
      <x:c r="I245" s="36" t="n">
        <x:v>5270</x:v>
      </x:c>
      <x:c r="J245" s="35" t="n">
        <x:v>6</x:v>
      </x:c>
      <x:c r="K245" s="35" t="n">
        <x:v>2</x:v>
      </x:c>
      <x:c r="L245" s="35" t="n">
        <x:v>1</x:v>
      </x:c>
      <x:c r="M245" s="35" t="n">
        <x:v>9</x:v>
      </x:c>
      <x:c r="N245" s="35" t="str">
        <x:v>No</x:v>
      </x:c>
      <x:c r="O245" s="35" t="n">
        <x:v>3</x:v>
      </x:c>
      <x:c r="P245" s="35" t="n">
        <x:v>4</x:v>
      </x:c>
      <x:c r="Q245" s="35" t="n">
        <x:v>4</x:v>
      </x:c>
      <x:c r="R245" s="35" t="n">
        <x:v>3</x:v>
      </x:c>
      <x:c r="S245" s="35" t="n">
        <x:v>3</x:v>
      </x:c>
      <x:c r="T245" s="35" t="n">
        <x:v>5</x:v>
      </x:c>
      <x:c r="U245" s="35" t="n">
        <x:v>1</x:v>
      </x:c>
      <x:c r="V245" s="35" t="n">
        <x:v>9</x:v>
      </x:c>
      <x:c r="W245" s="35" t="n">
        <x:v>12</x:v>
      </x:c>
      <x:c r="X245" s="35" t="n">
        <x:v>53</x:v>
      </x:c>
      <x:c r="Y245" s="35" t="n">
        <x:v>4</x:v>
      </x:c>
      <x:c r="Z245" s="35" t="n">
        <x:v>100</x:v>
      </x:c>
      <x:c r="AA245" s="35" t="n">
        <x:v>3</x:v>
      </x:c>
      <x:c r="AB245" s="35" t="n">
        <x:v>3</x:v>
      </x:c>
      <x:c r="AC245" s="35" t="n">
        <x:v>2</x:v>
      </x:c>
      <x:c r="AD245" s="35" t="n">
        <x:v>91</x:v>
      </x:c>
      <x:c r="AE245" s="35" t="n">
        <x:v>70</x:v>
      </x:c>
      <x:c r="AF245" s="35" t="n">
        <x:v>72</x:v>
      </x:c>
      <x:c r="AG245" s="35" t="n">
        <x:v>88</x:v>
      </x:c>
      <x:c r="AH245" s="35" t="n">
        <x:v>5</x:v>
      </x:c>
      <x:c r="AI245" s="37" t="n">
        <x:v>97.3</x:v>
      </x:c>
      <x:c r="AJ245" s="37" t="n">
        <x:v>97.4</x:v>
      </x:c>
      <x:c r="AK245" s="35" t="str">
        <x:v>No</x:v>
      </x:c>
      <x:c r="AL245" s="38" t="n">
        <x:f>IF(AA245=0,0,AB245/AA245)</x:f>
        <x:v>1</x:v>
      </x:c>
      <x:c r="AM245" s="38" t="n">
        <x:f>IF(AB245=0,0,AC245/AB245)</x:f>
        <x:v>0.6666666666666666</x:v>
      </x:c>
      <x:c r="AN245" s="37" t="n">
        <x:f>ROUND((AD245*0.20+AE245*0.20+AF245*0.25+AG245*0.15+MIN(100,AC245*12)*0.20),1)</x:f>
        <x:v>68.2</x:v>
      </x:c>
      <x:c r="AO245" s="37" t="n">
        <x:f>ROUND(MAX(0,MIN(100,(X245*0.35)+(W245/45*100*0.20)+((5-O245)/4*100*0.15)+((5-P245)/4*100*0.10)+((6-Y245)/5*100*0.10)+((100-Z245)*0.10))),1)</x:f>
        <x:v>37.9</x:v>
      </x:c>
      <x:c r="AP245" s="37" t="str">
        <x:f>IF(AO245&gt;=70,"High",IF(AO245&gt;=40,"Moderate","Low"))</x:f>
        <x:v>Low</x:v>
      </x:c>
      <x:c r="AQ245" s="37" t="n">
        <x:f>ROUND(MAX(0,MIN(100,(O245/4*100*0.25)+(P245/4*100*0.20)+(Q245/4*100*0.15)+(Y245/5*100*0.20)+(100-AO245)*0.20)),1)</x:f>
        <x:v>82.2</x:v>
      </x:c>
      <x:c r="AR245" s="37" t="n">
        <x:f>ROUND((AI245*0.20+AJ245*0.15+AN245*0.18+AG245*0.12+Z245*0.15+AQ245*0.20),1)</x:f>
        <x:v>88.3</x:v>
      </x:c>
      <x:c r="AS245" s="39" t="n">
        <x:f>ROUND((AC245*AF245*120)+(AH245*350)+(MAX(0,AI245-75)*220)+(MAX(0,AQ245-60)*100),0)</x:f>
        <x:v>26156</x:v>
      </x:c>
    </x:row>
    <x:row r="246">
      <x:c r="A246" s="35" t="n">
        <x:v>245</x:v>
      </x:c>
      <x:c r="B246" s="35" t="n">
        <x:v>47</x:v>
      </x:c>
      <x:c r="C246" s="35" t="str">
        <x:v>Male</x:v>
      </x:c>
      <x:c r="D246" s="35" t="str">
        <x:v>Operations</x:v>
      </x:c>
      <x:c r="E246" s="35" t="str">
        <x:v>Operations Specialist</x:v>
      </x:c>
      <x:c r="F246" s="35" t="str">
        <x:v>Computer Science</x:v>
      </x:c>
      <x:c r="G246" s="35" t="str">
        <x:v>Married</x:v>
      </x:c>
      <x:c r="H246" s="35" t="n">
        <x:v>2</x:v>
      </x:c>
      <x:c r="I246" s="36" t="n">
        <x:v>8490</x:v>
      </x:c>
      <x:c r="J246" s="35" t="n">
        <x:v>18</x:v>
      </x:c>
      <x:c r="K246" s="35" t="n">
        <x:v>13</x:v>
      </x:c>
      <x:c r="L246" s="35" t="n">
        <x:v>9</x:v>
      </x:c>
      <x:c r="M246" s="35" t="n">
        <x:v>9</x:v>
      </x:c>
      <x:c r="N246" s="35" t="str">
        <x:v>No</x:v>
      </x:c>
      <x:c r="O246" s="35" t="n">
        <x:v>3</x:v>
      </x:c>
      <x:c r="P246" s="35" t="n">
        <x:v>4</x:v>
      </x:c>
      <x:c r="Q246" s="35" t="n">
        <x:v>4</x:v>
      </x:c>
      <x:c r="R246" s="35" t="n">
        <x:v>2</x:v>
      </x:c>
      <x:c r="S246" s="35" t="n">
        <x:v>3</x:v>
      </x:c>
      <x:c r="T246" s="35" t="n">
        <x:v>6</x:v>
      </x:c>
      <x:c r="U246" s="35" t="n">
        <x:v>0</x:v>
      </x:c>
      <x:c r="V246" s="35" t="n">
        <x:v>7</x:v>
      </x:c>
      <x:c r="W246" s="35" t="n">
        <x:v>15</x:v>
      </x:c>
      <x:c r="X246" s="35" t="n">
        <x:v>58</x:v>
      </x:c>
      <x:c r="Y246" s="35" t="n">
        <x:v>5</x:v>
      </x:c>
      <x:c r="Z246" s="35" t="n">
        <x:v>100</x:v>
      </x:c>
      <x:c r="AA246" s="35" t="n">
        <x:v>8</x:v>
      </x:c>
      <x:c r="AB246" s="35" t="n">
        <x:v>6</x:v>
      </x:c>
      <x:c r="AC246" s="35" t="n">
        <x:v>2</x:v>
      </x:c>
      <x:c r="AD246" s="35" t="n">
        <x:v>65</x:v>
      </x:c>
      <x:c r="AE246" s="35" t="n">
        <x:v>78</x:v>
      </x:c>
      <x:c r="AF246" s="35" t="n">
        <x:v>70</x:v>
      </x:c>
      <x:c r="AG246" s="35" t="n">
        <x:v>78</x:v>
      </x:c>
      <x:c r="AH246" s="35" t="n">
        <x:v>2</x:v>
      </x:c>
      <x:c r="AI246" s="37" t="n">
        <x:v>100</x:v>
      </x:c>
      <x:c r="AJ246" s="37" t="n">
        <x:v>87.2</x:v>
      </x:c>
      <x:c r="AK246" s="35" t="str">
        <x:v>No</x:v>
      </x:c>
      <x:c r="AL246" s="38" t="n">
        <x:f>IF(AA246=0,0,AB246/AA246)</x:f>
        <x:v>0.75</x:v>
      </x:c>
      <x:c r="AM246" s="38" t="n">
        <x:f>IF(AB246=0,0,AC246/AB246)</x:f>
        <x:v>0.3333333333333333</x:v>
      </x:c>
      <x:c r="AN246" s="37" t="n">
        <x:f>ROUND((AD246*0.20+AE246*0.20+AF246*0.25+AG246*0.15+MIN(100,AC246*12)*0.20),1)</x:f>
        <x:v>62.6</x:v>
      </x:c>
      <x:c r="AO246" s="37" t="n">
        <x:f>ROUND(MAX(0,MIN(100,(X246*0.35)+(W246/45*100*0.20)+((5-O246)/4*100*0.15)+((5-P246)/4*100*0.10)+((6-Y246)/5*100*0.10)+((100-Z246)*0.10))),1)</x:f>
        <x:v>39</x:v>
      </x:c>
      <x:c r="AP246" s="37" t="str">
        <x:f>IF(AO246&gt;=70,"High",IF(AO246&gt;=40,"Moderate","Low"))</x:f>
        <x:v>Low</x:v>
      </x:c>
      <x:c r="AQ246" s="37" t="n">
        <x:f>ROUND(MAX(0,MIN(100,(O246/4*100*0.25)+(P246/4*100*0.20)+(Q246/4*100*0.15)+(Y246/5*100*0.20)+(100-AO246)*0.20)),1)</x:f>
        <x:v>86</x:v>
      </x:c>
      <x:c r="AR246" s="37" t="n">
        <x:f>ROUND((AI246*0.20+AJ246*0.15+AN246*0.18+AG246*0.12+Z246*0.15+AQ246*0.20),1)</x:f>
        <x:v>85.9</x:v>
      </x:c>
      <x:c r="AS246" s="39" t="n">
        <x:f>ROUND((AC246*AF246*120)+(AH246*350)+(MAX(0,AI246-75)*220)+(MAX(0,AQ246-60)*100),0)</x:f>
        <x:v>25600</x:v>
      </x:c>
    </x:row>
    <x:row r="247">
      <x:c r="A247" s="35" t="n">
        <x:v>246</x:v>
      </x:c>
      <x:c r="B247" s="35" t="n">
        <x:v>43</x:v>
      </x:c>
      <x:c r="C247" s="35" t="str">
        <x:v>Male</x:v>
      </x:c>
      <x:c r="D247" s="35" t="str">
        <x:v>Finance</x:v>
      </x:c>
      <x:c r="E247" s="35" t="str">
        <x:v>Accountant</x:v>
      </x:c>
      <x:c r="F247" s="35" t="str">
        <x:v>Business</x:v>
      </x:c>
      <x:c r="G247" s="35" t="str">
        <x:v>Single</x:v>
      </x:c>
      <x:c r="H247" s="35" t="n">
        <x:v>2</x:v>
      </x:c>
      <x:c r="I247" s="36" t="n">
        <x:v>7820</x:v>
      </x:c>
      <x:c r="J247" s="35" t="n">
        <x:v>18</x:v>
      </x:c>
      <x:c r="K247" s="35" t="n">
        <x:v>11</x:v>
      </x:c>
      <x:c r="L247" s="35" t="n">
        <x:v>5</x:v>
      </x:c>
      <x:c r="M247" s="35" t="n">
        <x:v>12</x:v>
      </x:c>
      <x:c r="N247" s="35" t="str">
        <x:v>Yes</x:v>
      </x:c>
      <x:c r="O247" s="35" t="n">
        <x:v>3</x:v>
      </x:c>
      <x:c r="P247" s="35" t="n">
        <x:v>3</x:v>
      </x:c>
      <x:c r="Q247" s="35" t="n">
        <x:v>3</x:v>
      </x:c>
      <x:c r="R247" s="35" t="n">
        <x:v>3</x:v>
      </x:c>
      <x:c r="S247" s="35" t="n">
        <x:v>4</x:v>
      </x:c>
      <x:c r="T247" s="35" t="n">
        <x:v>2</x:v>
      </x:c>
      <x:c r="U247" s="35" t="n">
        <x:v>3</x:v>
      </x:c>
      <x:c r="V247" s="35" t="n">
        <x:v>4</x:v>
      </x:c>
      <x:c r="W247" s="35" t="n">
        <x:v>17</x:v>
      </x:c>
      <x:c r="X247" s="35" t="n">
        <x:v>76</x:v>
      </x:c>
      <x:c r="Y247" s="35" t="n">
        <x:v>5</x:v>
      </x:c>
      <x:c r="Z247" s="35" t="n">
        <x:v>100</x:v>
      </x:c>
      <x:c r="AA247" s="35" t="n">
        <x:v>5</x:v>
      </x:c>
      <x:c r="AB247" s="35" t="n">
        <x:v>4</x:v>
      </x:c>
      <x:c r="AC247" s="35" t="n">
        <x:v>4</x:v>
      </x:c>
      <x:c r="AD247" s="35" t="n">
        <x:v>59</x:v>
      </x:c>
      <x:c r="AE247" s="35" t="n">
        <x:v>86</x:v>
      </x:c>
      <x:c r="AF247" s="35" t="n">
        <x:v>88</x:v>
      </x:c>
      <x:c r="AG247" s="35" t="n">
        <x:v>80</x:v>
      </x:c>
      <x:c r="AH247" s="35" t="n">
        <x:v>12</x:v>
      </x:c>
      <x:c r="AI247" s="37" t="n">
        <x:v>100</x:v>
      </x:c>
      <x:c r="AJ247" s="37" t="n">
        <x:v>100</x:v>
      </x:c>
      <x:c r="AK247" s="35" t="str">
        <x:v>No</x:v>
      </x:c>
      <x:c r="AL247" s="38" t="n">
        <x:f>IF(AA247=0,0,AB247/AA247)</x:f>
        <x:v>0.8</x:v>
      </x:c>
      <x:c r="AM247" s="38" t="n">
        <x:f>IF(AB247=0,0,AC247/AB247)</x:f>
        <x:v>1</x:v>
      </x:c>
      <x:c r="AN247" s="37" t="n">
        <x:f>ROUND((AD247*0.20+AE247*0.20+AF247*0.25+AG247*0.15+MIN(100,AC247*12)*0.20),1)</x:f>
        <x:v>72.6</x:v>
      </x:c>
      <x:c r="AO247" s="37" t="n">
        <x:f>ROUND(MAX(0,MIN(100,(X247*0.35)+(W247/45*100*0.20)+((5-O247)/4*100*0.15)+((5-P247)/4*100*0.10)+((6-Y247)/5*100*0.10)+((100-Z247)*0.10))),1)</x:f>
        <x:v>48.7</x:v>
      </x:c>
      <x:c r="AP247" s="37" t="str">
        <x:f>IF(AO247&gt;=70,"High",IF(AO247&gt;=40,"Moderate","Low"))</x:f>
        <x:v>Moderate</x:v>
      </x:c>
      <x:c r="AQ247" s="37" t="n">
        <x:f>ROUND(MAX(0,MIN(100,(O247/4*100*0.25)+(P247/4*100*0.20)+(Q247/4*100*0.15)+(Y247/5*100*0.20)+(100-AO247)*0.20)),1)</x:f>
        <x:v>75.3</x:v>
      </x:c>
      <x:c r="AR247" s="37" t="n">
        <x:f>ROUND((AI247*0.20+AJ247*0.15+AN247*0.18+AG247*0.12+Z247*0.15+AQ247*0.20),1)</x:f>
        <x:v>87.7</x:v>
      </x:c>
      <x:c r="AS247" s="39" t="n">
        <x:f>ROUND((AC247*AF247*120)+(AH247*350)+(MAX(0,AI247-75)*220)+(MAX(0,AQ247-60)*100),0)</x:f>
        <x:v>53470</x:v>
      </x:c>
    </x:row>
    <x:row r="248">
      <x:c r="A248" s="35" t="n">
        <x:v>247</x:v>
      </x:c>
      <x:c r="B248" s="35" t="n">
        <x:v>49</x:v>
      </x:c>
      <x:c r="C248" s="35" t="str">
        <x:v>Male</x:v>
      </x:c>
      <x:c r="D248" s="35" t="str">
        <x:v>Sales</x:v>
      </x:c>
      <x:c r="E248" s="35" t="str">
        <x:v>Account Manager</x:v>
      </x:c>
      <x:c r="F248" s="35" t="str">
        <x:v>Computer Science</x:v>
      </x:c>
      <x:c r="G248" s="35" t="str">
        <x:v>Single</x:v>
      </x:c>
      <x:c r="H248" s="35" t="n">
        <x:v>5</x:v>
      </x:c>
      <x:c r="I248" s="36" t="n">
        <x:v>23120</x:v>
      </x:c>
      <x:c r="J248" s="35" t="n">
        <x:v>22</x:v>
      </x:c>
      <x:c r="K248" s="35" t="n">
        <x:v>16</x:v>
      </x:c>
      <x:c r="L248" s="35" t="n">
        <x:v>12</x:v>
      </x:c>
      <x:c r="M248" s="35" t="n">
        <x:v>9</x:v>
      </x:c>
      <x:c r="N248" s="35" t="str">
        <x:v>No</x:v>
      </x:c>
      <x:c r="O248" s="35" t="n">
        <x:v>3</x:v>
      </x:c>
      <x:c r="P248" s="35" t="n">
        <x:v>3</x:v>
      </x:c>
      <x:c r="Q248" s="35" t="n">
        <x:v>4</x:v>
      </x:c>
      <x:c r="R248" s="35" t="n">
        <x:v>2</x:v>
      </x:c>
      <x:c r="S248" s="35" t="n">
        <x:v>4</x:v>
      </x:c>
      <x:c r="T248" s="35" t="n">
        <x:v>6</x:v>
      </x:c>
      <x:c r="U248" s="35" t="n">
        <x:v>0</x:v>
      </x:c>
      <x:c r="V248" s="35" t="n">
        <x:v>0</x:v>
      </x:c>
      <x:c r="W248" s="35" t="n">
        <x:v>0</x:v>
      </x:c>
      <x:c r="X248" s="35" t="n">
        <x:v>84</x:v>
      </x:c>
      <x:c r="Y248" s="35" t="n">
        <x:v>4</x:v>
      </x:c>
      <x:c r="Z248" s="35" t="n">
        <x:v>89</x:v>
      </x:c>
      <x:c r="AA248" s="35" t="n">
        <x:v>3</x:v>
      </x:c>
      <x:c r="AB248" s="35" t="n">
        <x:v>3</x:v>
      </x:c>
      <x:c r="AC248" s="35" t="n">
        <x:v>3</x:v>
      </x:c>
      <x:c r="AD248" s="35" t="n">
        <x:v>56</x:v>
      </x:c>
      <x:c r="AE248" s="35" t="n">
        <x:v>100</x:v>
      </x:c>
      <x:c r="AF248" s="35" t="n">
        <x:v>95</x:v>
      </x:c>
      <x:c r="AG248" s="35" t="n">
        <x:v>94</x:v>
      </x:c>
      <x:c r="AH248" s="35" t="n">
        <x:v>8</x:v>
      </x:c>
      <x:c r="AI248" s="37" t="n">
        <x:v>97.3</x:v>
      </x:c>
      <x:c r="AJ248" s="37" t="n">
        <x:v>93.9</x:v>
      </x:c>
      <x:c r="AK248" s="35" t="str">
        <x:v>No</x:v>
      </x:c>
      <x:c r="AL248" s="38" t="n">
        <x:f>IF(AA248=0,0,AB248/AA248)</x:f>
        <x:v>1</x:v>
      </x:c>
      <x:c r="AM248" s="38" t="n">
        <x:f>IF(AB248=0,0,AC248/AB248)</x:f>
        <x:v>1</x:v>
      </x:c>
      <x:c r="AN248" s="37" t="n">
        <x:f>ROUND((AD248*0.20+AE248*0.20+AF248*0.25+AG248*0.15+MIN(100,AC248*12)*0.20),1)</x:f>
        <x:v>76.3</x:v>
      </x:c>
      <x:c r="AO248" s="37" t="n">
        <x:f>ROUND(MAX(0,MIN(100,(X248*0.35)+(W248/45*100*0.20)+((5-O248)/4*100*0.15)+((5-P248)/4*100*0.10)+((6-Y248)/5*100*0.10)+((100-Z248)*0.10))),1)</x:f>
        <x:v>47</x:v>
      </x:c>
      <x:c r="AP248" s="37" t="str">
        <x:f>IF(AO248&gt;=70,"High",IF(AO248&gt;=40,"Moderate","Low"))</x:f>
        <x:v>Moderate</x:v>
      </x:c>
      <x:c r="AQ248" s="37" t="n">
        <x:f>ROUND(MAX(0,MIN(100,(O248/4*100*0.25)+(P248/4*100*0.20)+(Q248/4*100*0.15)+(Y248/5*100*0.20)+(100-AO248)*0.20)),1)</x:f>
        <x:v>75.4</x:v>
      </x:c>
      <x:c r="AR248" s="37" t="n">
        <x:f>ROUND((AI248*0.20+AJ248*0.15+AN248*0.18+AG248*0.12+Z248*0.15+AQ248*0.20),1)</x:f>
        <x:v>87</x:v>
      </x:c>
      <x:c r="AS248" s="39" t="n">
        <x:f>ROUND((AC248*AF248*120)+(AH248*350)+(MAX(0,AI248-75)*220)+(MAX(0,AQ248-60)*100),0)</x:f>
        <x:v>43446</x:v>
      </x:c>
    </x:row>
    <x:row r="249">
      <x:c r="A249" s="35" t="n">
        <x:v>248</x:v>
      </x:c>
      <x:c r="B249" s="35" t="n">
        <x:v>36</x:v>
      </x:c>
      <x:c r="C249" s="35" t="str">
        <x:v>Male</x:v>
      </x:c>
      <x:c r="D249" s="35" t="str">
        <x:v>Information Technology</x:v>
      </x:c>
      <x:c r="E249" s="35" t="str">
        <x:v>Systems Analyst</x:v>
      </x:c>
      <x:c r="F249" s="35" t="str">
        <x:v>Human Resources</x:v>
      </x:c>
      <x:c r="G249" s="35" t="str">
        <x:v>Divorced</x:v>
      </x:c>
      <x:c r="H249" s="35" t="n">
        <x:v>2</x:v>
      </x:c>
      <x:c r="I249" s="36" t="n">
        <x:v>10870</x:v>
      </x:c>
      <x:c r="J249" s="35" t="n">
        <x:v>13</x:v>
      </x:c>
      <x:c r="K249" s="35" t="n">
        <x:v>7</x:v>
      </x:c>
      <x:c r="L249" s="35" t="n">
        <x:v>4</x:v>
      </x:c>
      <x:c r="M249" s="35" t="n">
        <x:v>19</x:v>
      </x:c>
      <x:c r="N249" s="35" t="str">
        <x:v>Yes</x:v>
      </x:c>
      <x:c r="O249" s="35" t="n">
        <x:v>2</x:v>
      </x:c>
      <x:c r="P249" s="35" t="n">
        <x:v>3</x:v>
      </x:c>
      <x:c r="Q249" s="35" t="n">
        <x:v>2</x:v>
      </x:c>
      <x:c r="R249" s="35" t="n">
        <x:v>3</x:v>
      </x:c>
      <x:c r="S249" s="35" t="n">
        <x:v>3</x:v>
      </x:c>
      <x:c r="T249" s="35" t="n">
        <x:v>4</x:v>
      </x:c>
      <x:c r="U249" s="35" t="n">
        <x:v>0</x:v>
      </x:c>
      <x:c r="V249" s="35" t="n">
        <x:v>8</x:v>
      </x:c>
      <x:c r="W249" s="35" t="n">
        <x:v>28</x:v>
      </x:c>
      <x:c r="X249" s="35" t="n">
        <x:v>83</x:v>
      </x:c>
      <x:c r="Y249" s="35" t="n">
        <x:v>3</x:v>
      </x:c>
      <x:c r="Z249" s="35" t="n">
        <x:v>78</x:v>
      </x:c>
      <x:c r="AA249" s="35" t="n">
        <x:v>3</x:v>
      </x:c>
      <x:c r="AB249" s="35" t="n">
        <x:v>1</x:v>
      </x:c>
      <x:c r="AC249" s="35" t="n">
        <x:v>1</x:v>
      </x:c>
      <x:c r="AD249" s="35" t="n">
        <x:v>75</x:v>
      </x:c>
      <x:c r="AE249" s="35" t="n">
        <x:v>71</x:v>
      </x:c>
      <x:c r="AF249" s="35" t="n">
        <x:v>63</x:v>
      </x:c>
      <x:c r="AG249" s="35" t="n">
        <x:v>100</x:v>
      </x:c>
      <x:c r="AH249" s="35" t="n">
        <x:v>1</x:v>
      </x:c>
      <x:c r="AI249" s="37" t="n">
        <x:v>95.6</x:v>
      </x:c>
      <x:c r="AJ249" s="37" t="n">
        <x:v>93.1</x:v>
      </x:c>
      <x:c r="AK249" s="35" t="str">
        <x:v>Yes</x:v>
      </x:c>
      <x:c r="AL249" s="38" t="n">
        <x:f>IF(AA249=0,0,AB249/AA249)</x:f>
        <x:v>0.3333333333333333</x:v>
      </x:c>
      <x:c r="AM249" s="38" t="n">
        <x:f>IF(AB249=0,0,AC249/AB249)</x:f>
        <x:v>1</x:v>
      </x:c>
      <x:c r="AN249" s="37" t="n">
        <x:f>ROUND((AD249*0.20+AE249*0.20+AF249*0.25+AG249*0.15+MIN(100,AC249*12)*0.20),1)</x:f>
        <x:v>62.4</x:v>
      </x:c>
      <x:c r="AO249" s="37" t="n">
        <x:f>ROUND(MAX(0,MIN(100,(X249*0.35)+(W249/45*100*0.20)+((5-O249)/4*100*0.15)+((5-P249)/4*100*0.10)+((6-Y249)/5*100*0.10)+((100-Z249)*0.10))),1)</x:f>
        <x:v>65.9</x:v>
      </x:c>
      <x:c r="AP249" s="37" t="str">
        <x:f>IF(AO249&gt;=70,"High",IF(AO249&gt;=40,"Moderate","Low"))</x:f>
        <x:v>Moderate</x:v>
      </x:c>
      <x:c r="AQ249" s="37" t="n">
        <x:f>ROUND(MAX(0,MIN(100,(O249/4*100*0.25)+(P249/4*100*0.20)+(Q249/4*100*0.15)+(Y249/5*100*0.20)+(100-AO249)*0.20)),1)</x:f>
        <x:v>53.8</x:v>
      </x:c>
      <x:c r="AR249" s="37" t="n">
        <x:f>ROUND((AI249*0.20+AJ249*0.15+AN249*0.18+AG249*0.12+Z249*0.15+AQ249*0.20),1)</x:f>
        <x:v>78.8</x:v>
      </x:c>
      <x:c r="AS249" s="39" t="n">
        <x:f>ROUND((AC249*AF249*120)+(AH249*350)+(MAX(0,AI249-75)*220)+(MAX(0,AQ249-60)*100),0)</x:f>
        <x:v>12442</x:v>
      </x:c>
    </x:row>
    <x:row r="250">
      <x:c r="A250" s="35" t="n">
        <x:v>249</x:v>
      </x:c>
      <x:c r="B250" s="35" t="n">
        <x:v>36</x:v>
      </x:c>
      <x:c r="C250" s="35" t="str">
        <x:v>Male</x:v>
      </x:c>
      <x:c r="D250" s="35" t="str">
        <x:v>Sales</x:v>
      </x:c>
      <x:c r="E250" s="35" t="str">
        <x:v>Sales Executive</x:v>
      </x:c>
      <x:c r="F250" s="35" t="str">
        <x:v>Marketing</x:v>
      </x:c>
      <x:c r="G250" s="35" t="str">
        <x:v>Married</x:v>
      </x:c>
      <x:c r="H250" s="35" t="n">
        <x:v>1</x:v>
      </x:c>
      <x:c r="I250" s="36" t="n">
        <x:v>5970</x:v>
      </x:c>
      <x:c r="J250" s="35" t="n">
        <x:v>10</x:v>
      </x:c>
      <x:c r="K250" s="35" t="n">
        <x:v>4</x:v>
      </x:c>
      <x:c r="L250" s="35" t="n">
        <x:v>2</x:v>
      </x:c>
      <x:c r="M250" s="35" t="n">
        <x:v>6</x:v>
      </x:c>
      <x:c r="N250" s="35" t="str">
        <x:v>No</x:v>
      </x:c>
      <x:c r="O250" s="35" t="n">
        <x:v>3</x:v>
      </x:c>
      <x:c r="P250" s="35" t="n">
        <x:v>3</x:v>
      </x:c>
      <x:c r="Q250" s="35" t="n">
        <x:v>2</x:v>
      </x:c>
      <x:c r="R250" s="35" t="n">
        <x:v>3</x:v>
      </x:c>
      <x:c r="S250" s="35" t="n">
        <x:v>3</x:v>
      </x:c>
      <x:c r="T250" s="35" t="n">
        <x:v>4</x:v>
      </x:c>
      <x:c r="U250" s="35" t="n">
        <x:v>0</x:v>
      </x:c>
      <x:c r="V250" s="35" t="n">
        <x:v>10</x:v>
      </x:c>
      <x:c r="W250" s="35" t="n">
        <x:v>9</x:v>
      </x:c>
      <x:c r="X250" s="35" t="n">
        <x:v>83</x:v>
      </x:c>
      <x:c r="Y250" s="35" t="n">
        <x:v>5</x:v>
      </x:c>
      <x:c r="Z250" s="35" t="n">
        <x:v>100</x:v>
      </x:c>
      <x:c r="AA250" s="35" t="n">
        <x:v>8</x:v>
      </x:c>
      <x:c r="AB250" s="35" t="n">
        <x:v>5</x:v>
      </x:c>
      <x:c r="AC250" s="35" t="n">
        <x:v>4</x:v>
      </x:c>
      <x:c r="AD250" s="35" t="n">
        <x:v>95</x:v>
      </x:c>
      <x:c r="AE250" s="35" t="n">
        <x:v>100</x:v>
      </x:c>
      <x:c r="AF250" s="35" t="n">
        <x:v>67</x:v>
      </x:c>
      <x:c r="AG250" s="35" t="n">
        <x:v>98</x:v>
      </x:c>
      <x:c r="AH250" s="35" t="n">
        <x:v>7</x:v>
      </x:c>
      <x:c r="AI250" s="37" t="n">
        <x:v>89.4</x:v>
      </x:c>
      <x:c r="AJ250" s="37" t="n">
        <x:v>93.3</x:v>
      </x:c>
      <x:c r="AK250" s="35" t="str">
        <x:v>No</x:v>
      </x:c>
      <x:c r="AL250" s="38" t="n">
        <x:f>IF(AA250=0,0,AB250/AA250)</x:f>
        <x:v>0.625</x:v>
      </x:c>
      <x:c r="AM250" s="38" t="n">
        <x:f>IF(AB250=0,0,AC250/AB250)</x:f>
        <x:v>0.8</x:v>
      </x:c>
      <x:c r="AN250" s="37" t="n">
        <x:f>ROUND((AD250*0.20+AE250*0.20+AF250*0.25+AG250*0.15+MIN(100,AC250*12)*0.20),1)</x:f>
        <x:v>80.1</x:v>
      </x:c>
      <x:c r="AO250" s="37" t="n">
        <x:f>ROUND(MAX(0,MIN(100,(X250*0.35)+(W250/45*100*0.20)+((5-O250)/4*100*0.15)+((5-P250)/4*100*0.10)+((6-Y250)/5*100*0.10)+((100-Z250)*0.10))),1)</x:f>
        <x:v>47.6</x:v>
      </x:c>
      <x:c r="AP250" s="37" t="str">
        <x:f>IF(AO250&gt;=70,"High",IF(AO250&gt;=40,"Moderate","Low"))</x:f>
        <x:v>Moderate</x:v>
      </x:c>
      <x:c r="AQ250" s="37" t="n">
        <x:f>ROUND(MAX(0,MIN(100,(O250/4*100*0.25)+(P250/4*100*0.20)+(Q250/4*100*0.15)+(Y250/5*100*0.20)+(100-AO250)*0.20)),1)</x:f>
        <x:v>71.7</x:v>
      </x:c>
      <x:c r="AR250" s="37" t="n">
        <x:f>ROUND((AI250*0.20+AJ250*0.15+AN250*0.18+AG250*0.12+Z250*0.15+AQ250*0.20),1)</x:f>
        <x:v>87.4</x:v>
      </x:c>
      <x:c r="AS250" s="39" t="n">
        <x:f>ROUND((AC250*AF250*120)+(AH250*350)+(MAX(0,AI250-75)*220)+(MAX(0,AQ250-60)*100),0)</x:f>
        <x:v>38948</x:v>
      </x:c>
    </x:row>
    <x:row r="251">
      <x:c r="A251" s="35" t="n">
        <x:v>250</x:v>
      </x:c>
      <x:c r="B251" s="35" t="n">
        <x:v>43</x:v>
      </x:c>
      <x:c r="C251" s="35" t="str">
        <x:v>Male</x:v>
      </x:c>
      <x:c r="D251" s="35" t="str">
        <x:v>Research &amp; Development</x:v>
      </x:c>
      <x:c r="E251" s="35" t="str">
        <x:v>R&amp;D Manager</x:v>
      </x:c>
      <x:c r="F251" s="35" t="str">
        <x:v>Business</x:v>
      </x:c>
      <x:c r="G251" s="35" t="str">
        <x:v>Married</x:v>
      </x:c>
      <x:c r="H251" s="35" t="n">
        <x:v>2</x:v>
      </x:c>
      <x:c r="I251" s="36" t="n">
        <x:v>7890</x:v>
      </x:c>
      <x:c r="J251" s="35" t="n">
        <x:v>15</x:v>
      </x:c>
      <x:c r="K251" s="35" t="n">
        <x:v>5</x:v>
      </x:c>
      <x:c r="L251" s="35" t="n">
        <x:v>4</x:v>
      </x:c>
      <x:c r="M251" s="35" t="n">
        <x:v>11</x:v>
      </x:c>
      <x:c r="N251" s="35" t="str">
        <x:v>No</x:v>
      </x:c>
      <x:c r="O251" s="35" t="n">
        <x:v>2</x:v>
      </x:c>
      <x:c r="P251" s="35" t="n">
        <x:v>2</x:v>
      </x:c>
      <x:c r="Q251" s="35" t="n">
        <x:v>3</x:v>
      </x:c>
      <x:c r="R251" s="35" t="n">
        <x:v>3</x:v>
      </x:c>
      <x:c r="S251" s="35" t="n">
        <x:v>3</x:v>
      </x:c>
      <x:c r="T251" s="35" t="n">
        <x:v>2</x:v>
      </x:c>
      <x:c r="U251" s="35" t="n">
        <x:v>1</x:v>
      </x:c>
      <x:c r="V251" s="35" t="n">
        <x:v>4</x:v>
      </x:c>
      <x:c r="W251" s="35" t="n">
        <x:v>13</x:v>
      </x:c>
      <x:c r="X251" s="35" t="n">
        <x:v>83</x:v>
      </x:c>
      <x:c r="Y251" s="35" t="n">
        <x:v>4</x:v>
      </x:c>
      <x:c r="Z251" s="35" t="n">
        <x:v>89</x:v>
      </x:c>
      <x:c r="AA251" s="35" t="n">
        <x:v>6</x:v>
      </x:c>
      <x:c r="AB251" s="35" t="n">
        <x:v>5</x:v>
      </x:c>
      <x:c r="AC251" s="35" t="n">
        <x:v>4</x:v>
      </x:c>
      <x:c r="AD251" s="35" t="n">
        <x:v>89</x:v>
      </x:c>
      <x:c r="AE251" s="35" t="n">
        <x:v>86</x:v>
      </x:c>
      <x:c r="AF251" s="35" t="n">
        <x:v>66</x:v>
      </x:c>
      <x:c r="AG251" s="35" t="n">
        <x:v>88</x:v>
      </x:c>
      <x:c r="AH251" s="35" t="n">
        <x:v>6</x:v>
      </x:c>
      <x:c r="AI251" s="37" t="n">
        <x:v>98.2</x:v>
      </x:c>
      <x:c r="AJ251" s="37" t="n">
        <x:v>91</x:v>
      </x:c>
      <x:c r="AK251" s="35" t="str">
        <x:v>No</x:v>
      </x:c>
      <x:c r="AL251" s="38" t="n">
        <x:f>IF(AA251=0,0,AB251/AA251)</x:f>
        <x:v>0.8333333333333334</x:v>
      </x:c>
      <x:c r="AM251" s="38" t="n">
        <x:f>IF(AB251=0,0,AC251/AB251)</x:f>
        <x:v>0.8</x:v>
      </x:c>
      <x:c r="AN251" s="37" t="n">
        <x:f>ROUND((AD251*0.20+AE251*0.20+AF251*0.25+AG251*0.15+MIN(100,AC251*12)*0.20),1)</x:f>
        <x:v>74.3</x:v>
      </x:c>
      <x:c r="AO251" s="37" t="n">
        <x:f>ROUND(MAX(0,MIN(100,(X251*0.35)+(W251/45*100*0.20)+((5-O251)/4*100*0.15)+((5-P251)/4*100*0.10)+((6-Y251)/5*100*0.10)+((100-Z251)*0.10))),1)</x:f>
        <x:v>58.7</x:v>
      </x:c>
      <x:c r="AP251" s="37" t="str">
        <x:f>IF(AO251&gt;=70,"High",IF(AO251&gt;=40,"Moderate","Low"))</x:f>
        <x:v>Moderate</x:v>
      </x:c>
      <x:c r="AQ251" s="37" t="n">
        <x:f>ROUND(MAX(0,MIN(100,(O251/4*100*0.25)+(P251/4*100*0.20)+(Q251/4*100*0.15)+(Y251/5*100*0.20)+(100-AO251)*0.20)),1)</x:f>
        <x:v>58</x:v>
      </x:c>
      <x:c r="AR251" s="37" t="n">
        <x:f>ROUND((AI251*0.20+AJ251*0.15+AN251*0.18+AG251*0.12+Z251*0.15+AQ251*0.20),1)</x:f>
        <x:v>82.2</x:v>
      </x:c>
      <x:c r="AS251" s="39" t="n">
        <x:f>ROUND((AC251*AF251*120)+(AH251*350)+(MAX(0,AI251-75)*220)+(MAX(0,AQ251-60)*100),0)</x:f>
        <x:v>38884</x:v>
      </x:c>
    </x:row>
    <x:row r="252">
      <x:c r="A252" s="35" t="n">
        <x:v>251</x:v>
      </x:c>
      <x:c r="B252" s="35" t="n">
        <x:v>42</x:v>
      </x:c>
      <x:c r="C252" s="35" t="str">
        <x:v>Male</x:v>
      </x:c>
      <x:c r="D252" s="35" t="str">
        <x:v>Finance</x:v>
      </x:c>
      <x:c r="E252" s="35" t="str">
        <x:v>Accountant</x:v>
      </x:c>
      <x:c r="F252" s="35" t="str">
        <x:v>Computer Science</x:v>
      </x:c>
      <x:c r="G252" s="35" t="str">
        <x:v>Single</x:v>
      </x:c>
      <x:c r="H252" s="35" t="n">
        <x:v>3</x:v>
      </x:c>
      <x:c r="I252" s="36" t="n">
        <x:v>16310</x:v>
      </x:c>
      <x:c r="J252" s="35" t="n">
        <x:v>14</x:v>
      </x:c>
      <x:c r="K252" s="35" t="n">
        <x:v>8</x:v>
      </x:c>
      <x:c r="L252" s="35" t="n">
        <x:v>4</x:v>
      </x:c>
      <x:c r="M252" s="35" t="n">
        <x:v>9</x:v>
      </x:c>
      <x:c r="N252" s="35" t="str">
        <x:v>Yes</x:v>
      </x:c>
      <x:c r="O252" s="35" t="n">
        <x:v>3</x:v>
      </x:c>
      <x:c r="P252" s="35" t="n">
        <x:v>2</x:v>
      </x:c>
      <x:c r="Q252" s="35" t="n">
        <x:v>2</x:v>
      </x:c>
      <x:c r="R252" s="35" t="n">
        <x:v>2</x:v>
      </x:c>
      <x:c r="S252" s="35" t="n">
        <x:v>3</x:v>
      </x:c>
      <x:c r="T252" s="35" t="n">
        <x:v>4</x:v>
      </x:c>
      <x:c r="U252" s="35" t="n">
        <x:v>0</x:v>
      </x:c>
      <x:c r="V252" s="35" t="n">
        <x:v>5</x:v>
      </x:c>
      <x:c r="W252" s="35" t="n">
        <x:v>14</x:v>
      </x:c>
      <x:c r="X252" s="35" t="n">
        <x:v>73</x:v>
      </x:c>
      <x:c r="Y252" s="35" t="n">
        <x:v>4</x:v>
      </x:c>
      <x:c r="Z252" s="35" t="n">
        <x:v>84</x:v>
      </x:c>
      <x:c r="AA252" s="35" t="n">
        <x:v>6</x:v>
      </x:c>
      <x:c r="AB252" s="35" t="n">
        <x:v>5</x:v>
      </x:c>
      <x:c r="AC252" s="35" t="n">
        <x:v>2</x:v>
      </x:c>
      <x:c r="AD252" s="35" t="n">
        <x:v>80</x:v>
      </x:c>
      <x:c r="AE252" s="35" t="n">
        <x:v>75</x:v>
      </x:c>
      <x:c r="AF252" s="35" t="n">
        <x:v>81</x:v>
      </x:c>
      <x:c r="AG252" s="35" t="n">
        <x:v>73</x:v>
      </x:c>
      <x:c r="AH252" s="35" t="n">
        <x:v>6</x:v>
      </x:c>
      <x:c r="AI252" s="37" t="n">
        <x:v>92.8</x:v>
      </x:c>
      <x:c r="AJ252" s="37" t="n">
        <x:v>98.4</x:v>
      </x:c>
      <x:c r="AK252" s="35" t="str">
        <x:v>No</x:v>
      </x:c>
      <x:c r="AL252" s="38" t="n">
        <x:f>IF(AA252=0,0,AB252/AA252)</x:f>
        <x:v>0.8333333333333334</x:v>
      </x:c>
      <x:c r="AM252" s="38" t="n">
        <x:f>IF(AB252=0,0,AC252/AB252)</x:f>
        <x:v>0.4</x:v>
      </x:c>
      <x:c r="AN252" s="37" t="n">
        <x:f>ROUND((AD252*0.20+AE252*0.20+AF252*0.25+AG252*0.15+MIN(100,AC252*12)*0.20),1)</x:f>
        <x:v>67</x:v>
      </x:c>
      <x:c r="AO252" s="37" t="n">
        <x:f>ROUND(MAX(0,MIN(100,(X252*0.35)+(W252/45*100*0.20)+((5-O252)/4*100*0.15)+((5-P252)/4*100*0.10)+((6-Y252)/5*100*0.10)+((100-Z252)*0.10))),1)</x:f>
        <x:v>52.4</x:v>
      </x:c>
      <x:c r="AP252" s="37" t="str">
        <x:f>IF(AO252&gt;=70,"High",IF(AO252&gt;=40,"Moderate","Low"))</x:f>
        <x:v>Moderate</x:v>
      </x:c>
      <x:c r="AQ252" s="37" t="n">
        <x:f>ROUND(MAX(0,MIN(100,(O252/4*100*0.25)+(P252/4*100*0.20)+(Q252/4*100*0.15)+(Y252/5*100*0.20)+(100-AO252)*0.20)),1)</x:f>
        <x:v>61.8</x:v>
      </x:c>
      <x:c r="AR252" s="37" t="n">
        <x:f>ROUND((AI252*0.20+AJ252*0.15+AN252*0.18+AG252*0.12+Z252*0.15+AQ252*0.20),1)</x:f>
        <x:v>79.1</x:v>
      </x:c>
      <x:c r="AS252" s="39" t="n">
        <x:f>ROUND((AC252*AF252*120)+(AH252*350)+(MAX(0,AI252-75)*220)+(MAX(0,AQ252-60)*100),0)</x:f>
        <x:v>25636</x:v>
      </x:c>
    </x:row>
    <x:row r="253">
      <x:c r="A253" s="35" t="n">
        <x:v>252</x:v>
      </x:c>
      <x:c r="B253" s="35" t="n">
        <x:v>46</x:v>
      </x:c>
      <x:c r="C253" s="35" t="str">
        <x:v>Male</x:v>
      </x:c>
      <x:c r="D253" s="35" t="str">
        <x:v>Marketing</x:v>
      </x:c>
      <x:c r="E253" s="35" t="str">
        <x:v>Marketing Manager</x:v>
      </x:c>
      <x:c r="F253" s="35" t="str">
        <x:v>Technical Degree</x:v>
      </x:c>
      <x:c r="G253" s="35" t="str">
        <x:v>Married</x:v>
      </x:c>
      <x:c r="H253" s="35" t="n">
        <x:v>3</x:v>
      </x:c>
      <x:c r="I253" s="36" t="n">
        <x:v>9810</x:v>
      </x:c>
      <x:c r="J253" s="35" t="n">
        <x:v>20</x:v>
      </x:c>
      <x:c r="K253" s="35" t="n">
        <x:v>12</x:v>
      </x:c>
      <x:c r="L253" s="35" t="n">
        <x:v>4</x:v>
      </x:c>
      <x:c r="M253" s="35" t="n">
        <x:v>16</x:v>
      </x:c>
      <x:c r="N253" s="35" t="str">
        <x:v>Yes</x:v>
      </x:c>
      <x:c r="O253" s="35" t="n">
        <x:v>4</x:v>
      </x:c>
      <x:c r="P253" s="35" t="n">
        <x:v>3</x:v>
      </x:c>
      <x:c r="Q253" s="35" t="n">
        <x:v>4</x:v>
      </x:c>
      <x:c r="R253" s="35" t="n">
        <x:v>4</x:v>
      </x:c>
      <x:c r="S253" s="35" t="n">
        <x:v>3</x:v>
      </x:c>
      <x:c r="T253" s="35" t="n">
        <x:v>4</x:v>
      </x:c>
      <x:c r="U253" s="35" t="n">
        <x:v>0</x:v>
      </x:c>
      <x:c r="V253" s="35" t="n">
        <x:v>7</x:v>
      </x:c>
      <x:c r="W253" s="35" t="n">
        <x:v>30</x:v>
      </x:c>
      <x:c r="X253" s="35" t="n">
        <x:v>71</x:v>
      </x:c>
      <x:c r="Y253" s="35" t="n">
        <x:v>5</x:v>
      </x:c>
      <x:c r="Z253" s="35" t="n">
        <x:v>100</x:v>
      </x:c>
      <x:c r="AA253" s="35" t="n">
        <x:v>5</x:v>
      </x:c>
      <x:c r="AB253" s="35" t="n">
        <x:v>2</x:v>
      </x:c>
      <x:c r="AC253" s="35" t="n">
        <x:v>2</x:v>
      </x:c>
      <x:c r="AD253" s="35" t="n">
        <x:v>78</x:v>
      </x:c>
      <x:c r="AE253" s="35" t="n">
        <x:v>73</x:v>
      </x:c>
      <x:c r="AF253" s="35" t="n">
        <x:v>88</x:v>
      </x:c>
      <x:c r="AG253" s="35" t="n">
        <x:v>100</x:v>
      </x:c>
      <x:c r="AH253" s="35" t="n">
        <x:v>8</x:v>
      </x:c>
      <x:c r="AI253" s="37" t="n">
        <x:v>96.4</x:v>
      </x:c>
      <x:c r="AJ253" s="37" t="n">
        <x:v>89.7</x:v>
      </x:c>
      <x:c r="AK253" s="35" t="str">
        <x:v>No</x:v>
      </x:c>
      <x:c r="AL253" s="38" t="n">
        <x:f>IF(AA253=0,0,AB253/AA253)</x:f>
        <x:v>0.4</x:v>
      </x:c>
      <x:c r="AM253" s="38" t="n">
        <x:f>IF(AB253=0,0,AC253/AB253)</x:f>
        <x:v>1</x:v>
      </x:c>
      <x:c r="AN253" s="37" t="n">
        <x:f>ROUND((AD253*0.20+AE253*0.20+AF253*0.25+AG253*0.15+MIN(100,AC253*12)*0.20),1)</x:f>
        <x:v>72</x:v>
      </x:c>
      <x:c r="AO253" s="37" t="n">
        <x:f>ROUND(MAX(0,MIN(100,(X253*0.35)+(W253/45*100*0.20)+((5-O253)/4*100*0.15)+((5-P253)/4*100*0.10)+((6-Y253)/5*100*0.10)+((100-Z253)*0.10))),1)</x:f>
        <x:v>48.9</x:v>
      </x:c>
      <x:c r="AP253" s="37" t="str">
        <x:f>IF(AO253&gt;=70,"High",IF(AO253&gt;=40,"Moderate","Low"))</x:f>
        <x:v>Moderate</x:v>
      </x:c>
      <x:c r="AQ253" s="37" t="n">
        <x:f>ROUND(MAX(0,MIN(100,(O253/4*100*0.25)+(P253/4*100*0.20)+(Q253/4*100*0.15)+(Y253/5*100*0.20)+(100-AO253)*0.20)),1)</x:f>
        <x:v>85.2</x:v>
      </x:c>
      <x:c r="AR253" s="37" t="n">
        <x:f>ROUND((AI253*0.20+AJ253*0.15+AN253*0.18+AG253*0.12+Z253*0.15+AQ253*0.20),1)</x:f>
        <x:v>89.7</x:v>
      </x:c>
      <x:c r="AS253" s="39" t="n">
        <x:f>ROUND((AC253*AF253*120)+(AH253*350)+(MAX(0,AI253-75)*220)+(MAX(0,AQ253-60)*100),0)</x:f>
        <x:v>31148</x:v>
      </x:c>
    </x:row>
    <x:row r="254">
      <x:c r="A254" s="35" t="n">
        <x:v>253</x:v>
      </x:c>
      <x:c r="B254" s="35" t="n">
        <x:v>39</x:v>
      </x:c>
      <x:c r="C254" s="35" t="str">
        <x:v>Female</x:v>
      </x:c>
      <x:c r="D254" s="35" t="str">
        <x:v>Information Technology</x:v>
      </x:c>
      <x:c r="E254" s="35" t="str">
        <x:v>Software Engineer</x:v>
      </x:c>
      <x:c r="F254" s="35" t="str">
        <x:v>Medical</x:v>
      </x:c>
      <x:c r="G254" s="35" t="str">
        <x:v>Married</x:v>
      </x:c>
      <x:c r="H254" s="35" t="n">
        <x:v>2</x:v>
      </x:c>
      <x:c r="I254" s="36" t="n">
        <x:v>8010</x:v>
      </x:c>
      <x:c r="J254" s="35" t="n">
        <x:v>14</x:v>
      </x:c>
      <x:c r="K254" s="35" t="n">
        <x:v>5</x:v>
      </x:c>
      <x:c r="L254" s="35" t="n">
        <x:v>3</x:v>
      </x:c>
      <x:c r="M254" s="35" t="n">
        <x:v>10</x:v>
      </x:c>
      <x:c r="N254" s="35" t="str">
        <x:v>No</x:v>
      </x:c>
      <x:c r="O254" s="35" t="n">
        <x:v>3</x:v>
      </x:c>
      <x:c r="P254" s="35" t="n">
        <x:v>3</x:v>
      </x:c>
      <x:c r="Q254" s="35" t="n">
        <x:v>3</x:v>
      </x:c>
      <x:c r="R254" s="35" t="n">
        <x:v>3</x:v>
      </x:c>
      <x:c r="S254" s="35" t="n">
        <x:v>3</x:v>
      </x:c>
      <x:c r="T254" s="35" t="n">
        <x:v>2</x:v>
      </x:c>
      <x:c r="U254" s="35" t="n">
        <x:v>0</x:v>
      </x:c>
      <x:c r="V254" s="35" t="n">
        <x:v>9</x:v>
      </x:c>
      <x:c r="W254" s="35" t="n">
        <x:v>6</x:v>
      </x:c>
      <x:c r="X254" s="35" t="n">
        <x:v>66</x:v>
      </x:c>
      <x:c r="Y254" s="35" t="n">
        <x:v>4</x:v>
      </x:c>
      <x:c r="Z254" s="35" t="n">
        <x:v>100</x:v>
      </x:c>
      <x:c r="AA254" s="35" t="n">
        <x:v>6</x:v>
      </x:c>
      <x:c r="AB254" s="35" t="n">
        <x:v>3</x:v>
      </x:c>
      <x:c r="AC254" s="35" t="n">
        <x:v>3</x:v>
      </x:c>
      <x:c r="AD254" s="35" t="n">
        <x:v>90</x:v>
      </x:c>
      <x:c r="AE254" s="35" t="n">
        <x:v>73</x:v>
      </x:c>
      <x:c r="AF254" s="35" t="n">
        <x:v>73</x:v>
      </x:c>
      <x:c r="AG254" s="35" t="n">
        <x:v>93</x:v>
      </x:c>
      <x:c r="AH254" s="35" t="n">
        <x:v>7</x:v>
      </x:c>
      <x:c r="AI254" s="37" t="n">
        <x:v>98.2</x:v>
      </x:c>
      <x:c r="AJ254" s="37" t="n">
        <x:v>88</x:v>
      </x:c>
      <x:c r="AK254" s="35" t="str">
        <x:v>No</x:v>
      </x:c>
      <x:c r="AL254" s="38" t="n">
        <x:f>IF(AA254=0,0,AB254/AA254)</x:f>
        <x:v>0.5</x:v>
      </x:c>
      <x:c r="AM254" s="38" t="n">
        <x:f>IF(AB254=0,0,AC254/AB254)</x:f>
        <x:v>1</x:v>
      </x:c>
      <x:c r="AN254" s="37" t="n">
        <x:f>ROUND((AD254*0.20+AE254*0.20+AF254*0.25+AG254*0.15+MIN(100,AC254*12)*0.20),1)</x:f>
        <x:v>72</x:v>
      </x:c>
      <x:c r="AO254" s="37" t="n">
        <x:f>ROUND(MAX(0,MIN(100,(X254*0.35)+(W254/45*100*0.20)+((5-O254)/4*100*0.15)+((5-P254)/4*100*0.10)+((6-Y254)/5*100*0.10)+((100-Z254)*0.10))),1)</x:f>
        <x:v>42.3</x:v>
      </x:c>
      <x:c r="AP254" s="37" t="str">
        <x:f>IF(AO254&gt;=70,"High",IF(AO254&gt;=40,"Moderate","Low"))</x:f>
        <x:v>Moderate</x:v>
      </x:c>
      <x:c r="AQ254" s="37" t="n">
        <x:f>ROUND(MAX(0,MIN(100,(O254/4*100*0.25)+(P254/4*100*0.20)+(Q254/4*100*0.15)+(Y254/5*100*0.20)+(100-AO254)*0.20)),1)</x:f>
        <x:v>72.5</x:v>
      </x:c>
      <x:c r="AR254" s="37" t="n">
        <x:f>ROUND((AI254*0.20+AJ254*0.15+AN254*0.18+AG254*0.12+Z254*0.15+AQ254*0.20),1)</x:f>
        <x:v>86.5</x:v>
      </x:c>
      <x:c r="AS254" s="39" t="n">
        <x:f>ROUND((AC254*AF254*120)+(AH254*350)+(MAX(0,AI254-75)*220)+(MAX(0,AQ254-60)*100),0)</x:f>
        <x:v>35084</x:v>
      </x:c>
    </x:row>
    <x:row r="255">
      <x:c r="A255" s="35" t="n">
        <x:v>254</x:v>
      </x:c>
      <x:c r="B255" s="35" t="n">
        <x:v>26</x:v>
      </x:c>
      <x:c r="C255" s="35" t="str">
        <x:v>Male</x:v>
      </x:c>
      <x:c r="D255" s="35" t="str">
        <x:v>Research &amp; Development</x:v>
      </x:c>
      <x:c r="E255" s="35" t="str">
        <x:v>Data Scientist</x:v>
      </x:c>
      <x:c r="F255" s="35" t="str">
        <x:v>Marketing</x:v>
      </x:c>
      <x:c r="G255" s="35" t="str">
        <x:v>Single</x:v>
      </x:c>
      <x:c r="H255" s="35" t="n">
        <x:v>1</x:v>
      </x:c>
      <x:c r="I255" s="36" t="n">
        <x:v>5860</x:v>
      </x:c>
      <x:c r="J255" s="35" t="n">
        <x:v>3</x:v>
      </x:c>
      <x:c r="K255" s="35" t="n">
        <x:v>1</x:v>
      </x:c>
      <x:c r="L255" s="35" t="n">
        <x:v>0</x:v>
      </x:c>
      <x:c r="M255" s="35" t="n">
        <x:v>3</x:v>
      </x:c>
      <x:c r="N255" s="35" t="str">
        <x:v>No</x:v>
      </x:c>
      <x:c r="O255" s="35" t="n">
        <x:v>3</x:v>
      </x:c>
      <x:c r="P255" s="35" t="n">
        <x:v>3</x:v>
      </x:c>
      <x:c r="Q255" s="35" t="n">
        <x:v>3</x:v>
      </x:c>
      <x:c r="R255" s="35" t="n">
        <x:v>3</x:v>
      </x:c>
      <x:c r="S255" s="35" t="n">
        <x:v>3</x:v>
      </x:c>
      <x:c r="T255" s="35" t="n">
        <x:v>3</x:v>
      </x:c>
      <x:c r="U255" s="35" t="n">
        <x:v>0</x:v>
      </x:c>
      <x:c r="V255" s="35" t="n">
        <x:v>1</x:v>
      </x:c>
      <x:c r="W255" s="35" t="n">
        <x:v>0</x:v>
      </x:c>
      <x:c r="X255" s="35" t="n">
        <x:v>62</x:v>
      </x:c>
      <x:c r="Y255" s="35" t="n">
        <x:v>5</x:v>
      </x:c>
      <x:c r="Z255" s="35" t="n">
        <x:v>100</x:v>
      </x:c>
      <x:c r="AA255" s="35" t="n">
        <x:v>8</x:v>
      </x:c>
      <x:c r="AB255" s="35" t="n">
        <x:v>7</x:v>
      </x:c>
      <x:c r="AC255" s="35" t="n">
        <x:v>4</x:v>
      </x:c>
      <x:c r="AD255" s="35" t="n">
        <x:v>90</x:v>
      </x:c>
      <x:c r="AE255" s="35" t="n">
        <x:v>83</x:v>
      </x:c>
      <x:c r="AF255" s="35" t="n">
        <x:v>78</x:v>
      </x:c>
      <x:c r="AG255" s="35" t="n">
        <x:v>96</x:v>
      </x:c>
      <x:c r="AH255" s="35" t="n">
        <x:v>8</x:v>
      </x:c>
      <x:c r="AI255" s="37" t="n">
        <x:v>94.7</x:v>
      </x:c>
      <x:c r="AJ255" s="37" t="n">
        <x:v>100</x:v>
      </x:c>
      <x:c r="AK255" s="35" t="str">
        <x:v>No</x:v>
      </x:c>
      <x:c r="AL255" s="38" t="n">
        <x:f>IF(AA255=0,0,AB255/AA255)</x:f>
        <x:v>0.875</x:v>
      </x:c>
      <x:c r="AM255" s="38" t="n">
        <x:f>IF(AB255=0,0,AC255/AB255)</x:f>
        <x:v>0.5714285714285714</x:v>
      </x:c>
      <x:c r="AN255" s="37" t="n">
        <x:f>ROUND((AD255*0.20+AE255*0.20+AF255*0.25+AG255*0.15+MIN(100,AC255*12)*0.20),1)</x:f>
        <x:v>78.1</x:v>
      </x:c>
      <x:c r="AO255" s="37" t="n">
        <x:f>ROUND(MAX(0,MIN(100,(X255*0.35)+(W255/45*100*0.20)+((5-O255)/4*100*0.15)+((5-P255)/4*100*0.10)+((6-Y255)/5*100*0.10)+((100-Z255)*0.10))),1)</x:f>
        <x:v>36.2</x:v>
      </x:c>
      <x:c r="AP255" s="37" t="str">
        <x:f>IF(AO255&gt;=70,"High",IF(AO255&gt;=40,"Moderate","Low"))</x:f>
        <x:v>Low</x:v>
      </x:c>
      <x:c r="AQ255" s="37" t="n">
        <x:f>ROUND(MAX(0,MIN(100,(O255/4*100*0.25)+(P255/4*100*0.20)+(Q255/4*100*0.15)+(Y255/5*100*0.20)+(100-AO255)*0.20)),1)</x:f>
        <x:v>77.8</x:v>
      </x:c>
      <x:c r="AR255" s="37" t="n">
        <x:f>ROUND((AI255*0.20+AJ255*0.15+AN255*0.18+AG255*0.12+Z255*0.15+AQ255*0.20),1)</x:f>
        <x:v>90.1</x:v>
      </x:c>
      <x:c r="AS255" s="39" t="n">
        <x:f>ROUND((AC255*AF255*120)+(AH255*350)+(MAX(0,AI255-75)*220)+(MAX(0,AQ255-60)*100),0)</x:f>
        <x:v>46354</x:v>
      </x:c>
    </x:row>
    <x:row r="256">
      <x:c r="A256" s="35" t="n">
        <x:v>255</x:v>
      </x:c>
      <x:c r="B256" s="35" t="n">
        <x:v>35</x:v>
      </x:c>
      <x:c r="C256" s="35" t="str">
        <x:v>Female</x:v>
      </x:c>
      <x:c r="D256" s="35" t="str">
        <x:v>Operations</x:v>
      </x:c>
      <x:c r="E256" s="35" t="str">
        <x:v>Quality Specialist</x:v>
      </x:c>
      <x:c r="F256" s="35" t="str">
        <x:v>Business</x:v>
      </x:c>
      <x:c r="G256" s="35" t="str">
        <x:v>Divorced</x:v>
      </x:c>
      <x:c r="H256" s="35" t="n">
        <x:v>2</x:v>
      </x:c>
      <x:c r="I256" s="36" t="n">
        <x:v>9360</x:v>
      </x:c>
      <x:c r="J256" s="35" t="n">
        <x:v>9</x:v>
      </x:c>
      <x:c r="K256" s="35" t="n">
        <x:v>4</x:v>
      </x:c>
      <x:c r="L256" s="35" t="n">
        <x:v>3</x:v>
      </x:c>
      <x:c r="M256" s="35" t="n">
        <x:v>7</x:v>
      </x:c>
      <x:c r="N256" s="35" t="str">
        <x:v>Yes</x:v>
      </x:c>
      <x:c r="O256" s="35" t="n">
        <x:v>4</x:v>
      </x:c>
      <x:c r="P256" s="35" t="n">
        <x:v>3</x:v>
      </x:c>
      <x:c r="Q256" s="35" t="n">
        <x:v>2</x:v>
      </x:c>
      <x:c r="R256" s="35" t="n">
        <x:v>3</x:v>
      </x:c>
      <x:c r="S256" s="35" t="n">
        <x:v>3</x:v>
      </x:c>
      <x:c r="T256" s="35" t="n">
        <x:v>4</x:v>
      </x:c>
      <x:c r="U256" s="35" t="n">
        <x:v>0</x:v>
      </x:c>
      <x:c r="V256" s="35" t="n">
        <x:v>9</x:v>
      </x:c>
      <x:c r="W256" s="35" t="n">
        <x:v>13</x:v>
      </x:c>
      <x:c r="X256" s="35" t="n">
        <x:v>72</x:v>
      </x:c>
      <x:c r="Y256" s="35" t="n">
        <x:v>4</x:v>
      </x:c>
      <x:c r="Z256" s="35" t="n">
        <x:v>100</x:v>
      </x:c>
      <x:c r="AA256" s="35" t="n">
        <x:v>9</x:v>
      </x:c>
      <x:c r="AB256" s="35" t="n">
        <x:v>4</x:v>
      </x:c>
      <x:c r="AC256" s="35" t="n">
        <x:v>3</x:v>
      </x:c>
      <x:c r="AD256" s="35" t="n">
        <x:v>73</x:v>
      </x:c>
      <x:c r="AE256" s="35" t="n">
        <x:v>66</x:v>
      </x:c>
      <x:c r="AF256" s="35" t="n">
        <x:v>54</x:v>
      </x:c>
      <x:c r="AG256" s="35" t="n">
        <x:v>81</x:v>
      </x:c>
      <x:c r="AH256" s="35" t="n">
        <x:v>7</x:v>
      </x:c>
      <x:c r="AI256" s="37" t="n">
        <x:v>93.4</x:v>
      </x:c>
      <x:c r="AJ256" s="37" t="n">
        <x:v>94.2</x:v>
      </x:c>
      <x:c r="AK256" s="35" t="str">
        <x:v>No</x:v>
      </x:c>
      <x:c r="AL256" s="38" t="n">
        <x:f>IF(AA256=0,0,AB256/AA256)</x:f>
        <x:v>0.4444444444444444</x:v>
      </x:c>
      <x:c r="AM256" s="38" t="n">
        <x:f>IF(AB256=0,0,AC256/AB256)</x:f>
        <x:v>0.75</x:v>
      </x:c>
      <x:c r="AN256" s="37" t="n">
        <x:f>ROUND((AD256*0.20+AE256*0.20+AF256*0.25+AG256*0.15+MIN(100,AC256*12)*0.20),1)</x:f>
        <x:v>60.7</x:v>
      </x:c>
      <x:c r="AO256" s="37" t="n">
        <x:f>ROUND(MAX(0,MIN(100,(X256*0.35)+(W256/45*100*0.20)+((5-O256)/4*100*0.15)+((5-P256)/4*100*0.10)+((6-Y256)/5*100*0.10)+((100-Z256)*0.10))),1)</x:f>
        <x:v>43.7</x:v>
      </x:c>
      <x:c r="AP256" s="37" t="str">
        <x:f>IF(AO256&gt;=70,"High",IF(AO256&gt;=40,"Moderate","Low"))</x:f>
        <x:v>Moderate</x:v>
      </x:c>
      <x:c r="AQ256" s="37" t="n">
        <x:f>ROUND(MAX(0,MIN(100,(O256/4*100*0.25)+(P256/4*100*0.20)+(Q256/4*100*0.15)+(Y256/5*100*0.20)+(100-AO256)*0.20)),1)</x:f>
        <x:v>74.8</x:v>
      </x:c>
      <x:c r="AR256" s="37" t="n">
        <x:f>ROUND((AI256*0.20+AJ256*0.15+AN256*0.18+AG256*0.12+Z256*0.15+AQ256*0.20),1)</x:f>
        <x:v>83.4</x:v>
      </x:c>
      <x:c r="AS256" s="39" t="n">
        <x:f>ROUND((AC256*AF256*120)+(AH256*350)+(MAX(0,AI256-75)*220)+(MAX(0,AQ256-60)*100),0)</x:f>
        <x:v>27418</x:v>
      </x:c>
    </x:row>
    <x:row r="257">
      <x:c r="A257" s="35" t="n">
        <x:v>256</x:v>
      </x:c>
      <x:c r="B257" s="35" t="n">
        <x:v>36</x:v>
      </x:c>
      <x:c r="C257" s="35" t="str">
        <x:v>Male</x:v>
      </x:c>
      <x:c r="D257" s="35" t="str">
        <x:v>Information Technology</x:v>
      </x:c>
      <x:c r="E257" s="35" t="str">
        <x:v>IT Manager</x:v>
      </x:c>
      <x:c r="F257" s="35" t="str">
        <x:v>Life Sciences</x:v>
      </x:c>
      <x:c r="G257" s="35" t="str">
        <x:v>Single</x:v>
      </x:c>
      <x:c r="H257" s="35" t="n">
        <x:v>2</x:v>
      </x:c>
      <x:c r="I257" s="36" t="n">
        <x:v>7170</x:v>
      </x:c>
      <x:c r="J257" s="35" t="n">
        <x:v>12</x:v>
      </x:c>
      <x:c r="K257" s="35" t="n">
        <x:v>6</x:v>
      </x:c>
      <x:c r="L257" s="35" t="n">
        <x:v>3</x:v>
      </x:c>
      <x:c r="M257" s="35" t="n">
        <x:v>7</x:v>
      </x:c>
      <x:c r="N257" s="35" t="str">
        <x:v>No</x:v>
      </x:c>
      <x:c r="O257" s="35" t="n">
        <x:v>4</x:v>
      </x:c>
      <x:c r="P257" s="35" t="n">
        <x:v>2</x:v>
      </x:c>
      <x:c r="Q257" s="35" t="n">
        <x:v>4</x:v>
      </x:c>
      <x:c r="R257" s="35" t="n">
        <x:v>3</x:v>
      </x:c>
      <x:c r="S257" s="35" t="n">
        <x:v>3</x:v>
      </x:c>
      <x:c r="T257" s="35" t="n">
        <x:v>2</x:v>
      </x:c>
      <x:c r="U257" s="35" t="n">
        <x:v>0</x:v>
      </x:c>
      <x:c r="V257" s="35" t="n">
        <x:v>7</x:v>
      </x:c>
      <x:c r="W257" s="35" t="n">
        <x:v>7</x:v>
      </x:c>
      <x:c r="X257" s="35" t="n">
        <x:v>35</x:v>
      </x:c>
      <x:c r="Y257" s="35" t="n">
        <x:v>5</x:v>
      </x:c>
      <x:c r="Z257" s="35" t="n">
        <x:v>100</x:v>
      </x:c>
      <x:c r="AA257" s="35" t="n">
        <x:v>8</x:v>
      </x:c>
      <x:c r="AB257" s="35" t="n">
        <x:v>3</x:v>
      </x:c>
      <x:c r="AC257" s="35" t="n">
        <x:v>3</x:v>
      </x:c>
      <x:c r="AD257" s="35" t="n">
        <x:v>92</x:v>
      </x:c>
      <x:c r="AE257" s="35" t="n">
        <x:v>97</x:v>
      </x:c>
      <x:c r="AF257" s="35" t="n">
        <x:v>71</x:v>
      </x:c>
      <x:c r="AG257" s="35" t="n">
        <x:v>87</x:v>
      </x:c>
      <x:c r="AH257" s="35" t="n">
        <x:v>7</x:v>
      </x:c>
      <x:c r="AI257" s="37" t="n">
        <x:v>88.9</x:v>
      </x:c>
      <x:c r="AJ257" s="37" t="n">
        <x:v>94.4</x:v>
      </x:c>
      <x:c r="AK257" s="35" t="str">
        <x:v>Yes</x:v>
      </x:c>
      <x:c r="AL257" s="38" t="n">
        <x:f>IF(AA257=0,0,AB257/AA257)</x:f>
        <x:v>0.375</x:v>
      </x:c>
      <x:c r="AM257" s="38" t="n">
        <x:f>IF(AB257=0,0,AC257/AB257)</x:f>
        <x:v>1</x:v>
      </x:c>
      <x:c r="AN257" s="37" t="n">
        <x:f>ROUND((AD257*0.20+AE257*0.20+AF257*0.25+AG257*0.15+MIN(100,AC257*12)*0.20),1)</x:f>
        <x:v>75.8</x:v>
      </x:c>
      <x:c r="AO257" s="37" t="n">
        <x:f>ROUND(MAX(0,MIN(100,(X257*0.35)+(W257/45*100*0.20)+((5-O257)/4*100*0.15)+((5-P257)/4*100*0.10)+((6-Y257)/5*100*0.10)+((100-Z257)*0.10))),1)</x:f>
        <x:v>28.6</x:v>
      </x:c>
      <x:c r="AP257" s="37" t="str">
        <x:f>IF(AO257&gt;=70,"High",IF(AO257&gt;=40,"Moderate","Low"))</x:f>
        <x:v>Low</x:v>
      </x:c>
      <x:c r="AQ257" s="37" t="n">
        <x:f>ROUND(MAX(0,MIN(100,(O257/4*100*0.25)+(P257/4*100*0.20)+(Q257/4*100*0.15)+(Y257/5*100*0.20)+(100-AO257)*0.20)),1)</x:f>
        <x:v>84.3</x:v>
      </x:c>
      <x:c r="AR257" s="37" t="n">
        <x:f>ROUND((AI257*0.20+AJ257*0.15+AN257*0.18+AG257*0.12+Z257*0.15+AQ257*0.20),1)</x:f>
        <x:v>87.9</x:v>
      </x:c>
      <x:c r="AS257" s="39" t="n">
        <x:f>ROUND((AC257*AF257*120)+(AH257*350)+(MAX(0,AI257-75)*220)+(MAX(0,AQ257-60)*100),0)</x:f>
        <x:v>33498</x:v>
      </x:c>
    </x:row>
    <x:row r="258">
      <x:c r="A258" s="35" t="n">
        <x:v>257</x:v>
      </x:c>
      <x:c r="B258" s="35" t="n">
        <x:v>31</x:v>
      </x:c>
      <x:c r="C258" s="35" t="str">
        <x:v>Male</x:v>
      </x:c>
      <x:c r="D258" s="35" t="str">
        <x:v>Marketing</x:v>
      </x:c>
      <x:c r="E258" s="35" t="str">
        <x:v>Marketing Specialist</x:v>
      </x:c>
      <x:c r="F258" s="35" t="str">
        <x:v>Life Sciences</x:v>
      </x:c>
      <x:c r="G258" s="35" t="str">
        <x:v>Divorced</x:v>
      </x:c>
      <x:c r="H258" s="35" t="n">
        <x:v>1</x:v>
      </x:c>
      <x:c r="I258" s="36" t="n">
        <x:v>6410</x:v>
      </x:c>
      <x:c r="J258" s="35" t="n">
        <x:v>8</x:v>
      </x:c>
      <x:c r="K258" s="35" t="n">
        <x:v>5</x:v>
      </x:c>
      <x:c r="L258" s="35" t="n">
        <x:v>1</x:v>
      </x:c>
      <x:c r="M258" s="35" t="n">
        <x:v>6</x:v>
      </x:c>
      <x:c r="N258" s="35" t="str">
        <x:v>No</x:v>
      </x:c>
      <x:c r="O258" s="35" t="n">
        <x:v>2</x:v>
      </x:c>
      <x:c r="P258" s="35" t="n">
        <x:v>4</x:v>
      </x:c>
      <x:c r="Q258" s="35" t="n">
        <x:v>3</x:v>
      </x:c>
      <x:c r="R258" s="35" t="n">
        <x:v>2</x:v>
      </x:c>
      <x:c r="S258" s="35" t="n">
        <x:v>3</x:v>
      </x:c>
      <x:c r="T258" s="35" t="n">
        <x:v>1</x:v>
      </x:c>
      <x:c r="U258" s="35" t="n">
        <x:v>1</x:v>
      </x:c>
      <x:c r="V258" s="35" t="n">
        <x:v>15</x:v>
      </x:c>
      <x:c r="W258" s="35" t="n">
        <x:v>4</x:v>
      </x:c>
      <x:c r="X258" s="35" t="n">
        <x:v>75</x:v>
      </x:c>
      <x:c r="Y258" s="35" t="n">
        <x:v>5</x:v>
      </x:c>
      <x:c r="Z258" s="35" t="n">
        <x:v>100</x:v>
      </x:c>
      <x:c r="AA258" s="35" t="n">
        <x:v>8</x:v>
      </x:c>
      <x:c r="AB258" s="35" t="n">
        <x:v>8</x:v>
      </x:c>
      <x:c r="AC258" s="35" t="n">
        <x:v>8</x:v>
      </x:c>
      <x:c r="AD258" s="35" t="n">
        <x:v>100</x:v>
      </x:c>
      <x:c r="AE258" s="35" t="n">
        <x:v>90</x:v>
      </x:c>
      <x:c r="AF258" s="35" t="n">
        <x:v>98</x:v>
      </x:c>
      <x:c r="AG258" s="35" t="n">
        <x:v>76</x:v>
      </x:c>
      <x:c r="AH258" s="35" t="n">
        <x:v>8</x:v>
      </x:c>
      <x:c r="AI258" s="37" t="n">
        <x:v>100</x:v>
      </x:c>
      <x:c r="AJ258" s="37" t="n">
        <x:v>86.1</x:v>
      </x:c>
      <x:c r="AK258" s="35" t="str">
        <x:v>No</x:v>
      </x:c>
      <x:c r="AL258" s="38" t="n">
        <x:f>IF(AA258=0,0,AB258/AA258)</x:f>
        <x:v>1</x:v>
      </x:c>
      <x:c r="AM258" s="38" t="n">
        <x:f>IF(AB258=0,0,AC258/AB258)</x:f>
        <x:v>1</x:v>
      </x:c>
      <x:c r="AN258" s="37" t="n">
        <x:f>ROUND((AD258*0.20+AE258*0.20+AF258*0.25+AG258*0.15+MIN(100,AC258*12)*0.20),1)</x:f>
        <x:v>93.1</x:v>
      </x:c>
      <x:c r="AO258" s="37" t="n">
        <x:f>ROUND(MAX(0,MIN(100,(X258*0.35)+(W258/45*100*0.20)+((5-O258)/4*100*0.15)+((5-P258)/4*100*0.10)+((6-Y258)/5*100*0.10)+((100-Z258)*0.10))),1)</x:f>
        <x:v>43.8</x:v>
      </x:c>
      <x:c r="AP258" s="37" t="str">
        <x:f>IF(AO258&gt;=70,"High",IF(AO258&gt;=40,"Moderate","Low"))</x:f>
        <x:v>Moderate</x:v>
      </x:c>
      <x:c r="AQ258" s="37" t="n">
        <x:f>ROUND(MAX(0,MIN(100,(O258/4*100*0.25)+(P258/4*100*0.20)+(Q258/4*100*0.15)+(Y258/5*100*0.20)+(100-AO258)*0.20)),1)</x:f>
        <x:v>75</x:v>
      </x:c>
      <x:c r="AR258" s="37" t="n">
        <x:f>ROUND((AI258*0.20+AJ258*0.15+AN258*0.18+AG258*0.12+Z258*0.15+AQ258*0.20),1)</x:f>
        <x:v>88.8</x:v>
      </x:c>
      <x:c r="AS258" s="39" t="n">
        <x:f>ROUND((AC258*AF258*120)+(AH258*350)+(MAX(0,AI258-75)*220)+(MAX(0,AQ258-60)*100),0)</x:f>
        <x:v>103880</x:v>
      </x:c>
    </x:row>
    <x:row r="259">
      <x:c r="A259" s="35" t="n">
        <x:v>258</x:v>
      </x:c>
      <x:c r="B259" s="35" t="n">
        <x:v>47</x:v>
      </x:c>
      <x:c r="C259" s="35" t="str">
        <x:v>Male</x:v>
      </x:c>
      <x:c r="D259" s="35" t="str">
        <x:v>Research &amp; Development</x:v>
      </x:c>
      <x:c r="E259" s="35" t="str">
        <x:v>Data Scientist</x:v>
      </x:c>
      <x:c r="F259" s="35" t="str">
        <x:v>Technical Degree</x:v>
      </x:c>
      <x:c r="G259" s="35" t="str">
        <x:v>Married</x:v>
      </x:c>
      <x:c r="H259" s="35" t="n">
        <x:v>4</x:v>
      </x:c>
      <x:c r="I259" s="36" t="n">
        <x:v>15100</x:v>
      </x:c>
      <x:c r="J259" s="35" t="n">
        <x:v>14</x:v>
      </x:c>
      <x:c r="K259" s="35" t="n">
        <x:v>10</x:v>
      </x:c>
      <x:c r="L259" s="35" t="n">
        <x:v>6</x:v>
      </x:c>
      <x:c r="M259" s="35" t="n">
        <x:v>6</x:v>
      </x:c>
      <x:c r="N259" s="35" t="str">
        <x:v>No</x:v>
      </x:c>
      <x:c r="O259" s="35" t="n">
        <x:v>2</x:v>
      </x:c>
      <x:c r="P259" s="35" t="n">
        <x:v>3</x:v>
      </x:c>
      <x:c r="Q259" s="35" t="n">
        <x:v>3</x:v>
      </x:c>
      <x:c r="R259" s="35" t="n">
        <x:v>3</x:v>
      </x:c>
      <x:c r="S259" s="35" t="n">
        <x:v>3</x:v>
      </x:c>
      <x:c r="T259" s="35" t="n">
        <x:v>1</x:v>
      </x:c>
      <x:c r="U259" s="35" t="n">
        <x:v>0</x:v>
      </x:c>
      <x:c r="V259" s="35" t="n">
        <x:v>0</x:v>
      </x:c>
      <x:c r="W259" s="35" t="n">
        <x:v>16</x:v>
      </x:c>
      <x:c r="X259" s="35" t="n">
        <x:v>85</x:v>
      </x:c>
      <x:c r="Y259" s="35" t="n">
        <x:v>4</x:v>
      </x:c>
      <x:c r="Z259" s="35" t="n">
        <x:v>93</x:v>
      </x:c>
      <x:c r="AA259" s="35" t="n">
        <x:v>3</x:v>
      </x:c>
      <x:c r="AB259" s="35" t="n">
        <x:v>3</x:v>
      </x:c>
      <x:c r="AC259" s="35" t="n">
        <x:v>2</x:v>
      </x:c>
      <x:c r="AD259" s="35" t="n">
        <x:v>61</x:v>
      </x:c>
      <x:c r="AE259" s="35" t="n">
        <x:v>79</x:v>
      </x:c>
      <x:c r="AF259" s="35" t="n">
        <x:v>76</x:v>
      </x:c>
      <x:c r="AG259" s="35" t="n">
        <x:v>100</x:v>
      </x:c>
      <x:c r="AH259" s="35" t="n">
        <x:v>5</x:v>
      </x:c>
      <x:c r="AI259" s="37" t="n">
        <x:v>86.4</x:v>
      </x:c>
      <x:c r="AJ259" s="37" t="n">
        <x:v>100</x:v>
      </x:c>
      <x:c r="AK259" s="35" t="str">
        <x:v>No</x:v>
      </x:c>
      <x:c r="AL259" s="38" t="n">
        <x:f>IF(AA259=0,0,AB259/AA259)</x:f>
        <x:v>1</x:v>
      </x:c>
      <x:c r="AM259" s="38" t="n">
        <x:f>IF(AB259=0,0,AC259/AB259)</x:f>
        <x:v>0.6666666666666666</x:v>
      </x:c>
      <x:c r="AN259" s="37" t="n">
        <x:f>ROUND((AD259*0.20+AE259*0.20+AF259*0.25+AG259*0.15+MIN(100,AC259*12)*0.20),1)</x:f>
        <x:v>66.8</x:v>
      </x:c>
      <x:c r="AO259" s="37" t="n">
        <x:f>ROUND(MAX(0,MIN(100,(X259*0.35)+(W259/45*100*0.20)+((5-O259)/4*100*0.15)+((5-P259)/4*100*0.10)+((6-Y259)/5*100*0.10)+((100-Z259)*0.10))),1)</x:f>
        <x:v>57.8</x:v>
      </x:c>
      <x:c r="AP259" s="37" t="str">
        <x:f>IF(AO259&gt;=70,"High",IF(AO259&gt;=40,"Moderate","Low"))</x:f>
        <x:v>Moderate</x:v>
      </x:c>
      <x:c r="AQ259" s="37" t="n">
        <x:f>ROUND(MAX(0,MIN(100,(O259/4*100*0.25)+(P259/4*100*0.20)+(Q259/4*100*0.15)+(Y259/5*100*0.20)+(100-AO259)*0.20)),1)</x:f>
        <x:v>63.2</x:v>
      </x:c>
      <x:c r="AR259" s="37" t="n">
        <x:f>ROUND((AI259*0.20+AJ259*0.15+AN259*0.18+AG259*0.12+Z259*0.15+AQ259*0.20),1)</x:f>
        <x:v>82.9</x:v>
      </x:c>
      <x:c r="AS259" s="39" t="n">
        <x:f>ROUND((AC259*AF259*120)+(AH259*350)+(MAX(0,AI259-75)*220)+(MAX(0,AQ259-60)*100),0)</x:f>
        <x:v>22818</x:v>
      </x:c>
    </x:row>
    <x:row r="260">
      <x:c r="A260" s="35" t="n">
        <x:v>259</x:v>
      </x:c>
      <x:c r="B260" s="35" t="n">
        <x:v>51</x:v>
      </x:c>
      <x:c r="C260" s="35" t="str">
        <x:v>Male</x:v>
      </x:c>
      <x:c r="D260" s="35" t="str">
        <x:v>Information Technology</x:v>
      </x:c>
      <x:c r="E260" s="35" t="str">
        <x:v>Systems Analyst</x:v>
      </x:c>
      <x:c r="F260" s="35" t="str">
        <x:v>Technical Degree</x:v>
      </x:c>
      <x:c r="G260" s="35" t="str">
        <x:v>Divorced</x:v>
      </x:c>
      <x:c r="H260" s="35" t="n">
        <x:v>4</x:v>
      </x:c>
      <x:c r="I260" s="36" t="n">
        <x:v>23020</x:v>
      </x:c>
      <x:c r="J260" s="35" t="n">
        <x:v>24</x:v>
      </x:c>
      <x:c r="K260" s="35" t="n">
        <x:v>9</x:v>
      </x:c>
      <x:c r="L260" s="35" t="n">
        <x:v>3</x:v>
      </x:c>
      <x:c r="M260" s="35" t="n">
        <x:v>5</x:v>
      </x:c>
      <x:c r="N260" s="35" t="str">
        <x:v>No</x:v>
      </x:c>
      <x:c r="O260" s="35" t="n">
        <x:v>3</x:v>
      </x:c>
      <x:c r="P260" s="35" t="n">
        <x:v>3</x:v>
      </x:c>
      <x:c r="Q260" s="35" t="n">
        <x:v>1</x:v>
      </x:c>
      <x:c r="R260" s="35" t="n">
        <x:v>3</x:v>
      </x:c>
      <x:c r="S260" s="35" t="n">
        <x:v>3</x:v>
      </x:c>
      <x:c r="T260" s="35" t="n">
        <x:v>4</x:v>
      </x:c>
      <x:c r="U260" s="35" t="n">
        <x:v>1</x:v>
      </x:c>
      <x:c r="V260" s="35" t="n">
        <x:v>3</x:v>
      </x:c>
      <x:c r="W260" s="35" t="n">
        <x:v>0</x:v>
      </x:c>
      <x:c r="X260" s="35" t="n">
        <x:v>55</x:v>
      </x:c>
      <x:c r="Y260" s="35" t="n">
        <x:v>5</x:v>
      </x:c>
      <x:c r="Z260" s="35" t="n">
        <x:v>100</x:v>
      </x:c>
      <x:c r="AA260" s="35" t="n">
        <x:v>5</x:v>
      </x:c>
      <x:c r="AB260" s="35" t="n">
        <x:v>4</x:v>
      </x:c>
      <x:c r="AC260" s="35" t="n">
        <x:v>4</x:v>
      </x:c>
      <x:c r="AD260" s="35" t="n">
        <x:v>72</x:v>
      </x:c>
      <x:c r="AE260" s="35" t="n">
        <x:v>76</x:v>
      </x:c>
      <x:c r="AF260" s="35" t="n">
        <x:v>92</x:v>
      </x:c>
      <x:c r="AG260" s="35" t="n">
        <x:v>94</x:v>
      </x:c>
      <x:c r="AH260" s="35" t="n">
        <x:v>8</x:v>
      </x:c>
      <x:c r="AI260" s="37" t="n">
        <x:v>97.2</x:v>
      </x:c>
      <x:c r="AJ260" s="37" t="n">
        <x:v>88.2</x:v>
      </x:c>
      <x:c r="AK260" s="35" t="str">
        <x:v>No</x:v>
      </x:c>
      <x:c r="AL260" s="38" t="n">
        <x:f>IF(AA260=0,0,AB260/AA260)</x:f>
        <x:v>0.8</x:v>
      </x:c>
      <x:c r="AM260" s="38" t="n">
        <x:f>IF(AB260=0,0,AC260/AB260)</x:f>
        <x:v>1</x:v>
      </x:c>
      <x:c r="AN260" s="37" t="n">
        <x:f>ROUND((AD260*0.20+AE260*0.20+AF260*0.25+AG260*0.15+MIN(100,AC260*12)*0.20),1)</x:f>
        <x:v>76.3</x:v>
      </x:c>
      <x:c r="AO260" s="37" t="n">
        <x:f>ROUND(MAX(0,MIN(100,(X260*0.35)+(W260/45*100*0.20)+((5-O260)/4*100*0.15)+((5-P260)/4*100*0.10)+((6-Y260)/5*100*0.10)+((100-Z260)*0.10))),1)</x:f>
        <x:v>33.8</x:v>
      </x:c>
      <x:c r="AP260" s="37" t="str">
        <x:f>IF(AO260&gt;=70,"High",IF(AO260&gt;=40,"Moderate","Low"))</x:f>
        <x:v>Low</x:v>
      </x:c>
      <x:c r="AQ260" s="37" t="n">
        <x:f>ROUND(MAX(0,MIN(100,(O260/4*100*0.25)+(P260/4*100*0.20)+(Q260/4*100*0.15)+(Y260/5*100*0.20)+(100-AO260)*0.20)),1)</x:f>
        <x:v>70.7</x:v>
      </x:c>
      <x:c r="AR260" s="37" t="n">
        <x:f>ROUND((AI260*0.20+AJ260*0.15+AN260*0.18+AG260*0.12+Z260*0.15+AQ260*0.20),1)</x:f>
        <x:v>86.8</x:v>
      </x:c>
      <x:c r="AS260" s="39" t="n">
        <x:f>ROUND((AC260*AF260*120)+(AH260*350)+(MAX(0,AI260-75)*220)+(MAX(0,AQ260-60)*100),0)</x:f>
        <x:v>52914</x:v>
      </x:c>
    </x:row>
    <x:row r="261">
      <x:c r="A261" s="35" t="n">
        <x:v>260</x:v>
      </x:c>
      <x:c r="B261" s="35" t="n">
        <x:v>33</x:v>
      </x:c>
      <x:c r="C261" s="35" t="str">
        <x:v>Male</x:v>
      </x:c>
      <x:c r="D261" s="35" t="str">
        <x:v>Operations</x:v>
      </x:c>
      <x:c r="E261" s="35" t="str">
        <x:v>Operations Manager</x:v>
      </x:c>
      <x:c r="F261" s="35" t="str">
        <x:v>Human Resources</x:v>
      </x:c>
      <x:c r="G261" s="35" t="str">
        <x:v>Single</x:v>
      </x:c>
      <x:c r="H261" s="35" t="n">
        <x:v>3</x:v>
      </x:c>
      <x:c r="I261" s="36" t="n">
        <x:v>12780</x:v>
      </x:c>
      <x:c r="J261" s="35" t="n">
        <x:v>8</x:v>
      </x:c>
      <x:c r="K261" s="35" t="n">
        <x:v>5</x:v>
      </x:c>
      <x:c r="L261" s="35" t="n">
        <x:v>2</x:v>
      </x:c>
      <x:c r="M261" s="35" t="n">
        <x:v>15</x:v>
      </x:c>
      <x:c r="N261" s="35" t="str">
        <x:v>No</x:v>
      </x:c>
      <x:c r="O261" s="35" t="n">
        <x:v>2</x:v>
      </x:c>
      <x:c r="P261" s="35" t="n">
        <x:v>2</x:v>
      </x:c>
      <x:c r="Q261" s="35" t="n">
        <x:v>2</x:v>
      </x:c>
      <x:c r="R261" s="35" t="n">
        <x:v>3</x:v>
      </x:c>
      <x:c r="S261" s="35" t="n">
        <x:v>3</x:v>
      </x:c>
      <x:c r="T261" s="35" t="n">
        <x:v>4</x:v>
      </x:c>
      <x:c r="U261" s="35" t="n">
        <x:v>2</x:v>
      </x:c>
      <x:c r="V261" s="35" t="n">
        <x:v>8</x:v>
      </x:c>
      <x:c r="W261" s="35" t="n">
        <x:v>7</x:v>
      </x:c>
      <x:c r="X261" s="35" t="n">
        <x:v>52</x:v>
      </x:c>
      <x:c r="Y261" s="35" t="n">
        <x:v>3</x:v>
      </x:c>
      <x:c r="Z261" s="35" t="n">
        <x:v>87</x:v>
      </x:c>
      <x:c r="AA261" s="35" t="n">
        <x:v>10</x:v>
      </x:c>
      <x:c r="AB261" s="35" t="n">
        <x:v>7</x:v>
      </x:c>
      <x:c r="AC261" s="35" t="n">
        <x:v>4</x:v>
      </x:c>
      <x:c r="AD261" s="35" t="n">
        <x:v>100</x:v>
      </x:c>
      <x:c r="AE261" s="35" t="n">
        <x:v>93</x:v>
      </x:c>
      <x:c r="AF261" s="35" t="n">
        <x:v>82</x:v>
      </x:c>
      <x:c r="AG261" s="35" t="n">
        <x:v>100</x:v>
      </x:c>
      <x:c r="AH261" s="35" t="n">
        <x:v>8</x:v>
      </x:c>
      <x:c r="AI261" s="37" t="n">
        <x:v>100</x:v>
      </x:c>
      <x:c r="AJ261" s="37" t="n">
        <x:v>86.2</x:v>
      </x:c>
      <x:c r="AK261" s="35" t="str">
        <x:v>No</x:v>
      </x:c>
      <x:c r="AL261" s="38" t="n">
        <x:f>IF(AA261=0,0,AB261/AA261)</x:f>
        <x:v>0.7</x:v>
      </x:c>
      <x:c r="AM261" s="38" t="n">
        <x:f>IF(AB261=0,0,AC261/AB261)</x:f>
        <x:v>0.5714285714285714</x:v>
      </x:c>
      <x:c r="AN261" s="37" t="n">
        <x:f>ROUND((AD261*0.20+AE261*0.20+AF261*0.25+AG261*0.15+MIN(100,AC261*12)*0.20),1)</x:f>
        <x:v>83.7</x:v>
      </x:c>
      <x:c r="AO261" s="37" t="n">
        <x:f>ROUND(MAX(0,MIN(100,(X261*0.35)+(W261/45*100*0.20)+((5-O261)/4*100*0.15)+((5-P261)/4*100*0.10)+((6-Y261)/5*100*0.10)+((100-Z261)*0.10))),1)</x:f>
        <x:v>47.4</x:v>
      </x:c>
      <x:c r="AP261" s="37" t="str">
        <x:f>IF(AO261&gt;=70,"High",IF(AO261&gt;=40,"Moderate","Low"))</x:f>
        <x:v>Moderate</x:v>
      </x:c>
      <x:c r="AQ261" s="37" t="n">
        <x:f>ROUND(MAX(0,MIN(100,(O261/4*100*0.25)+(P261/4*100*0.20)+(Q261/4*100*0.15)+(Y261/5*100*0.20)+(100-AO261)*0.20)),1)</x:f>
        <x:v>52.5</x:v>
      </x:c>
      <x:c r="AR261" s="37" t="n">
        <x:f>ROUND((AI261*0.20+AJ261*0.15+AN261*0.18+AG261*0.12+Z261*0.15+AQ261*0.20),1)</x:f>
        <x:v>83.5</x:v>
      </x:c>
      <x:c r="AS261" s="39" t="n">
        <x:f>ROUND((AC261*AF261*120)+(AH261*350)+(MAX(0,AI261-75)*220)+(MAX(0,AQ261-60)*100),0)</x:f>
        <x:v>47660</x:v>
      </x:c>
    </x:row>
    <x:row r="262">
      <x:c r="A262" s="35" t="n">
        <x:v>261</x:v>
      </x:c>
      <x:c r="B262" s="35" t="n">
        <x:v>33</x:v>
      </x:c>
      <x:c r="C262" s="35" t="str">
        <x:v>Female</x:v>
      </x:c>
      <x:c r="D262" s="35" t="str">
        <x:v>Human Resources</x:v>
      </x:c>
      <x:c r="E262" s="35" t="str">
        <x:v>HR Manager</x:v>
      </x:c>
      <x:c r="F262" s="35" t="str">
        <x:v>Medical</x:v>
      </x:c>
      <x:c r="G262" s="35" t="str">
        <x:v>Married</x:v>
      </x:c>
      <x:c r="H262" s="35" t="n">
        <x:v>2</x:v>
      </x:c>
      <x:c r="I262" s="36" t="n">
        <x:v>10470</x:v>
      </x:c>
      <x:c r="J262" s="35" t="n">
        <x:v>6</x:v>
      </x:c>
      <x:c r="K262" s="35" t="n">
        <x:v>4</x:v>
      </x:c>
      <x:c r="L262" s="35" t="n">
        <x:v>1</x:v>
      </x:c>
      <x:c r="M262" s="35" t="n">
        <x:v>15</x:v>
      </x:c>
      <x:c r="N262" s="35" t="str">
        <x:v>No</x:v>
      </x:c>
      <x:c r="O262" s="35" t="n">
        <x:v>2</x:v>
      </x:c>
      <x:c r="P262" s="35" t="n">
        <x:v>3</x:v>
      </x:c>
      <x:c r="Q262" s="35" t="n">
        <x:v>2</x:v>
      </x:c>
      <x:c r="R262" s="35" t="n">
        <x:v>2</x:v>
      </x:c>
      <x:c r="S262" s="35" t="n">
        <x:v>3</x:v>
      </x:c>
      <x:c r="T262" s="35" t="n">
        <x:v>3</x:v>
      </x:c>
      <x:c r="U262" s="35" t="n">
        <x:v>1</x:v>
      </x:c>
      <x:c r="V262" s="35" t="n">
        <x:v>0</x:v>
      </x:c>
      <x:c r="W262" s="35" t="n">
        <x:v>17</x:v>
      </x:c>
      <x:c r="X262" s="35" t="n">
        <x:v>90</x:v>
      </x:c>
      <x:c r="Y262" s="35" t="n">
        <x:v>4</x:v>
      </x:c>
      <x:c r="Z262" s="35" t="n">
        <x:v>80</x:v>
      </x:c>
      <x:c r="AA262" s="35" t="n">
        <x:v>11</x:v>
      </x:c>
      <x:c r="AB262" s="35" t="n">
        <x:v>8</x:v>
      </x:c>
      <x:c r="AC262" s="35" t="n">
        <x:v>4</x:v>
      </x:c>
      <x:c r="AD262" s="35" t="n">
        <x:v>80</x:v>
      </x:c>
      <x:c r="AE262" s="35" t="n">
        <x:v>85</x:v>
      </x:c>
      <x:c r="AF262" s="35" t="n">
        <x:v>78</x:v>
      </x:c>
      <x:c r="AG262" s="35" t="n">
        <x:v>73</x:v>
      </x:c>
      <x:c r="AH262" s="35" t="n">
        <x:v>2</x:v>
      </x:c>
      <x:c r="AI262" s="37" t="n">
        <x:v>98.2</x:v>
      </x:c>
      <x:c r="AJ262" s="37" t="n">
        <x:v>93.8</x:v>
      </x:c>
      <x:c r="AK262" s="35" t="str">
        <x:v>No</x:v>
      </x:c>
      <x:c r="AL262" s="38" t="n">
        <x:f>IF(AA262=0,0,AB262/AA262)</x:f>
        <x:v>0.7272727272727273</x:v>
      </x:c>
      <x:c r="AM262" s="38" t="n">
        <x:f>IF(AB262=0,0,AC262/AB262)</x:f>
        <x:v>0.5</x:v>
      </x:c>
      <x:c r="AN262" s="37" t="n">
        <x:f>ROUND((AD262*0.20+AE262*0.20+AF262*0.25+AG262*0.15+MIN(100,AC262*12)*0.20),1)</x:f>
        <x:v>73.1</x:v>
      </x:c>
      <x:c r="AO262" s="37" t="n">
        <x:f>ROUND(MAX(0,MIN(100,(X262*0.35)+(W262/45*100*0.20)+((5-O262)/4*100*0.15)+((5-P262)/4*100*0.10)+((6-Y262)/5*100*0.10)+((100-Z262)*0.10))),1)</x:f>
        <x:v>61.3</x:v>
      </x:c>
      <x:c r="AP262" s="37" t="str">
        <x:f>IF(AO262&gt;=70,"High",IF(AO262&gt;=40,"Moderate","Low"))</x:f>
        <x:v>Moderate</x:v>
      </x:c>
      <x:c r="AQ262" s="37" t="n">
        <x:f>ROUND(MAX(0,MIN(100,(O262/4*100*0.25)+(P262/4*100*0.20)+(Q262/4*100*0.15)+(Y262/5*100*0.20)+(100-AO262)*0.20)),1)</x:f>
        <x:v>58.7</x:v>
      </x:c>
      <x:c r="AR262" s="37" t="n">
        <x:f>ROUND((AI262*0.20+AJ262*0.15+AN262*0.18+AG262*0.12+Z262*0.15+AQ262*0.20),1)</x:f>
        <x:v>79.4</x:v>
      </x:c>
      <x:c r="AS262" s="39" t="n">
        <x:f>ROUND((AC262*AF262*120)+(AH262*350)+(MAX(0,AI262-75)*220)+(MAX(0,AQ262-60)*100),0)</x:f>
        <x:v>43244</x:v>
      </x:c>
    </x:row>
    <x:row r="263">
      <x:c r="A263" s="35" t="n">
        <x:v>262</x:v>
      </x:c>
      <x:c r="B263" s="35" t="n">
        <x:v>29</x:v>
      </x:c>
      <x:c r="C263" s="35" t="str">
        <x:v>Female</x:v>
      </x:c>
      <x:c r="D263" s="35" t="str">
        <x:v>Information Technology</x:v>
      </x:c>
      <x:c r="E263" s="35" t="str">
        <x:v>Software Engineer</x:v>
      </x:c>
      <x:c r="F263" s="35" t="str">
        <x:v>Technical Degree</x:v>
      </x:c>
      <x:c r="G263" s="35" t="str">
        <x:v>Married</x:v>
      </x:c>
      <x:c r="H263" s="35" t="n">
        <x:v>1</x:v>
      </x:c>
      <x:c r="I263" s="36" t="n">
        <x:v>4490</x:v>
      </x:c>
      <x:c r="J263" s="35" t="n">
        <x:v>4</x:v>
      </x:c>
      <x:c r="K263" s="35" t="n">
        <x:v>1</x:v>
      </x:c>
      <x:c r="L263" s="35" t="n">
        <x:v>0</x:v>
      </x:c>
      <x:c r="M263" s="35" t="n">
        <x:v>21</x:v>
      </x:c>
      <x:c r="N263" s="35" t="str">
        <x:v>No</x:v>
      </x:c>
      <x:c r="O263" s="35" t="n">
        <x:v>3</x:v>
      </x:c>
      <x:c r="P263" s="35" t="n">
        <x:v>4</x:v>
      </x:c>
      <x:c r="Q263" s="35" t="n">
        <x:v>2</x:v>
      </x:c>
      <x:c r="R263" s="35" t="n">
        <x:v>3</x:v>
      </x:c>
      <x:c r="S263" s="35" t="n">
        <x:v>3</x:v>
      </x:c>
      <x:c r="T263" s="35" t="n">
        <x:v>2</x:v>
      </x:c>
      <x:c r="U263" s="35" t="n">
        <x:v>0</x:v>
      </x:c>
      <x:c r="V263" s="35" t="n">
        <x:v>9</x:v>
      </x:c>
      <x:c r="W263" s="35" t="n">
        <x:v>15</x:v>
      </x:c>
      <x:c r="X263" s="35" t="n">
        <x:v>48</x:v>
      </x:c>
      <x:c r="Y263" s="35" t="n">
        <x:v>5</x:v>
      </x:c>
      <x:c r="Z263" s="35" t="n">
        <x:v>100</x:v>
      </x:c>
      <x:c r="AA263" s="35" t="n">
        <x:v>9</x:v>
      </x:c>
      <x:c r="AB263" s="35" t="n">
        <x:v>6</x:v>
      </x:c>
      <x:c r="AC263" s="35" t="n">
        <x:v>3</x:v>
      </x:c>
      <x:c r="AD263" s="35" t="n">
        <x:v>86</x:v>
      </x:c>
      <x:c r="AE263" s="35" t="n">
        <x:v>78</x:v>
      </x:c>
      <x:c r="AF263" s="35" t="n">
        <x:v>86</x:v>
      </x:c>
      <x:c r="AG263" s="35" t="n">
        <x:v>100</x:v>
      </x:c>
      <x:c r="AH263" s="35" t="n">
        <x:v>6</x:v>
      </x:c>
      <x:c r="AI263" s="37" t="n">
        <x:v>99.8</x:v>
      </x:c>
      <x:c r="AJ263" s="37" t="n">
        <x:v>98.5</x:v>
      </x:c>
      <x:c r="AK263" s="35" t="str">
        <x:v>No</x:v>
      </x:c>
      <x:c r="AL263" s="38" t="n">
        <x:f>IF(AA263=0,0,AB263/AA263)</x:f>
        <x:v>0.6666666666666666</x:v>
      </x:c>
      <x:c r="AM263" s="38" t="n">
        <x:f>IF(AB263=0,0,AC263/AB263)</x:f>
        <x:v>0.5</x:v>
      </x:c>
      <x:c r="AN263" s="37" t="n">
        <x:f>ROUND((AD263*0.20+AE263*0.20+AF263*0.25+AG263*0.15+MIN(100,AC263*12)*0.20),1)</x:f>
        <x:v>76.5</x:v>
      </x:c>
      <x:c r="AO263" s="37" t="n">
        <x:f>ROUND(MAX(0,MIN(100,(X263*0.35)+(W263/45*100*0.20)+((5-O263)/4*100*0.15)+((5-P263)/4*100*0.10)+((6-Y263)/5*100*0.10)+((100-Z263)*0.10))),1)</x:f>
        <x:v>35.5</x:v>
      </x:c>
      <x:c r="AP263" s="37" t="str">
        <x:f>IF(AO263&gt;=70,"High",IF(AO263&gt;=40,"Moderate","Low"))</x:f>
        <x:v>Low</x:v>
      </x:c>
      <x:c r="AQ263" s="37" t="n">
        <x:f>ROUND(MAX(0,MIN(100,(O263/4*100*0.25)+(P263/4*100*0.20)+(Q263/4*100*0.15)+(Y263/5*100*0.20)+(100-AO263)*0.20)),1)</x:f>
        <x:v>79.2</x:v>
      </x:c>
      <x:c r="AR263" s="37" t="n">
        <x:f>ROUND((AI263*0.20+AJ263*0.15+AN263*0.18+AG263*0.12+Z263*0.15+AQ263*0.20),1)</x:f>
        <x:v>91.3</x:v>
      </x:c>
      <x:c r="AS263" s="39" t="n">
        <x:f>ROUND((AC263*AF263*120)+(AH263*350)+(MAX(0,AI263-75)*220)+(MAX(0,AQ263-60)*100),0)</x:f>
        <x:v>40436</x:v>
      </x:c>
    </x:row>
    <x:row r="264">
      <x:c r="A264" s="35" t="n">
        <x:v>263</x:v>
      </x:c>
      <x:c r="B264" s="35" t="n">
        <x:v>31</x:v>
      </x:c>
      <x:c r="C264" s="35" t="str">
        <x:v>Male</x:v>
      </x:c>
      <x:c r="D264" s="35" t="str">
        <x:v>Research &amp; Development</x:v>
      </x:c>
      <x:c r="E264" s="35" t="str">
        <x:v>Research Scientist</x:v>
      </x:c>
      <x:c r="F264" s="35" t="str">
        <x:v>Technical Degree</x:v>
      </x:c>
      <x:c r="G264" s="35" t="str">
        <x:v>Single</x:v>
      </x:c>
      <x:c r="H264" s="35" t="n">
        <x:v>2</x:v>
      </x:c>
      <x:c r="I264" s="36" t="n">
        <x:v>9280</x:v>
      </x:c>
      <x:c r="J264" s="35" t="n">
        <x:v>5</x:v>
      </x:c>
      <x:c r="K264" s="35" t="n">
        <x:v>1</x:v>
      </x:c>
      <x:c r="L264" s="35" t="n">
        <x:v>0</x:v>
      </x:c>
      <x:c r="M264" s="35" t="n">
        <x:v>7</x:v>
      </x:c>
      <x:c r="N264" s="35" t="str">
        <x:v>No</x:v>
      </x:c>
      <x:c r="O264" s="35" t="n">
        <x:v>2</x:v>
      </x:c>
      <x:c r="P264" s="35" t="n">
        <x:v>3</x:v>
      </x:c>
      <x:c r="Q264" s="35" t="n">
        <x:v>3</x:v>
      </x:c>
      <x:c r="R264" s="35" t="n">
        <x:v>2</x:v>
      </x:c>
      <x:c r="S264" s="35" t="n">
        <x:v>4</x:v>
      </x:c>
      <x:c r="T264" s="35" t="n">
        <x:v>5</x:v>
      </x:c>
      <x:c r="U264" s="35" t="n">
        <x:v>1</x:v>
      </x:c>
      <x:c r="V264" s="35" t="n">
        <x:v>3</x:v>
      </x:c>
      <x:c r="W264" s="35" t="n">
        <x:v>12</x:v>
      </x:c>
      <x:c r="X264" s="35" t="n">
        <x:v>43</x:v>
      </x:c>
      <x:c r="Y264" s="35" t="n">
        <x:v>5</x:v>
      </x:c>
      <x:c r="Z264" s="35" t="n">
        <x:v>98</x:v>
      </x:c>
      <x:c r="AA264" s="35" t="n">
        <x:v>11</x:v>
      </x:c>
      <x:c r="AB264" s="35" t="n">
        <x:v>7</x:v>
      </x:c>
      <x:c r="AC264" s="35" t="n">
        <x:v>6</x:v>
      </x:c>
      <x:c r="AD264" s="35" t="n">
        <x:v>100</x:v>
      </x:c>
      <x:c r="AE264" s="35" t="n">
        <x:v>84</x:v>
      </x:c>
      <x:c r="AF264" s="35" t="n">
        <x:v>94</x:v>
      </x:c>
      <x:c r="AG264" s="35" t="n">
        <x:v>74</x:v>
      </x:c>
      <x:c r="AH264" s="35" t="n">
        <x:v>12</x:v>
      </x:c>
      <x:c r="AI264" s="37" t="n">
        <x:v>99.2</x:v>
      </x:c>
      <x:c r="AJ264" s="37" t="n">
        <x:v>100</x:v>
      </x:c>
      <x:c r="AK264" s="35" t="str">
        <x:v>No</x:v>
      </x:c>
      <x:c r="AL264" s="38" t="n">
        <x:f>IF(AA264=0,0,AB264/AA264)</x:f>
        <x:v>0.6363636363636364</x:v>
      </x:c>
      <x:c r="AM264" s="38" t="n">
        <x:f>IF(AB264=0,0,AC264/AB264)</x:f>
        <x:v>0.8571428571428571</x:v>
      </x:c>
      <x:c r="AN264" s="37" t="n">
        <x:f>ROUND((AD264*0.20+AE264*0.20+AF264*0.25+AG264*0.15+MIN(100,AC264*12)*0.20),1)</x:f>
        <x:v>85.8</x:v>
      </x:c>
      <x:c r="AO264" s="37" t="n">
        <x:f>ROUND(MAX(0,MIN(100,(X264*0.35)+(W264/45*100*0.20)+((5-O264)/4*100*0.15)+((5-P264)/4*100*0.10)+((6-Y264)/5*100*0.10)+((100-Z264)*0.10))),1)</x:f>
        <x:v>38.8</x:v>
      </x:c>
      <x:c r="AP264" s="37" t="str">
        <x:f>IF(AO264&gt;=70,"High",IF(AO264&gt;=40,"Moderate","Low"))</x:f>
        <x:v>Low</x:v>
      </x:c>
      <x:c r="AQ264" s="37" t="n">
        <x:f>ROUND(MAX(0,MIN(100,(O264/4*100*0.25)+(P264/4*100*0.20)+(Q264/4*100*0.15)+(Y264/5*100*0.20)+(100-AO264)*0.20)),1)</x:f>
        <x:v>71</x:v>
      </x:c>
      <x:c r="AR264" s="37" t="n">
        <x:f>ROUND((AI264*0.20+AJ264*0.15+AN264*0.18+AG264*0.12+Z264*0.15+AQ264*0.20),1)</x:f>
        <x:v>88.1</x:v>
      </x:c>
      <x:c r="AS264" s="39" t="n">
        <x:f>ROUND((AC264*AF264*120)+(AH264*350)+(MAX(0,AI264-75)*220)+(MAX(0,AQ264-60)*100),0)</x:f>
        <x:v>78304</x:v>
      </x:c>
    </x:row>
    <x:row r="265">
      <x:c r="A265" s="35" t="n">
        <x:v>264</x:v>
      </x:c>
      <x:c r="B265" s="35" t="n">
        <x:v>35</x:v>
      </x:c>
      <x:c r="C265" s="35" t="str">
        <x:v>Female</x:v>
      </x:c>
      <x:c r="D265" s="35" t="str">
        <x:v>Sales</x:v>
      </x:c>
      <x:c r="E265" s="35" t="str">
        <x:v>Sales Executive</x:v>
      </x:c>
      <x:c r="F265" s="35" t="str">
        <x:v>Human Resources</x:v>
      </x:c>
      <x:c r="G265" s="35" t="str">
        <x:v>Divorced</x:v>
      </x:c>
      <x:c r="H265" s="35" t="n">
        <x:v>2</x:v>
      </x:c>
      <x:c r="I265" s="36" t="n">
        <x:v>10550</x:v>
      </x:c>
      <x:c r="J265" s="35" t="n">
        <x:v>9</x:v>
      </x:c>
      <x:c r="K265" s="35" t="n">
        <x:v>5</x:v>
      </x:c>
      <x:c r="L265" s="35" t="n">
        <x:v>2</x:v>
      </x:c>
      <x:c r="M265" s="35" t="n">
        <x:v>7</x:v>
      </x:c>
      <x:c r="N265" s="35" t="str">
        <x:v>Yes</x:v>
      </x:c>
      <x:c r="O265" s="35" t="n">
        <x:v>2</x:v>
      </x:c>
      <x:c r="P265" s="35" t="n">
        <x:v>2</x:v>
      </x:c>
      <x:c r="Q265" s="35" t="n">
        <x:v>3</x:v>
      </x:c>
      <x:c r="R265" s="35" t="n">
        <x:v>3</x:v>
      </x:c>
      <x:c r="S265" s="35" t="n">
        <x:v>3</x:v>
      </x:c>
      <x:c r="T265" s="35" t="n">
        <x:v>1</x:v>
      </x:c>
      <x:c r="U265" s="35" t="n">
        <x:v>1</x:v>
      </x:c>
      <x:c r="V265" s="35" t="n">
        <x:v>12</x:v>
      </x:c>
      <x:c r="W265" s="35" t="n">
        <x:v>17</x:v>
      </x:c>
      <x:c r="X265" s="35" t="n">
        <x:v>94</x:v>
      </x:c>
      <x:c r="Y265" s="35" t="n">
        <x:v>3</x:v>
      </x:c>
      <x:c r="Z265" s="35" t="n">
        <x:v>82</x:v>
      </x:c>
      <x:c r="AA265" s="35" t="n">
        <x:v>11</x:v>
      </x:c>
      <x:c r="AB265" s="35" t="n">
        <x:v>9</x:v>
      </x:c>
      <x:c r="AC265" s="35" t="n">
        <x:v>7</x:v>
      </x:c>
      <x:c r="AD265" s="35" t="n">
        <x:v>88</x:v>
      </x:c>
      <x:c r="AE265" s="35" t="n">
        <x:v>100</x:v>
      </x:c>
      <x:c r="AF265" s="35" t="n">
        <x:v>96</x:v>
      </x:c>
      <x:c r="AG265" s="35" t="n">
        <x:v>98</x:v>
      </x:c>
      <x:c r="AH265" s="35" t="n">
        <x:v>4</x:v>
      </x:c>
      <x:c r="AI265" s="37" t="n">
        <x:v>100</x:v>
      </x:c>
      <x:c r="AJ265" s="37" t="n">
        <x:v>91.1</x:v>
      </x:c>
      <x:c r="AK265" s="35" t="str">
        <x:v>No</x:v>
      </x:c>
      <x:c r="AL265" s="38" t="n">
        <x:f>IF(AA265=0,0,AB265/AA265)</x:f>
        <x:v>0.8181818181818182</x:v>
      </x:c>
      <x:c r="AM265" s="38" t="n">
        <x:f>IF(AB265=0,0,AC265/AB265)</x:f>
        <x:v>0.7777777777777778</x:v>
      </x:c>
      <x:c r="AN265" s="37" t="n">
        <x:f>ROUND((AD265*0.20+AE265*0.20+AF265*0.25+AG265*0.15+MIN(100,AC265*12)*0.20),1)</x:f>
        <x:v>93.1</x:v>
      </x:c>
      <x:c r="AO265" s="37" t="n">
        <x:f>ROUND(MAX(0,MIN(100,(X265*0.35)+(W265/45*100*0.20)+((5-O265)/4*100*0.15)+((5-P265)/4*100*0.10)+((6-Y265)/5*100*0.10)+((100-Z265)*0.10))),1)</x:f>
        <x:v>67</x:v>
      </x:c>
      <x:c r="AP265" s="37" t="str">
        <x:f>IF(AO265&gt;=70,"High",IF(AO265&gt;=40,"Moderate","Low"))</x:f>
        <x:v>Moderate</x:v>
      </x:c>
      <x:c r="AQ265" s="37" t="n">
        <x:f>ROUND(MAX(0,MIN(100,(O265/4*100*0.25)+(P265/4*100*0.20)+(Q265/4*100*0.15)+(Y265/5*100*0.20)+(100-AO265)*0.20)),1)</x:f>
        <x:v>52.4</x:v>
      </x:c>
      <x:c r="AR265" s="37" t="n">
        <x:f>ROUND((AI265*0.20+AJ265*0.15+AN265*0.18+AG265*0.12+Z265*0.15+AQ265*0.20),1)</x:f>
        <x:v>85</x:v>
      </x:c>
      <x:c r="AS265" s="39" t="n">
        <x:f>ROUND((AC265*AF265*120)+(AH265*350)+(MAX(0,AI265-75)*220)+(MAX(0,AQ265-60)*100),0)</x:f>
        <x:v>87540</x:v>
      </x:c>
    </x:row>
    <x:row r="266">
      <x:c r="A266" s="35" t="n">
        <x:v>265</x:v>
      </x:c>
      <x:c r="B266" s="35" t="n">
        <x:v>26</x:v>
      </x:c>
      <x:c r="C266" s="35" t="str">
        <x:v>Female</x:v>
      </x:c>
      <x:c r="D266" s="35" t="str">
        <x:v>Marketing</x:v>
      </x:c>
      <x:c r="E266" s="35" t="str">
        <x:v>Digital Marketing Analyst</x:v>
      </x:c>
      <x:c r="F266" s="35" t="str">
        <x:v>Life Sciences</x:v>
      </x:c>
      <x:c r="G266" s="35" t="str">
        <x:v>Married</x:v>
      </x:c>
      <x:c r="H266" s="35" t="n">
        <x:v>1</x:v>
      </x:c>
      <x:c r="I266" s="36" t="n">
        <x:v>6070</x:v>
      </x:c>
      <x:c r="J266" s="35" t="n">
        <x:v>3</x:v>
      </x:c>
      <x:c r="K266" s="35" t="n">
        <x:v>2</x:v>
      </x:c>
      <x:c r="L266" s="35" t="n">
        <x:v>1</x:v>
      </x:c>
      <x:c r="M266" s="35" t="n">
        <x:v>18</x:v>
      </x:c>
      <x:c r="N266" s="35" t="str">
        <x:v>No</x:v>
      </x:c>
      <x:c r="O266" s="35" t="n">
        <x:v>2</x:v>
      </x:c>
      <x:c r="P266" s="35" t="n">
        <x:v>1</x:v>
      </x:c>
      <x:c r="Q266" s="35" t="n">
        <x:v>3</x:v>
      </x:c>
      <x:c r="R266" s="35" t="n">
        <x:v>2</x:v>
      </x:c>
      <x:c r="S266" s="35" t="n">
        <x:v>3</x:v>
      </x:c>
      <x:c r="T266" s="35" t="n">
        <x:v>0</x:v>
      </x:c>
      <x:c r="U266" s="35" t="n">
        <x:v>0</x:v>
      </x:c>
      <x:c r="V266" s="35" t="n">
        <x:v>5</x:v>
      </x:c>
      <x:c r="W266" s="35" t="n">
        <x:v>0</x:v>
      </x:c>
      <x:c r="X266" s="35" t="n">
        <x:v>45</x:v>
      </x:c>
      <x:c r="Y266" s="35" t="n">
        <x:v>5</x:v>
      </x:c>
      <x:c r="Z266" s="35" t="n">
        <x:v>89</x:v>
      </x:c>
      <x:c r="AA266" s="35" t="n">
        <x:v>6</x:v>
      </x:c>
      <x:c r="AB266" s="35" t="n">
        <x:v>4</x:v>
      </x:c>
      <x:c r="AC266" s="35" t="n">
        <x:v>4</x:v>
      </x:c>
      <x:c r="AD266" s="35" t="n">
        <x:v>48</x:v>
      </x:c>
      <x:c r="AE266" s="35" t="n">
        <x:v>79</x:v>
      </x:c>
      <x:c r="AF266" s="35" t="n">
        <x:v>99</x:v>
      </x:c>
      <x:c r="AG266" s="35" t="n">
        <x:v>94</x:v>
      </x:c>
      <x:c r="AH266" s="35" t="n">
        <x:v>4</x:v>
      </x:c>
      <x:c r="AI266" s="37" t="n">
        <x:v>100</x:v>
      </x:c>
      <x:c r="AJ266" s="37" t="n">
        <x:v>93.2</x:v>
      </x:c>
      <x:c r="AK266" s="35" t="str">
        <x:v>No</x:v>
      </x:c>
      <x:c r="AL266" s="38" t="n">
        <x:f>IF(AA266=0,0,AB266/AA266)</x:f>
        <x:v>0.6666666666666666</x:v>
      </x:c>
      <x:c r="AM266" s="38" t="n">
        <x:f>IF(AB266=0,0,AC266/AB266)</x:f>
        <x:v>1</x:v>
      </x:c>
      <x:c r="AN266" s="37" t="n">
        <x:f>ROUND((AD266*0.20+AE266*0.20+AF266*0.25+AG266*0.15+MIN(100,AC266*12)*0.20),1)</x:f>
        <x:v>73.9</x:v>
      </x:c>
      <x:c r="AO266" s="37" t="n">
        <x:f>ROUND(MAX(0,MIN(100,(X266*0.35)+(W266/45*100*0.20)+((5-O266)/4*100*0.15)+((5-P266)/4*100*0.10)+((6-Y266)/5*100*0.10)+((100-Z266)*0.10))),1)</x:f>
        <x:v>40.1</x:v>
      </x:c>
      <x:c r="AP266" s="37" t="str">
        <x:f>IF(AO266&gt;=70,"High",IF(AO266&gt;=40,"Moderate","Low"))</x:f>
        <x:v>Moderate</x:v>
      </x:c>
      <x:c r="AQ266" s="37" t="n">
        <x:f>ROUND(MAX(0,MIN(100,(O266/4*100*0.25)+(P266/4*100*0.20)+(Q266/4*100*0.15)+(Y266/5*100*0.20)+(100-AO266)*0.20)),1)</x:f>
        <x:v>60.7</x:v>
      </x:c>
      <x:c r="AR266" s="37" t="n">
        <x:f>ROUND((AI266*0.20+AJ266*0.15+AN266*0.18+AG266*0.12+Z266*0.15+AQ266*0.20),1)</x:f>
        <x:v>84.1</x:v>
      </x:c>
      <x:c r="AS266" s="39" t="n">
        <x:f>ROUND((AC266*AF266*120)+(AH266*350)+(MAX(0,AI266-75)*220)+(MAX(0,AQ266-60)*100),0)</x:f>
        <x:v>54490</x:v>
      </x:c>
    </x:row>
    <x:row r="267">
      <x:c r="A267" s="35" t="n">
        <x:v>266</x:v>
      </x:c>
      <x:c r="B267" s="35" t="n">
        <x:v>21</x:v>
      </x:c>
      <x:c r="C267" s="35" t="str">
        <x:v>Male</x:v>
      </x:c>
      <x:c r="D267" s="35" t="str">
        <x:v>Sales</x:v>
      </x:c>
      <x:c r="E267" s="35" t="str">
        <x:v>Sales Representative</x:v>
      </x:c>
      <x:c r="F267" s="35" t="str">
        <x:v>Human Resources</x:v>
      </x:c>
      <x:c r="G267" s="35" t="str">
        <x:v>Divorced</x:v>
      </x:c>
      <x:c r="H267" s="35" t="n">
        <x:v>1</x:v>
      </x:c>
      <x:c r="I267" s="36" t="n">
        <x:v>5170</x:v>
      </x:c>
      <x:c r="J267" s="35" t="n">
        <x:v>0</x:v>
      </x:c>
      <x:c r="K267" s="35" t="n">
        <x:v>0</x:v>
      </x:c>
      <x:c r="L267" s="35" t="n">
        <x:v>0</x:v>
      </x:c>
      <x:c r="M267" s="35" t="n">
        <x:v>21</x:v>
      </x:c>
      <x:c r="N267" s="35" t="str">
        <x:v>Yes</x:v>
      </x:c>
      <x:c r="O267" s="35" t="n">
        <x:v>4</x:v>
      </x:c>
      <x:c r="P267" s="35" t="n">
        <x:v>3</x:v>
      </x:c>
      <x:c r="Q267" s="35" t="n">
        <x:v>4</x:v>
      </x:c>
      <x:c r="R267" s="35" t="n">
        <x:v>3</x:v>
      </x:c>
      <x:c r="S267" s="35" t="n">
        <x:v>3</x:v>
      </x:c>
      <x:c r="T267" s="35" t="n">
        <x:v>3</x:v>
      </x:c>
      <x:c r="U267" s="35" t="n">
        <x:v>2</x:v>
      </x:c>
      <x:c r="V267" s="35" t="n">
        <x:v>3</x:v>
      </x:c>
      <x:c r="W267" s="35" t="n">
        <x:v>25</x:v>
      </x:c>
      <x:c r="X267" s="35" t="n">
        <x:v>82</x:v>
      </x:c>
      <x:c r="Y267" s="35" t="n">
        <x:v>3</x:v>
      </x:c>
      <x:c r="Z267" s="35" t="n">
        <x:v>80</x:v>
      </x:c>
      <x:c r="AA267" s="35" t="n">
        <x:v>6</x:v>
      </x:c>
      <x:c r="AB267" s="35" t="n">
        <x:v>5</x:v>
      </x:c>
      <x:c r="AC267" s="35" t="n">
        <x:v>3</x:v>
      </x:c>
      <x:c r="AD267" s="35" t="n">
        <x:v>71</x:v>
      </x:c>
      <x:c r="AE267" s="35" t="n">
        <x:v>92</x:v>
      </x:c>
      <x:c r="AF267" s="35" t="n">
        <x:v>69</x:v>
      </x:c>
      <x:c r="AG267" s="35" t="n">
        <x:v>90</x:v>
      </x:c>
      <x:c r="AH267" s="35" t="n">
        <x:v>8</x:v>
      </x:c>
      <x:c r="AI267" s="37" t="n">
        <x:v>100</x:v>
      </x:c>
      <x:c r="AJ267" s="37" t="n">
        <x:v>99.8</x:v>
      </x:c>
      <x:c r="AK267" s="35" t="str">
        <x:v>No</x:v>
      </x:c>
      <x:c r="AL267" s="38" t="n">
        <x:f>IF(AA267=0,0,AB267/AA267)</x:f>
        <x:v>0.8333333333333334</x:v>
      </x:c>
      <x:c r="AM267" s="38" t="n">
        <x:f>IF(AB267=0,0,AC267/AB267)</x:f>
        <x:v>0.6</x:v>
      </x:c>
      <x:c r="AN267" s="37" t="n">
        <x:f>ROUND((AD267*0.20+AE267*0.20+AF267*0.25+AG267*0.15+MIN(100,AC267*12)*0.20),1)</x:f>
        <x:v>70.6</x:v>
      </x:c>
      <x:c r="AO267" s="37" t="n">
        <x:f>ROUND(MAX(0,MIN(100,(X267*0.35)+(W267/45*100*0.20)+((5-O267)/4*100*0.15)+((5-P267)/4*100*0.10)+((6-Y267)/5*100*0.10)+((100-Z267)*0.10))),1)</x:f>
        <x:v>56.6</x:v>
      </x:c>
      <x:c r="AP267" s="37" t="str">
        <x:f>IF(AO267&gt;=70,"High",IF(AO267&gt;=40,"Moderate","Low"))</x:f>
        <x:v>Moderate</x:v>
      </x:c>
      <x:c r="AQ267" s="37" t="n">
        <x:f>ROUND(MAX(0,MIN(100,(O267/4*100*0.25)+(P267/4*100*0.20)+(Q267/4*100*0.15)+(Y267/5*100*0.20)+(100-AO267)*0.20)),1)</x:f>
        <x:v>75.7</x:v>
      </x:c>
      <x:c r="AR267" s="37" t="n">
        <x:f>ROUND((AI267*0.20+AJ267*0.15+AN267*0.18+AG267*0.12+Z267*0.15+AQ267*0.20),1)</x:f>
        <x:v>85.6</x:v>
      </x:c>
      <x:c r="AS267" s="39" t="n">
        <x:f>ROUND((AC267*AF267*120)+(AH267*350)+(MAX(0,AI267-75)*220)+(MAX(0,AQ267-60)*100),0)</x:f>
        <x:v>34710</x:v>
      </x:c>
    </x:row>
    <x:row r="268">
      <x:c r="A268" s="35" t="n">
        <x:v>267</x:v>
      </x:c>
      <x:c r="B268" s="35" t="n">
        <x:v>28</x:v>
      </x:c>
      <x:c r="C268" s="35" t="str">
        <x:v>Male</x:v>
      </x:c>
      <x:c r="D268" s="35" t="str">
        <x:v>Sales</x:v>
      </x:c>
      <x:c r="E268" s="35" t="str">
        <x:v>Sales Representative</x:v>
      </x:c>
      <x:c r="F268" s="35" t="str">
        <x:v>Business</x:v>
      </x:c>
      <x:c r="G268" s="35" t="str">
        <x:v>Married</x:v>
      </x:c>
      <x:c r="H268" s="35" t="n">
        <x:v>2</x:v>
      </x:c>
      <x:c r="I268" s="36" t="n">
        <x:v>9980</x:v>
      </x:c>
      <x:c r="J268" s="35" t="n">
        <x:v>5</x:v>
      </x:c>
      <x:c r="K268" s="35" t="n">
        <x:v>3</x:v>
      </x:c>
      <x:c r="L268" s="35" t="n">
        <x:v>2</x:v>
      </x:c>
      <x:c r="M268" s="35" t="n">
        <x:v>17</x:v>
      </x:c>
      <x:c r="N268" s="35" t="str">
        <x:v>No</x:v>
      </x:c>
      <x:c r="O268" s="35" t="n">
        <x:v>3</x:v>
      </x:c>
      <x:c r="P268" s="35" t="n">
        <x:v>3</x:v>
      </x:c>
      <x:c r="Q268" s="35" t="n">
        <x:v>4</x:v>
      </x:c>
      <x:c r="R268" s="35" t="n">
        <x:v>3</x:v>
      </x:c>
      <x:c r="S268" s="35" t="n">
        <x:v>3</x:v>
      </x:c>
      <x:c r="T268" s="35" t="n">
        <x:v>6</x:v>
      </x:c>
      <x:c r="U268" s="35" t="n">
        <x:v>1</x:v>
      </x:c>
      <x:c r="V268" s="35" t="n">
        <x:v>11</x:v>
      </x:c>
      <x:c r="W268" s="35" t="n">
        <x:v>18</x:v>
      </x:c>
      <x:c r="X268" s="35" t="n">
        <x:v>67</x:v>
      </x:c>
      <x:c r="Y268" s="35" t="n">
        <x:v>5</x:v>
      </x:c>
      <x:c r="Z268" s="35" t="n">
        <x:v>100</x:v>
      </x:c>
      <x:c r="AA268" s="35" t="n">
        <x:v>6</x:v>
      </x:c>
      <x:c r="AB268" s="35" t="n">
        <x:v>6</x:v>
      </x:c>
      <x:c r="AC268" s="35" t="n">
        <x:v>5</x:v>
      </x:c>
      <x:c r="AD268" s="35" t="n">
        <x:v>65</x:v>
      </x:c>
      <x:c r="AE268" s="35" t="n">
        <x:v>83</x:v>
      </x:c>
      <x:c r="AF268" s="35" t="n">
        <x:v>91</x:v>
      </x:c>
      <x:c r="AG268" s="35" t="n">
        <x:v>100</x:v>
      </x:c>
      <x:c r="AH268" s="35" t="n">
        <x:v>9</x:v>
      </x:c>
      <x:c r="AI268" s="37" t="n">
        <x:v>100</x:v>
      </x:c>
      <x:c r="AJ268" s="37" t="n">
        <x:v>99.6</x:v>
      </x:c>
      <x:c r="AK268" s="35" t="str">
        <x:v>No</x:v>
      </x:c>
      <x:c r="AL268" s="38" t="n">
        <x:f>IF(AA268=0,0,AB268/AA268)</x:f>
        <x:v>1</x:v>
      </x:c>
      <x:c r="AM268" s="38" t="n">
        <x:f>IF(AB268=0,0,AC268/AB268)</x:f>
        <x:v>0.8333333333333334</x:v>
      </x:c>
      <x:c r="AN268" s="37" t="n">
        <x:f>ROUND((AD268*0.20+AE268*0.20+AF268*0.25+AG268*0.15+MIN(100,AC268*12)*0.20),1)</x:f>
        <x:v>79.4</x:v>
      </x:c>
      <x:c r="AO268" s="37" t="n">
        <x:f>ROUND(MAX(0,MIN(100,(X268*0.35)+(W268/45*100*0.20)+((5-O268)/4*100*0.15)+((5-P268)/4*100*0.10)+((6-Y268)/5*100*0.10)+((100-Z268)*0.10))),1)</x:f>
        <x:v>46</x:v>
      </x:c>
      <x:c r="AP268" s="37" t="str">
        <x:f>IF(AO268&gt;=70,"High",IF(AO268&gt;=40,"Moderate","Low"))</x:f>
        <x:v>Moderate</x:v>
      </x:c>
      <x:c r="AQ268" s="37" t="n">
        <x:f>ROUND(MAX(0,MIN(100,(O268/4*100*0.25)+(P268/4*100*0.20)+(Q268/4*100*0.15)+(Y268/5*100*0.20)+(100-AO268)*0.20)),1)</x:f>
        <x:v>79.6</x:v>
      </x:c>
      <x:c r="AR268" s="37" t="n">
        <x:f>ROUND((AI268*0.20+AJ268*0.15+AN268*0.18+AG268*0.12+Z268*0.15+AQ268*0.20),1)</x:f>
        <x:v>92.2</x:v>
      </x:c>
      <x:c r="AS268" s="39" t="n">
        <x:f>ROUND((AC268*AF268*120)+(AH268*350)+(MAX(0,AI268-75)*220)+(MAX(0,AQ268-60)*100),0)</x:f>
        <x:v>65210</x:v>
      </x:c>
    </x:row>
    <x:row r="269">
      <x:c r="A269" s="35" t="n">
        <x:v>268</x:v>
      </x:c>
      <x:c r="B269" s="35" t="n">
        <x:v>22</x:v>
      </x:c>
      <x:c r="C269" s="35" t="str">
        <x:v>Male</x:v>
      </x:c>
      <x:c r="D269" s="35" t="str">
        <x:v>Information Technology</x:v>
      </x:c>
      <x:c r="E269" s="35" t="str">
        <x:v>Software Engineer</x:v>
      </x:c>
      <x:c r="F269" s="35" t="str">
        <x:v>Life Sciences</x:v>
      </x:c>
      <x:c r="G269" s="35" t="str">
        <x:v>Married</x:v>
      </x:c>
      <x:c r="H269" s="35" t="n">
        <x:v>1</x:v>
      </x:c>
      <x:c r="I269" s="36" t="n">
        <x:v>6050</x:v>
      </x:c>
      <x:c r="J269" s="35" t="n">
        <x:v>1</x:v>
      </x:c>
      <x:c r="K269" s="35" t="n">
        <x:v>0</x:v>
      </x:c>
      <x:c r="L269" s="35" t="n">
        <x:v>0</x:v>
      </x:c>
      <x:c r="M269" s="35" t="n">
        <x:v>1</x:v>
      </x:c>
      <x:c r="N269" s="35" t="str">
        <x:v>Yes</x:v>
      </x:c>
      <x:c r="O269" s="35" t="n">
        <x:v>3</x:v>
      </x:c>
      <x:c r="P269" s="35" t="n">
        <x:v>4</x:v>
      </x:c>
      <x:c r="Q269" s="35" t="n">
        <x:v>3</x:v>
      </x:c>
      <x:c r="R269" s="35" t="n">
        <x:v>3</x:v>
      </x:c>
      <x:c r="S269" s="35" t="n">
        <x:v>3</x:v>
      </x:c>
      <x:c r="T269" s="35" t="n">
        <x:v>2</x:v>
      </x:c>
      <x:c r="U269" s="35" t="n">
        <x:v>0</x:v>
      </x:c>
      <x:c r="V269" s="35" t="n">
        <x:v>5</x:v>
      </x:c>
      <x:c r="W269" s="35" t="n">
        <x:v>23</x:v>
      </x:c>
      <x:c r="X269" s="35" t="n">
        <x:v>84</x:v>
      </x:c>
      <x:c r="Y269" s="35" t="n">
        <x:v>5</x:v>
      </x:c>
      <x:c r="Z269" s="35" t="n">
        <x:v>100</x:v>
      </x:c>
      <x:c r="AA269" s="35" t="n">
        <x:v>5</x:v>
      </x:c>
      <x:c r="AB269" s="35" t="n">
        <x:v>4</x:v>
      </x:c>
      <x:c r="AC269" s="35" t="n">
        <x:v>4</x:v>
      </x:c>
      <x:c r="AD269" s="35" t="n">
        <x:v>85</x:v>
      </x:c>
      <x:c r="AE269" s="35" t="n">
        <x:v>72</x:v>
      </x:c>
      <x:c r="AF269" s="35" t="n">
        <x:v>92</x:v>
      </x:c>
      <x:c r="AG269" s="35" t="n">
        <x:v>93</x:v>
      </x:c>
      <x:c r="AH269" s="35" t="n">
        <x:v>5</x:v>
      </x:c>
      <x:c r="AI269" s="37" t="n">
        <x:v>100</x:v>
      </x:c>
      <x:c r="AJ269" s="37" t="n">
        <x:v>87</x:v>
      </x:c>
      <x:c r="AK269" s="35" t="str">
        <x:v>No</x:v>
      </x:c>
      <x:c r="AL269" s="38" t="n">
        <x:f>IF(AA269=0,0,AB269/AA269)</x:f>
        <x:v>0.8</x:v>
      </x:c>
      <x:c r="AM269" s="38" t="n">
        <x:f>IF(AB269=0,0,AC269/AB269)</x:f>
        <x:v>1</x:v>
      </x:c>
      <x:c r="AN269" s="37" t="n">
        <x:f>ROUND((AD269*0.20+AE269*0.20+AF269*0.25+AG269*0.15+MIN(100,AC269*12)*0.20),1)</x:f>
        <x:v>77.9</x:v>
      </x:c>
      <x:c r="AO269" s="37" t="n">
        <x:f>ROUND(MAX(0,MIN(100,(X269*0.35)+(W269/45*100*0.20)+((5-O269)/4*100*0.15)+((5-P269)/4*100*0.10)+((6-Y269)/5*100*0.10)+((100-Z269)*0.10))),1)</x:f>
        <x:v>51.6</x:v>
      </x:c>
      <x:c r="AP269" s="37" t="str">
        <x:f>IF(AO269&gt;=70,"High",IF(AO269&gt;=40,"Moderate","Low"))</x:f>
        <x:v>Moderate</x:v>
      </x:c>
      <x:c r="AQ269" s="37" t="n">
        <x:f>ROUND(MAX(0,MIN(100,(O269/4*100*0.25)+(P269/4*100*0.20)+(Q269/4*100*0.15)+(Y269/5*100*0.20)+(100-AO269)*0.20)),1)</x:f>
        <x:v>79.7</x:v>
      </x:c>
      <x:c r="AR269" s="37" t="n">
        <x:f>ROUND((AI269*0.20+AJ269*0.15+AN269*0.18+AG269*0.12+Z269*0.15+AQ269*0.20),1)</x:f>
        <x:v>89.2</x:v>
      </x:c>
      <x:c r="AS269" s="39" t="n">
        <x:f>ROUND((AC269*AF269*120)+(AH269*350)+(MAX(0,AI269-75)*220)+(MAX(0,AQ269-60)*100),0)</x:f>
        <x:v>53380</x:v>
      </x:c>
    </x:row>
    <x:row r="270">
      <x:c r="A270" s="35" t="n">
        <x:v>269</x:v>
      </x:c>
      <x:c r="B270" s="35" t="n">
        <x:v>21</x:v>
      </x:c>
      <x:c r="C270" s="35" t="str">
        <x:v>Female</x:v>
      </x:c>
      <x:c r="D270" s="35" t="str">
        <x:v>Research &amp; Development</x:v>
      </x:c>
      <x:c r="E270" s="35" t="str">
        <x:v>Data Scientist</x:v>
      </x:c>
      <x:c r="F270" s="35" t="str">
        <x:v>Human Resources</x:v>
      </x:c>
      <x:c r="G270" s="35" t="str">
        <x:v>Married</x:v>
      </x:c>
      <x:c r="H270" s="35" t="n">
        <x:v>2</x:v>
      </x:c>
      <x:c r="I270" s="36" t="n">
        <x:v>8620</x:v>
      </x:c>
      <x:c r="J270" s="35" t="n">
        <x:v>0</x:v>
      </x:c>
      <x:c r="K270" s="35" t="n">
        <x:v>0</x:v>
      </x:c>
      <x:c r="L270" s="35" t="n">
        <x:v>0</x:v>
      </x:c>
      <x:c r="M270" s="35" t="n">
        <x:v>20</x:v>
      </x:c>
      <x:c r="N270" s="35" t="str">
        <x:v>No</x:v>
      </x:c>
      <x:c r="O270" s="35" t="n">
        <x:v>2</x:v>
      </x:c>
      <x:c r="P270" s="35" t="n">
        <x:v>3</x:v>
      </x:c>
      <x:c r="Q270" s="35" t="n">
        <x:v>2</x:v>
      </x:c>
      <x:c r="R270" s="35" t="n">
        <x:v>2</x:v>
      </x:c>
      <x:c r="S270" s="35" t="n">
        <x:v>3</x:v>
      </x:c>
      <x:c r="T270" s="35" t="n">
        <x:v>4</x:v>
      </x:c>
      <x:c r="U270" s="35" t="n">
        <x:v>1</x:v>
      </x:c>
      <x:c r="V270" s="35" t="n">
        <x:v>5</x:v>
      </x:c>
      <x:c r="W270" s="35" t="n">
        <x:v>0</x:v>
      </x:c>
      <x:c r="X270" s="35" t="n">
        <x:v>49</x:v>
      </x:c>
      <x:c r="Y270" s="35" t="n">
        <x:v>5</x:v>
      </x:c>
      <x:c r="Z270" s="35" t="n">
        <x:v>97</x:v>
      </x:c>
      <x:c r="AA270" s="35" t="n">
        <x:v>5</x:v>
      </x:c>
      <x:c r="AB270" s="35" t="n">
        <x:v>5</x:v>
      </x:c>
      <x:c r="AC270" s="35" t="n">
        <x:v>4</x:v>
      </x:c>
      <x:c r="AD270" s="35" t="n">
        <x:v>85</x:v>
      </x:c>
      <x:c r="AE270" s="35" t="n">
        <x:v>100</x:v>
      </x:c>
      <x:c r="AF270" s="35" t="n">
        <x:v>67</x:v>
      </x:c>
      <x:c r="AG270" s="35" t="n">
        <x:v>68</x:v>
      </x:c>
      <x:c r="AH270" s="35" t="n">
        <x:v>8</x:v>
      </x:c>
      <x:c r="AI270" s="37" t="n">
        <x:v>82.9</x:v>
      </x:c>
      <x:c r="AJ270" s="37" t="n">
        <x:v>87.6</x:v>
      </x:c>
      <x:c r="AK270" s="35" t="str">
        <x:v>No</x:v>
      </x:c>
      <x:c r="AL270" s="38" t="n">
        <x:f>IF(AA270=0,0,AB270/AA270)</x:f>
        <x:v>1</x:v>
      </x:c>
      <x:c r="AM270" s="38" t="n">
        <x:f>IF(AB270=0,0,AC270/AB270)</x:f>
        <x:v>0.8</x:v>
      </x:c>
      <x:c r="AN270" s="37" t="n">
        <x:f>ROUND((AD270*0.20+AE270*0.20+AF270*0.25+AG270*0.15+MIN(100,AC270*12)*0.20),1)</x:f>
        <x:v>73.6</x:v>
      </x:c>
      <x:c r="AO270" s="37" t="n">
        <x:f>ROUND(MAX(0,MIN(100,(X270*0.35)+(W270/45*100*0.20)+((5-O270)/4*100*0.15)+((5-P270)/4*100*0.10)+((6-Y270)/5*100*0.10)+((100-Z270)*0.10))),1)</x:f>
        <x:v>35.7</x:v>
      </x:c>
      <x:c r="AP270" s="37" t="str">
        <x:f>IF(AO270&gt;=70,"High",IF(AO270&gt;=40,"Moderate","Low"))</x:f>
        <x:v>Low</x:v>
      </x:c>
      <x:c r="AQ270" s="37" t="n">
        <x:f>ROUND(MAX(0,MIN(100,(O270/4*100*0.25)+(P270/4*100*0.20)+(Q270/4*100*0.15)+(Y270/5*100*0.20)+(100-AO270)*0.20)),1)</x:f>
        <x:v>67.9</x:v>
      </x:c>
      <x:c r="AR270" s="37" t="n">
        <x:f>ROUND((AI270*0.20+AJ270*0.15+AN270*0.18+AG270*0.12+Z270*0.15+AQ270*0.20),1)</x:f>
        <x:v>79.3</x:v>
      </x:c>
      <x:c r="AS270" s="39" t="n">
        <x:f>ROUND((AC270*AF270*120)+(AH270*350)+(MAX(0,AI270-75)*220)+(MAX(0,AQ270-60)*100),0)</x:f>
        <x:v>37488</x:v>
      </x:c>
    </x:row>
    <x:row r="271">
      <x:c r="A271" s="35" t="n">
        <x:v>270</x:v>
      </x:c>
      <x:c r="B271" s="35" t="n">
        <x:v>26</x:v>
      </x:c>
      <x:c r="C271" s="35" t="str">
        <x:v>Male</x:v>
      </x:c>
      <x:c r="D271" s="35" t="str">
        <x:v>Research &amp; Development</x:v>
      </x:c>
      <x:c r="E271" s="35" t="str">
        <x:v>Research Scientist</x:v>
      </x:c>
      <x:c r="F271" s="35" t="str">
        <x:v>Business</x:v>
      </x:c>
      <x:c r="G271" s="35" t="str">
        <x:v>Married</x:v>
      </x:c>
      <x:c r="H271" s="35" t="n">
        <x:v>1</x:v>
      </x:c>
      <x:c r="I271" s="36" t="n">
        <x:v>4370</x:v>
      </x:c>
      <x:c r="J271" s="35" t="n">
        <x:v>3</x:v>
      </x:c>
      <x:c r="K271" s="35" t="n">
        <x:v>2</x:v>
      </x:c>
      <x:c r="L271" s="35" t="n">
        <x:v>1</x:v>
      </x:c>
      <x:c r="M271" s="35" t="n">
        <x:v>17</x:v>
      </x:c>
      <x:c r="N271" s="35" t="str">
        <x:v>No</x:v>
      </x:c>
      <x:c r="O271" s="35" t="n">
        <x:v>3</x:v>
      </x:c>
      <x:c r="P271" s="35" t="n">
        <x:v>3</x:v>
      </x:c>
      <x:c r="Q271" s="35" t="n">
        <x:v>3</x:v>
      </x:c>
      <x:c r="R271" s="35" t="n">
        <x:v>3</x:v>
      </x:c>
      <x:c r="S271" s="35" t="n">
        <x:v>4</x:v>
      </x:c>
      <x:c r="T271" s="35" t="n">
        <x:v>1</x:v>
      </x:c>
      <x:c r="U271" s="35" t="n">
        <x:v>0</x:v>
      </x:c>
      <x:c r="V271" s="35" t="n">
        <x:v>6</x:v>
      </x:c>
      <x:c r="W271" s="35" t="n">
        <x:v>8</x:v>
      </x:c>
      <x:c r="X271" s="35" t="n">
        <x:v>69</x:v>
      </x:c>
      <x:c r="Y271" s="35" t="n">
        <x:v>5</x:v>
      </x:c>
      <x:c r="Z271" s="35" t="n">
        <x:v>100</x:v>
      </x:c>
      <x:c r="AA271" s="35" t="n">
        <x:v>14</x:v>
      </x:c>
      <x:c r="AB271" s="35" t="n">
        <x:v>10</x:v>
      </x:c>
      <x:c r="AC271" s="35" t="n">
        <x:v>10</x:v>
      </x:c>
      <x:c r="AD271" s="35" t="n">
        <x:v>100</x:v>
      </x:c>
      <x:c r="AE271" s="35" t="n">
        <x:v>100</x:v>
      </x:c>
      <x:c r="AF271" s="35" t="n">
        <x:v>81</x:v>
      </x:c>
      <x:c r="AG271" s="35" t="n">
        <x:v>81</x:v>
      </x:c>
      <x:c r="AH271" s="35" t="n">
        <x:v>12</x:v>
      </x:c>
      <x:c r="AI271" s="37" t="n">
        <x:v>97.9</x:v>
      </x:c>
      <x:c r="AJ271" s="37" t="n">
        <x:v>100</x:v>
      </x:c>
      <x:c r="AK271" s="35" t="str">
        <x:v>No</x:v>
      </x:c>
      <x:c r="AL271" s="38" t="n">
        <x:f>IF(AA271=0,0,AB271/AA271)</x:f>
        <x:v>0.7142857142857143</x:v>
      </x:c>
      <x:c r="AM271" s="38" t="n">
        <x:f>IF(AB271=0,0,AC271/AB271)</x:f>
        <x:v>1</x:v>
      </x:c>
      <x:c r="AN271" s="37" t="n">
        <x:f>ROUND((AD271*0.20+AE271*0.20+AF271*0.25+AG271*0.15+MIN(100,AC271*12)*0.20),1)</x:f>
        <x:v>92.4</x:v>
      </x:c>
      <x:c r="AO271" s="37" t="n">
        <x:f>ROUND(MAX(0,MIN(100,(X271*0.35)+(W271/45*100*0.20)+((5-O271)/4*100*0.15)+((5-P271)/4*100*0.10)+((6-Y271)/5*100*0.10)+((100-Z271)*0.10))),1)</x:f>
        <x:v>42.2</x:v>
      </x:c>
      <x:c r="AP271" s="37" t="str">
        <x:f>IF(AO271&gt;=70,"High",IF(AO271&gt;=40,"Moderate","Low"))</x:f>
        <x:v>Moderate</x:v>
      </x:c>
      <x:c r="AQ271" s="37" t="n">
        <x:f>ROUND(MAX(0,MIN(100,(O271/4*100*0.25)+(P271/4*100*0.20)+(Q271/4*100*0.15)+(Y271/5*100*0.20)+(100-AO271)*0.20)),1)</x:f>
        <x:v>76.6</x:v>
      </x:c>
      <x:c r="AR271" s="37" t="n">
        <x:f>ROUND((AI271*0.20+AJ271*0.15+AN271*0.18+AG271*0.12+Z271*0.15+AQ271*0.20),1)</x:f>
        <x:v>91.3</x:v>
      </x:c>
      <x:c r="AS271" s="39" t="n">
        <x:f>ROUND((AC271*AF271*120)+(AH271*350)+(MAX(0,AI271-75)*220)+(MAX(0,AQ271-60)*100),0)</x:f>
        <x:v>108098</x:v>
      </x:c>
    </x:row>
    <x:row r="272">
      <x:c r="A272" s="35" t="n">
        <x:v>271</x:v>
      </x:c>
      <x:c r="B272" s="35" t="n">
        <x:v>47</x:v>
      </x:c>
      <x:c r="C272" s="35" t="str">
        <x:v>Male</x:v>
      </x:c>
      <x:c r="D272" s="35" t="str">
        <x:v>Sales</x:v>
      </x:c>
      <x:c r="E272" s="35" t="str">
        <x:v>Sales Representative</x:v>
      </x:c>
      <x:c r="F272" s="35" t="str">
        <x:v>Medical</x:v>
      </x:c>
      <x:c r="G272" s="35" t="str">
        <x:v>Married</x:v>
      </x:c>
      <x:c r="H272" s="35" t="n">
        <x:v>3</x:v>
      </x:c>
      <x:c r="I272" s="36" t="n">
        <x:v>14090</x:v>
      </x:c>
      <x:c r="J272" s="35" t="n">
        <x:v>19</x:v>
      </x:c>
      <x:c r="K272" s="35" t="n">
        <x:v>15</x:v>
      </x:c>
      <x:c r="L272" s="35" t="n">
        <x:v>6</x:v>
      </x:c>
      <x:c r="M272" s="35" t="n">
        <x:v>1</x:v>
      </x:c>
      <x:c r="N272" s="35" t="str">
        <x:v>No</x:v>
      </x:c>
      <x:c r="O272" s="35" t="n">
        <x:v>3</x:v>
      </x:c>
      <x:c r="P272" s="35" t="n">
        <x:v>2</x:v>
      </x:c>
      <x:c r="Q272" s="35" t="n">
        <x:v>2</x:v>
      </x:c>
      <x:c r="R272" s="35" t="n">
        <x:v>3</x:v>
      </x:c>
      <x:c r="S272" s="35" t="n">
        <x:v>3</x:v>
      </x:c>
      <x:c r="T272" s="35" t="n">
        <x:v>5</x:v>
      </x:c>
      <x:c r="U272" s="35" t="n">
        <x:v>1</x:v>
      </x:c>
      <x:c r="V272" s="35" t="n">
        <x:v>9</x:v>
      </x:c>
      <x:c r="W272" s="35" t="n">
        <x:v>8</x:v>
      </x:c>
      <x:c r="X272" s="35" t="n">
        <x:v>56</x:v>
      </x:c>
      <x:c r="Y272" s="35" t="n">
        <x:v>5</x:v>
      </x:c>
      <x:c r="Z272" s="35" t="n">
        <x:v>100</x:v>
      </x:c>
      <x:c r="AA272" s="35" t="n">
        <x:v>5</x:v>
      </x:c>
      <x:c r="AB272" s="35" t="n">
        <x:v>3</x:v>
      </x:c>
      <x:c r="AC272" s="35" t="n">
        <x:v>2</x:v>
      </x:c>
      <x:c r="AD272" s="35" t="n">
        <x:v>72</x:v>
      </x:c>
      <x:c r="AE272" s="35" t="n">
        <x:v>81</x:v>
      </x:c>
      <x:c r="AF272" s="35" t="n">
        <x:v>100</x:v>
      </x:c>
      <x:c r="AG272" s="35" t="n">
        <x:v>100</x:v>
      </x:c>
      <x:c r="AH272" s="35" t="n">
        <x:v>2</x:v>
      </x:c>
      <x:c r="AI272" s="37" t="n">
        <x:v>97.7</x:v>
      </x:c>
      <x:c r="AJ272" s="37" t="n">
        <x:v>97.2</x:v>
      </x:c>
      <x:c r="AK272" s="35" t="str">
        <x:v>No</x:v>
      </x:c>
      <x:c r="AL272" s="38" t="n">
        <x:f>IF(AA272=0,0,AB272/AA272)</x:f>
        <x:v>0.6</x:v>
      </x:c>
      <x:c r="AM272" s="38" t="n">
        <x:f>IF(AB272=0,0,AC272/AB272)</x:f>
        <x:v>0.6666666666666666</x:v>
      </x:c>
      <x:c r="AN272" s="37" t="n">
        <x:f>ROUND((AD272*0.20+AE272*0.20+AF272*0.25+AG272*0.15+MIN(100,AC272*12)*0.20),1)</x:f>
        <x:v>75.4</x:v>
      </x:c>
      <x:c r="AO272" s="37" t="n">
        <x:f>ROUND(MAX(0,MIN(100,(X272*0.35)+(W272/45*100*0.20)+((5-O272)/4*100*0.15)+((5-P272)/4*100*0.10)+((6-Y272)/5*100*0.10)+((100-Z272)*0.10))),1)</x:f>
        <x:v>40.2</x:v>
      </x:c>
      <x:c r="AP272" s="37" t="str">
        <x:f>IF(AO272&gt;=70,"High",IF(AO272&gt;=40,"Moderate","Low"))</x:f>
        <x:v>Moderate</x:v>
      </x:c>
      <x:c r="AQ272" s="37" t="n">
        <x:f>ROUND(MAX(0,MIN(100,(O272/4*100*0.25)+(P272/4*100*0.20)+(Q272/4*100*0.15)+(Y272/5*100*0.20)+(100-AO272)*0.20)),1)</x:f>
        <x:v>68.2</x:v>
      </x:c>
      <x:c r="AR272" s="37" t="n">
        <x:f>ROUND((AI272*0.20+AJ272*0.15+AN272*0.18+AG272*0.12+Z272*0.15+AQ272*0.20),1)</x:f>
        <x:v>88.3</x:v>
      </x:c>
      <x:c r="AS272" s="39" t="n">
        <x:f>ROUND((AC272*AF272*120)+(AH272*350)+(MAX(0,AI272-75)*220)+(MAX(0,AQ272-60)*100),0)</x:f>
        <x:v>30514</x:v>
      </x:c>
    </x:row>
    <x:row r="273">
      <x:c r="A273" s="35" t="n">
        <x:v>272</x:v>
      </x:c>
      <x:c r="B273" s="35" t="n">
        <x:v>40</x:v>
      </x:c>
      <x:c r="C273" s="35" t="str">
        <x:v>Male</x:v>
      </x:c>
      <x:c r="D273" s="35" t="str">
        <x:v>Finance</x:v>
      </x:c>
      <x:c r="E273" s="35" t="str">
        <x:v>Financial Analyst</x:v>
      </x:c>
      <x:c r="F273" s="35" t="str">
        <x:v>Marketing</x:v>
      </x:c>
      <x:c r="G273" s="35" t="str">
        <x:v>Single</x:v>
      </x:c>
      <x:c r="H273" s="35" t="n">
        <x:v>3</x:v>
      </x:c>
      <x:c r="I273" s="36" t="n">
        <x:v>12820</x:v>
      </x:c>
      <x:c r="J273" s="35" t="n">
        <x:v>14</x:v>
      </x:c>
      <x:c r="K273" s="35" t="n">
        <x:v>10</x:v>
      </x:c>
      <x:c r="L273" s="35" t="n">
        <x:v>7</x:v>
      </x:c>
      <x:c r="M273" s="35" t="n">
        <x:v>19</x:v>
      </x:c>
      <x:c r="N273" s="35" t="str">
        <x:v>No</x:v>
      </x:c>
      <x:c r="O273" s="35" t="n">
        <x:v>1</x:v>
      </x:c>
      <x:c r="P273" s="35" t="n">
        <x:v>3</x:v>
      </x:c>
      <x:c r="Q273" s="35" t="n">
        <x:v>3</x:v>
      </x:c>
      <x:c r="R273" s="35" t="n">
        <x:v>3</x:v>
      </x:c>
      <x:c r="S273" s="35" t="n">
        <x:v>3</x:v>
      </x:c>
      <x:c r="T273" s="35" t="n">
        <x:v>3</x:v>
      </x:c>
      <x:c r="U273" s="35" t="n">
        <x:v>0</x:v>
      </x:c>
      <x:c r="V273" s="35" t="n">
        <x:v>4</x:v>
      </x:c>
      <x:c r="W273" s="35" t="n">
        <x:v>2</x:v>
      </x:c>
      <x:c r="X273" s="35" t="n">
        <x:v>52</x:v>
      </x:c>
      <x:c r="Y273" s="35" t="n">
        <x:v>5</x:v>
      </x:c>
      <x:c r="Z273" s="35" t="n">
        <x:v>100</x:v>
      </x:c>
      <x:c r="AA273" s="35" t="n">
        <x:v>5</x:v>
      </x:c>
      <x:c r="AB273" s="35" t="n">
        <x:v>4</x:v>
      </x:c>
      <x:c r="AC273" s="35" t="n">
        <x:v>3</x:v>
      </x:c>
      <x:c r="AD273" s="35" t="n">
        <x:v>67</x:v>
      </x:c>
      <x:c r="AE273" s="35" t="n">
        <x:v>70</x:v>
      </x:c>
      <x:c r="AF273" s="35" t="n">
        <x:v>98</x:v>
      </x:c>
      <x:c r="AG273" s="35" t="n">
        <x:v>97</x:v>
      </x:c>
      <x:c r="AH273" s="35" t="n">
        <x:v>10</x:v>
      </x:c>
      <x:c r="AI273" s="37" t="n">
        <x:v>96.9</x:v>
      </x:c>
      <x:c r="AJ273" s="37" t="n">
        <x:v>95.5</x:v>
      </x:c>
      <x:c r="AK273" s="35" t="str">
        <x:v>Yes</x:v>
      </x:c>
      <x:c r="AL273" s="38" t="n">
        <x:f>IF(AA273=0,0,AB273/AA273)</x:f>
        <x:v>0.8</x:v>
      </x:c>
      <x:c r="AM273" s="38" t="n">
        <x:f>IF(AB273=0,0,AC273/AB273)</x:f>
        <x:v>0.75</x:v>
      </x:c>
      <x:c r="AN273" s="37" t="n">
        <x:f>ROUND((AD273*0.20+AE273*0.20+AF273*0.25+AG273*0.15+MIN(100,AC273*12)*0.20),1)</x:f>
        <x:v>73.7</x:v>
      </x:c>
      <x:c r="AO273" s="37" t="n">
        <x:f>ROUND(MAX(0,MIN(100,(X273*0.35)+(W273/45*100*0.20)+((5-O273)/4*100*0.15)+((5-P273)/4*100*0.10)+((6-Y273)/5*100*0.10)+((100-Z273)*0.10))),1)</x:f>
        <x:v>41.1</x:v>
      </x:c>
      <x:c r="AP273" s="37" t="str">
        <x:f>IF(AO273&gt;=70,"High",IF(AO273&gt;=40,"Moderate","Low"))</x:f>
        <x:v>Moderate</x:v>
      </x:c>
      <x:c r="AQ273" s="37" t="n">
        <x:f>ROUND(MAX(0,MIN(100,(O273/4*100*0.25)+(P273/4*100*0.20)+(Q273/4*100*0.15)+(Y273/5*100*0.20)+(100-AO273)*0.20)),1)</x:f>
        <x:v>64.3</x:v>
      </x:c>
      <x:c r="AR273" s="37" t="n">
        <x:f>ROUND((AI273*0.20+AJ273*0.15+AN273*0.18+AG273*0.12+Z273*0.15+AQ273*0.20),1)</x:f>
        <x:v>86.5</x:v>
      </x:c>
      <x:c r="AS273" s="39" t="n">
        <x:f>ROUND((AC273*AF273*120)+(AH273*350)+(MAX(0,AI273-75)*220)+(MAX(0,AQ273-60)*100),0)</x:f>
        <x:v>44028</x:v>
      </x:c>
    </x:row>
    <x:row r="274">
      <x:c r="A274" s="35" t="n">
        <x:v>273</x:v>
      </x:c>
      <x:c r="B274" s="35" t="n">
        <x:v>35</x:v>
      </x:c>
      <x:c r="C274" s="35" t="str">
        <x:v>Female</x:v>
      </x:c>
      <x:c r="D274" s="35" t="str">
        <x:v>Research &amp; Development</x:v>
      </x:c>
      <x:c r="E274" s="35" t="str">
        <x:v>Research Scientist</x:v>
      </x:c>
      <x:c r="F274" s="35" t="str">
        <x:v>Human Resources</x:v>
      </x:c>
      <x:c r="G274" s="35" t="str">
        <x:v>Single</x:v>
      </x:c>
      <x:c r="H274" s="35" t="n">
        <x:v>2</x:v>
      </x:c>
      <x:c r="I274" s="36" t="n">
        <x:v>11580</x:v>
      </x:c>
      <x:c r="J274" s="35" t="n">
        <x:v>10</x:v>
      </x:c>
      <x:c r="K274" s="35" t="n">
        <x:v>5</x:v>
      </x:c>
      <x:c r="L274" s="35" t="n">
        <x:v>3</x:v>
      </x:c>
      <x:c r="M274" s="35" t="n">
        <x:v>18</x:v>
      </x:c>
      <x:c r="N274" s="35" t="str">
        <x:v>No</x:v>
      </x:c>
      <x:c r="O274" s="35" t="n">
        <x:v>4</x:v>
      </x:c>
      <x:c r="P274" s="35" t="n">
        <x:v>2</x:v>
      </x:c>
      <x:c r="Q274" s="35" t="n">
        <x:v>3</x:v>
      </x:c>
      <x:c r="R274" s="35" t="n">
        <x:v>4</x:v>
      </x:c>
      <x:c r="S274" s="35" t="n">
        <x:v>3</x:v>
      </x:c>
      <x:c r="T274" s="35" t="n">
        <x:v>4</x:v>
      </x:c>
      <x:c r="U274" s="35" t="n">
        <x:v>0</x:v>
      </x:c>
      <x:c r="V274" s="35" t="n">
        <x:v>2</x:v>
      </x:c>
      <x:c r="W274" s="35" t="n">
        <x:v>0</x:v>
      </x:c>
      <x:c r="X274" s="35" t="n">
        <x:v>52</x:v>
      </x:c>
      <x:c r="Y274" s="35" t="n">
        <x:v>5</x:v>
      </x:c>
      <x:c r="Z274" s="35" t="n">
        <x:v>100</x:v>
      </x:c>
      <x:c r="AA274" s="35" t="n">
        <x:v>3</x:v>
      </x:c>
      <x:c r="AB274" s="35" t="n">
        <x:v>1</x:v>
      </x:c>
      <x:c r="AC274" s="35" t="n">
        <x:v>1</x:v>
      </x:c>
      <x:c r="AD274" s="35" t="n">
        <x:v>90</x:v>
      </x:c>
      <x:c r="AE274" s="35" t="n">
        <x:v>92</x:v>
      </x:c>
      <x:c r="AF274" s="35" t="n">
        <x:v>75</x:v>
      </x:c>
      <x:c r="AG274" s="35" t="n">
        <x:v>94</x:v>
      </x:c>
      <x:c r="AH274" s="35" t="n">
        <x:v>3</x:v>
      </x:c>
      <x:c r="AI274" s="37" t="n">
        <x:v>96.1</x:v>
      </x:c>
      <x:c r="AJ274" s="37" t="n">
        <x:v>89.3</x:v>
      </x:c>
      <x:c r="AK274" s="35" t="str">
        <x:v>No</x:v>
      </x:c>
      <x:c r="AL274" s="38" t="n">
        <x:f>IF(AA274=0,0,AB274/AA274)</x:f>
        <x:v>0.3333333333333333</x:v>
      </x:c>
      <x:c r="AM274" s="38" t="n">
        <x:f>IF(AB274=0,0,AC274/AB274)</x:f>
        <x:v>1</x:v>
      </x:c>
      <x:c r="AN274" s="37" t="n">
        <x:f>ROUND((AD274*0.20+AE274*0.20+AF274*0.25+AG274*0.15+MIN(100,AC274*12)*0.20),1)</x:f>
        <x:v>71.7</x:v>
      </x:c>
      <x:c r="AO274" s="37" t="n">
        <x:f>ROUND(MAX(0,MIN(100,(X274*0.35)+(W274/45*100*0.20)+((5-O274)/4*100*0.15)+((5-P274)/4*100*0.10)+((6-Y274)/5*100*0.10)+((100-Z274)*0.10))),1)</x:f>
        <x:v>31.5</x:v>
      </x:c>
      <x:c r="AP274" s="37" t="str">
        <x:f>IF(AO274&gt;=70,"High",IF(AO274&gt;=40,"Moderate","Low"))</x:f>
        <x:v>Low</x:v>
      </x:c>
      <x:c r="AQ274" s="37" t="n">
        <x:f>ROUND(MAX(0,MIN(100,(O274/4*100*0.25)+(P274/4*100*0.20)+(Q274/4*100*0.15)+(Y274/5*100*0.20)+(100-AO274)*0.20)),1)</x:f>
        <x:v>80</x:v>
      </x:c>
      <x:c r="AR274" s="37" t="n">
        <x:f>ROUND((AI274*0.20+AJ274*0.15+AN274*0.18+AG274*0.12+Z274*0.15+AQ274*0.20),1)</x:f>
        <x:v>87.8</x:v>
      </x:c>
      <x:c r="AS274" s="39" t="n">
        <x:f>ROUND((AC274*AF274*120)+(AH274*350)+(MAX(0,AI274-75)*220)+(MAX(0,AQ274-60)*100),0)</x:f>
        <x:v>16692</x:v>
      </x:c>
    </x:row>
    <x:row r="275">
      <x:c r="A275" s="35" t="n">
        <x:v>274</x:v>
      </x:c>
      <x:c r="B275" s="35" t="n">
        <x:v>39</x:v>
      </x:c>
      <x:c r="C275" s="35" t="str">
        <x:v>Male</x:v>
      </x:c>
      <x:c r="D275" s="35" t="str">
        <x:v>Information Technology</x:v>
      </x:c>
      <x:c r="E275" s="35" t="str">
        <x:v>IT Manager</x:v>
      </x:c>
      <x:c r="F275" s="35" t="str">
        <x:v>Technical Degree</x:v>
      </x:c>
      <x:c r="G275" s="35" t="str">
        <x:v>Single</x:v>
      </x:c>
      <x:c r="H275" s="35" t="n">
        <x:v>2</x:v>
      </x:c>
      <x:c r="I275" s="36" t="n">
        <x:v>8370</x:v>
      </x:c>
      <x:c r="J275" s="35" t="n">
        <x:v>9</x:v>
      </x:c>
      <x:c r="K275" s="35" t="n">
        <x:v>7</x:v>
      </x:c>
      <x:c r="L275" s="35" t="n">
        <x:v>3</x:v>
      </x:c>
      <x:c r="M275" s="35" t="n">
        <x:v>5</x:v>
      </x:c>
      <x:c r="N275" s="35" t="str">
        <x:v>Yes</x:v>
      </x:c>
      <x:c r="O275" s="35" t="n">
        <x:v>3</x:v>
      </x:c>
      <x:c r="P275" s="35" t="n">
        <x:v>2</x:v>
      </x:c>
      <x:c r="Q275" s="35" t="n">
        <x:v>4</x:v>
      </x:c>
      <x:c r="R275" s="35" t="n">
        <x:v>2</x:v>
      </x:c>
      <x:c r="S275" s="35" t="n">
        <x:v>3</x:v>
      </x:c>
      <x:c r="T275" s="35" t="n">
        <x:v>4</x:v>
      </x:c>
      <x:c r="U275" s="35" t="n">
        <x:v>0</x:v>
      </x:c>
      <x:c r="V275" s="35" t="n">
        <x:v>3</x:v>
      </x:c>
      <x:c r="W275" s="35" t="n">
        <x:v>17</x:v>
      </x:c>
      <x:c r="X275" s="35" t="n">
        <x:v>58</x:v>
      </x:c>
      <x:c r="Y275" s="35" t="n">
        <x:v>4</x:v>
      </x:c>
      <x:c r="Z275" s="35" t="n">
        <x:v>97</x:v>
      </x:c>
      <x:c r="AA275" s="35" t="n">
        <x:v>2</x:v>
      </x:c>
      <x:c r="AB275" s="35" t="n">
        <x:v>2</x:v>
      </x:c>
      <x:c r="AC275" s="35" t="n">
        <x:v>2</x:v>
      </x:c>
      <x:c r="AD275" s="35" t="n">
        <x:v>68</x:v>
      </x:c>
      <x:c r="AE275" s="35" t="n">
        <x:v>67</x:v>
      </x:c>
      <x:c r="AF275" s="35" t="n">
        <x:v>70</x:v>
      </x:c>
      <x:c r="AG275" s="35" t="n">
        <x:v>82</x:v>
      </x:c>
      <x:c r="AH275" s="35" t="n">
        <x:v>8</x:v>
      </x:c>
      <x:c r="AI275" s="37" t="n">
        <x:v>86.8</x:v>
      </x:c>
      <x:c r="AJ275" s="37" t="n">
        <x:v>90.8</x:v>
      </x:c>
      <x:c r="AK275" s="35" t="str">
        <x:v>No</x:v>
      </x:c>
      <x:c r="AL275" s="38" t="n">
        <x:f>IF(AA275=0,0,AB275/AA275)</x:f>
        <x:v>1</x:v>
      </x:c>
      <x:c r="AM275" s="38" t="n">
        <x:f>IF(AB275=0,0,AC275/AB275)</x:f>
        <x:v>1</x:v>
      </x:c>
      <x:c r="AN275" s="37" t="n">
        <x:f>ROUND((AD275*0.20+AE275*0.20+AF275*0.25+AG275*0.15+MIN(100,AC275*12)*0.20),1)</x:f>
        <x:v>61.6</x:v>
      </x:c>
      <x:c r="AO275" s="37" t="n">
        <x:f>ROUND(MAX(0,MIN(100,(X275*0.35)+(W275/45*100*0.20)+((5-O275)/4*100*0.15)+((5-P275)/4*100*0.10)+((6-Y275)/5*100*0.10)+((100-Z275)*0.10))),1)</x:f>
        <x:v>47.2</x:v>
      </x:c>
      <x:c r="AP275" s="37" t="str">
        <x:f>IF(AO275&gt;=70,"High",IF(AO275&gt;=40,"Moderate","Low"))</x:f>
        <x:v>Moderate</x:v>
      </x:c>
      <x:c r="AQ275" s="37" t="n">
        <x:f>ROUND(MAX(0,MIN(100,(O275/4*100*0.25)+(P275/4*100*0.20)+(Q275/4*100*0.15)+(Y275/5*100*0.20)+(100-AO275)*0.20)),1)</x:f>
        <x:v>70.3</x:v>
      </x:c>
      <x:c r="AR275" s="37" t="n">
        <x:f>ROUND((AI275*0.20+AJ275*0.15+AN275*0.18+AG275*0.12+Z275*0.15+AQ275*0.20),1)</x:f>
        <x:v>80.5</x:v>
      </x:c>
      <x:c r="AS275" s="39" t="n">
        <x:f>ROUND((AC275*AF275*120)+(AH275*350)+(MAX(0,AI275-75)*220)+(MAX(0,AQ275-60)*100),0)</x:f>
        <x:v>23226</x:v>
      </x:c>
    </x:row>
    <x:row r="276">
      <x:c r="A276" s="35" t="n">
        <x:v>275</x:v>
      </x:c>
      <x:c r="B276" s="35" t="n">
        <x:v>37</x:v>
      </x:c>
      <x:c r="C276" s="35" t="str">
        <x:v>Female</x:v>
      </x:c>
      <x:c r="D276" s="35" t="str">
        <x:v>Research &amp; Development</x:v>
      </x:c>
      <x:c r="E276" s="35" t="str">
        <x:v>Research Scientist</x:v>
      </x:c>
      <x:c r="F276" s="35" t="str">
        <x:v>Business</x:v>
      </x:c>
      <x:c r="G276" s="35" t="str">
        <x:v>Single</x:v>
      </x:c>
      <x:c r="H276" s="35" t="n">
        <x:v>2</x:v>
      </x:c>
      <x:c r="I276" s="36" t="n">
        <x:v>6910</x:v>
      </x:c>
      <x:c r="J276" s="35" t="n">
        <x:v>11</x:v>
      </x:c>
      <x:c r="K276" s="35" t="n">
        <x:v>8</x:v>
      </x:c>
      <x:c r="L276" s="35" t="n">
        <x:v>2</x:v>
      </x:c>
      <x:c r="M276" s="35" t="n">
        <x:v>4</x:v>
      </x:c>
      <x:c r="N276" s="35" t="str">
        <x:v>No</x:v>
      </x:c>
      <x:c r="O276" s="35" t="n">
        <x:v>2</x:v>
      </x:c>
      <x:c r="P276" s="35" t="n">
        <x:v>4</x:v>
      </x:c>
      <x:c r="Q276" s="35" t="n">
        <x:v>3</x:v>
      </x:c>
      <x:c r="R276" s="35" t="n">
        <x:v>3</x:v>
      </x:c>
      <x:c r="S276" s="35" t="n">
        <x:v>3</x:v>
      </x:c>
      <x:c r="T276" s="35" t="n">
        <x:v>2</x:v>
      </x:c>
      <x:c r="U276" s="35" t="n">
        <x:v>1</x:v>
      </x:c>
      <x:c r="V276" s="35" t="n">
        <x:v>8</x:v>
      </x:c>
      <x:c r="W276" s="35" t="n">
        <x:v>6</x:v>
      </x:c>
      <x:c r="X276" s="35" t="n">
        <x:v>73</x:v>
      </x:c>
      <x:c r="Y276" s="35" t="n">
        <x:v>5</x:v>
      </x:c>
      <x:c r="Z276" s="35" t="n">
        <x:v>100</x:v>
      </x:c>
      <x:c r="AA276" s="35" t="n">
        <x:v>6</x:v>
      </x:c>
      <x:c r="AB276" s="35" t="n">
        <x:v>5</x:v>
      </x:c>
      <x:c r="AC276" s="35" t="n">
        <x:v>3</x:v>
      </x:c>
      <x:c r="AD276" s="35" t="n">
        <x:v>100</x:v>
      </x:c>
      <x:c r="AE276" s="35" t="n">
        <x:v>60</x:v>
      </x:c>
      <x:c r="AF276" s="35" t="n">
        <x:v>71</x:v>
      </x:c>
      <x:c r="AG276" s="35" t="n">
        <x:v>85</x:v>
      </x:c>
      <x:c r="AH276" s="35" t="n">
        <x:v>5</x:v>
      </x:c>
      <x:c r="AI276" s="37" t="n">
        <x:v>95.6</x:v>
      </x:c>
      <x:c r="AJ276" s="37" t="n">
        <x:v>93.9</x:v>
      </x:c>
      <x:c r="AK276" s="35" t="str">
        <x:v>No</x:v>
      </x:c>
      <x:c r="AL276" s="38" t="n">
        <x:f>IF(AA276=0,0,AB276/AA276)</x:f>
        <x:v>0.8333333333333334</x:v>
      </x:c>
      <x:c r="AM276" s="38" t="n">
        <x:f>IF(AB276=0,0,AC276/AB276)</x:f>
        <x:v>0.6</x:v>
      </x:c>
      <x:c r="AN276" s="37" t="n">
        <x:f>ROUND((AD276*0.20+AE276*0.20+AF276*0.25+AG276*0.15+MIN(100,AC276*12)*0.20),1)</x:f>
        <x:v>69.7</x:v>
      </x:c>
      <x:c r="AO276" s="37" t="n">
        <x:f>ROUND(MAX(0,MIN(100,(X276*0.35)+(W276/45*100*0.20)+((5-O276)/4*100*0.15)+((5-P276)/4*100*0.10)+((6-Y276)/5*100*0.10)+((100-Z276)*0.10))),1)</x:f>
        <x:v>44</x:v>
      </x:c>
      <x:c r="AP276" s="37" t="str">
        <x:f>IF(AO276&gt;=70,"High",IF(AO276&gt;=40,"Moderate","Low"))</x:f>
        <x:v>Moderate</x:v>
      </x:c>
      <x:c r="AQ276" s="37" t="n">
        <x:f>ROUND(MAX(0,MIN(100,(O276/4*100*0.25)+(P276/4*100*0.20)+(Q276/4*100*0.15)+(Y276/5*100*0.20)+(100-AO276)*0.20)),1)</x:f>
        <x:v>75</x:v>
      </x:c>
      <x:c r="AR276" s="37" t="n">
        <x:f>ROUND((AI276*0.20+AJ276*0.15+AN276*0.18+AG276*0.12+Z276*0.15+AQ276*0.20),1)</x:f>
        <x:v>86</x:v>
      </x:c>
      <x:c r="AS276" s="39" t="n">
        <x:f>ROUND((AC276*AF276*120)+(AH276*350)+(MAX(0,AI276-75)*220)+(MAX(0,AQ276-60)*100),0)</x:f>
        <x:v>33342</x:v>
      </x:c>
    </x:row>
    <x:row r="277">
      <x:c r="A277" s="35" t="n">
        <x:v>276</x:v>
      </x:c>
      <x:c r="B277" s="35" t="n">
        <x:v>49</x:v>
      </x:c>
      <x:c r="C277" s="35" t="str">
        <x:v>Male</x:v>
      </x:c>
      <x:c r="D277" s="35" t="str">
        <x:v>Sales</x:v>
      </x:c>
      <x:c r="E277" s="35" t="str">
        <x:v>Account Manager</x:v>
      </x:c>
      <x:c r="F277" s="35" t="str">
        <x:v>Marketing</x:v>
      </x:c>
      <x:c r="G277" s="35" t="str">
        <x:v>Married</x:v>
      </x:c>
      <x:c r="H277" s="35" t="n">
        <x:v>4</x:v>
      </x:c>
      <x:c r="I277" s="36" t="n">
        <x:v>18500</x:v>
      </x:c>
      <x:c r="J277" s="35" t="n">
        <x:v>14</x:v>
      </x:c>
      <x:c r="K277" s="35" t="n">
        <x:v>7</x:v>
      </x:c>
      <x:c r="L277" s="35" t="n">
        <x:v>5</x:v>
      </x:c>
      <x:c r="M277" s="35" t="n">
        <x:v>1</x:v>
      </x:c>
      <x:c r="N277" s="35" t="str">
        <x:v>No</x:v>
      </x:c>
      <x:c r="O277" s="35" t="n">
        <x:v>3</x:v>
      </x:c>
      <x:c r="P277" s="35" t="n">
        <x:v>2</x:v>
      </x:c>
      <x:c r="Q277" s="35" t="n">
        <x:v>1</x:v>
      </x:c>
      <x:c r="R277" s="35" t="n">
        <x:v>2</x:v>
      </x:c>
      <x:c r="S277" s="35" t="n">
        <x:v>3</x:v>
      </x:c>
      <x:c r="T277" s="35" t="n">
        <x:v>5</x:v>
      </x:c>
      <x:c r="U277" s="35" t="n">
        <x:v>1</x:v>
      </x:c>
      <x:c r="V277" s="35" t="n">
        <x:v>7</x:v>
      </x:c>
      <x:c r="W277" s="35" t="n">
        <x:v>2</x:v>
      </x:c>
      <x:c r="X277" s="35" t="n">
        <x:v>67</x:v>
      </x:c>
      <x:c r="Y277" s="35" t="n">
        <x:v>4</x:v>
      </x:c>
      <x:c r="Z277" s="35" t="n">
        <x:v>83</x:v>
      </x:c>
      <x:c r="AA277" s="35" t="n">
        <x:v>5</x:v>
      </x:c>
      <x:c r="AB277" s="35" t="n">
        <x:v>4</x:v>
      </x:c>
      <x:c r="AC277" s="35" t="n">
        <x:v>4</x:v>
      </x:c>
      <x:c r="AD277" s="35" t="n">
        <x:v>72</x:v>
      </x:c>
      <x:c r="AE277" s="35" t="n">
        <x:v>99</x:v>
      </x:c>
      <x:c r="AF277" s="35" t="n">
        <x:v>71</x:v>
      </x:c>
      <x:c r="AG277" s="35" t="n">
        <x:v>60</x:v>
      </x:c>
      <x:c r="AH277" s="35" t="n">
        <x:v>6</x:v>
      </x:c>
      <x:c r="AI277" s="37" t="n">
        <x:v>100</x:v>
      </x:c>
      <x:c r="AJ277" s="37" t="n">
        <x:v>81</x:v>
      </x:c>
      <x:c r="AK277" s="35" t="str">
        <x:v>No</x:v>
      </x:c>
      <x:c r="AL277" s="38" t="n">
        <x:f>IF(AA277=0,0,AB277/AA277)</x:f>
        <x:v>0.8</x:v>
      </x:c>
      <x:c r="AM277" s="38" t="n">
        <x:f>IF(AB277=0,0,AC277/AB277)</x:f>
        <x:v>1</x:v>
      </x:c>
      <x:c r="AN277" s="37" t="n">
        <x:f>ROUND((AD277*0.20+AE277*0.20+AF277*0.25+AG277*0.15+MIN(100,AC277*12)*0.20),1)</x:f>
        <x:v>70.6</x:v>
      </x:c>
      <x:c r="AO277" s="37" t="n">
        <x:f>ROUND(MAX(0,MIN(100,(X277*0.35)+(W277/45*100*0.20)+((5-O277)/4*100*0.15)+((5-P277)/4*100*0.10)+((6-Y277)/5*100*0.10)+((100-Z277)*0.10))),1)</x:f>
        <x:v>45</x:v>
      </x:c>
      <x:c r="AP277" s="37" t="str">
        <x:f>IF(AO277&gt;=70,"High",IF(AO277&gt;=40,"Moderate","Low"))</x:f>
        <x:v>Moderate</x:v>
      </x:c>
      <x:c r="AQ277" s="37" t="n">
        <x:f>ROUND(MAX(0,MIN(100,(O277/4*100*0.25)+(P277/4*100*0.20)+(Q277/4*100*0.15)+(Y277/5*100*0.20)+(100-AO277)*0.20)),1)</x:f>
        <x:v>59.5</x:v>
      </x:c>
      <x:c r="AR277" s="37" t="n">
        <x:f>ROUND((AI277*0.20+AJ277*0.15+AN277*0.18+AG277*0.12+Z277*0.15+AQ277*0.20),1)</x:f>
        <x:v>76.4</x:v>
      </x:c>
      <x:c r="AS277" s="39" t="n">
        <x:f>ROUND((AC277*AF277*120)+(AH277*350)+(MAX(0,AI277-75)*220)+(MAX(0,AQ277-60)*100),0)</x:f>
        <x:v>41680</x:v>
      </x:c>
    </x:row>
    <x:row r="278">
      <x:c r="A278" s="35" t="n">
        <x:v>277</x:v>
      </x:c>
      <x:c r="B278" s="35" t="n">
        <x:v>29</x:v>
      </x:c>
      <x:c r="C278" s="35" t="str">
        <x:v>Male</x:v>
      </x:c>
      <x:c r="D278" s="35" t="str">
        <x:v>Information Technology</x:v>
      </x:c>
      <x:c r="E278" s="35" t="str">
        <x:v>IT Support</x:v>
      </x:c>
      <x:c r="F278" s="35" t="str">
        <x:v>Technical Degree</x:v>
      </x:c>
      <x:c r="G278" s="35" t="str">
        <x:v>Married</x:v>
      </x:c>
      <x:c r="H278" s="35" t="n">
        <x:v>1</x:v>
      </x:c>
      <x:c r="I278" s="36" t="n">
        <x:v>6300</x:v>
      </x:c>
      <x:c r="J278" s="35" t="n">
        <x:v>6</x:v>
      </x:c>
      <x:c r="K278" s="35" t="n">
        <x:v>5</x:v>
      </x:c>
      <x:c r="L278" s="35" t="n">
        <x:v>1</x:v>
      </x:c>
      <x:c r="M278" s="35" t="n">
        <x:v>10</x:v>
      </x:c>
      <x:c r="N278" s="35" t="str">
        <x:v>No</x:v>
      </x:c>
      <x:c r="O278" s="35" t="n">
        <x:v>3</x:v>
      </x:c>
      <x:c r="P278" s="35" t="n">
        <x:v>4</x:v>
      </x:c>
      <x:c r="Q278" s="35" t="n">
        <x:v>4</x:v>
      </x:c>
      <x:c r="R278" s="35" t="n">
        <x:v>2</x:v>
      </x:c>
      <x:c r="S278" s="35" t="n">
        <x:v>3</x:v>
      </x:c>
      <x:c r="T278" s="35" t="n">
        <x:v>5</x:v>
      </x:c>
      <x:c r="U278" s="35" t="n">
        <x:v>1</x:v>
      </x:c>
      <x:c r="V278" s="35" t="n">
        <x:v>7</x:v>
      </x:c>
      <x:c r="W278" s="35" t="n">
        <x:v>2</x:v>
      </x:c>
      <x:c r="X278" s="35" t="n">
        <x:v>61</x:v>
      </x:c>
      <x:c r="Y278" s="35" t="n">
        <x:v>5</x:v>
      </x:c>
      <x:c r="Z278" s="35" t="n">
        <x:v>100</x:v>
      </x:c>
      <x:c r="AA278" s="35" t="n">
        <x:v>7</x:v>
      </x:c>
      <x:c r="AB278" s="35" t="n">
        <x:v>7</x:v>
      </x:c>
      <x:c r="AC278" s="35" t="n">
        <x:v>7</x:v>
      </x:c>
      <x:c r="AD278" s="35" t="n">
        <x:v>83</x:v>
      </x:c>
      <x:c r="AE278" s="35" t="n">
        <x:v>88</x:v>
      </x:c>
      <x:c r="AF278" s="35" t="n">
        <x:v>86</x:v>
      </x:c>
      <x:c r="AG278" s="35" t="n">
        <x:v>82</x:v>
      </x:c>
      <x:c r="AH278" s="35" t="n">
        <x:v>9</x:v>
      </x:c>
      <x:c r="AI278" s="37" t="n">
        <x:v>93.8</x:v>
      </x:c>
      <x:c r="AJ278" s="37" t="n">
        <x:v>90</x:v>
      </x:c>
      <x:c r="AK278" s="35" t="str">
        <x:v>No</x:v>
      </x:c>
      <x:c r="AL278" s="38" t="n">
        <x:f>IF(AA278=0,0,AB278/AA278)</x:f>
        <x:v>1</x:v>
      </x:c>
      <x:c r="AM278" s="38" t="n">
        <x:f>IF(AB278=0,0,AC278/AB278)</x:f>
        <x:v>1</x:v>
      </x:c>
      <x:c r="AN278" s="37" t="n">
        <x:f>ROUND((AD278*0.20+AE278*0.20+AF278*0.25+AG278*0.15+MIN(100,AC278*12)*0.20),1)</x:f>
        <x:v>84.8</x:v>
      </x:c>
      <x:c r="AO278" s="37" t="n">
        <x:f>ROUND(MAX(0,MIN(100,(X278*0.35)+(W278/45*100*0.20)+((5-O278)/4*100*0.15)+((5-P278)/4*100*0.10)+((6-Y278)/5*100*0.10)+((100-Z278)*0.10))),1)</x:f>
        <x:v>34.2</x:v>
      </x:c>
      <x:c r="AP278" s="37" t="str">
        <x:f>IF(AO278&gt;=70,"High",IF(AO278&gt;=40,"Moderate","Low"))</x:f>
        <x:v>Low</x:v>
      </x:c>
      <x:c r="AQ278" s="37" t="n">
        <x:f>ROUND(MAX(0,MIN(100,(O278/4*100*0.25)+(P278/4*100*0.20)+(Q278/4*100*0.15)+(Y278/5*100*0.20)+(100-AO278)*0.20)),1)</x:f>
        <x:v>86.9</x:v>
      </x:c>
      <x:c r="AR278" s="37" t="n">
        <x:f>ROUND((AI278*0.20+AJ278*0.15+AN278*0.18+AG278*0.12+Z278*0.15+AQ278*0.20),1)</x:f>
        <x:v>89.7</x:v>
      </x:c>
      <x:c r="AS278" s="39" t="n">
        <x:f>ROUND((AC278*AF278*120)+(AH278*350)+(MAX(0,AI278-75)*220)+(MAX(0,AQ278-60)*100),0)</x:f>
        <x:v>82216</x:v>
      </x:c>
    </x:row>
    <x:row r="279">
      <x:c r="A279" s="35" t="n">
        <x:v>278</x:v>
      </x:c>
      <x:c r="B279" s="35" t="n">
        <x:v>27</x:v>
      </x:c>
      <x:c r="C279" s="35" t="str">
        <x:v>Male</x:v>
      </x:c>
      <x:c r="D279" s="35" t="str">
        <x:v>Operations</x:v>
      </x:c>
      <x:c r="E279" s="35" t="str">
        <x:v>Quality Specialist</x:v>
      </x:c>
      <x:c r="F279" s="35" t="str">
        <x:v>Technical Degree</x:v>
      </x:c>
      <x:c r="G279" s="35" t="str">
        <x:v>Married</x:v>
      </x:c>
      <x:c r="H279" s="35" t="n">
        <x:v>1</x:v>
      </x:c>
      <x:c r="I279" s="36" t="n">
        <x:v>5810</x:v>
      </x:c>
      <x:c r="J279" s="35" t="n">
        <x:v>4</x:v>
      </x:c>
      <x:c r="K279" s="35" t="n">
        <x:v>3</x:v>
      </x:c>
      <x:c r="L279" s="35" t="n">
        <x:v>2</x:v>
      </x:c>
      <x:c r="M279" s="35" t="n">
        <x:v>7</x:v>
      </x:c>
      <x:c r="N279" s="35" t="str">
        <x:v>No</x:v>
      </x:c>
      <x:c r="O279" s="35" t="n">
        <x:v>2</x:v>
      </x:c>
      <x:c r="P279" s="35" t="n">
        <x:v>3</x:v>
      </x:c>
      <x:c r="Q279" s="35" t="n">
        <x:v>2</x:v>
      </x:c>
      <x:c r="R279" s="35" t="n">
        <x:v>3</x:v>
      </x:c>
      <x:c r="S279" s="35" t="n">
        <x:v>3</x:v>
      </x:c>
      <x:c r="T279" s="35" t="n">
        <x:v>3</x:v>
      </x:c>
      <x:c r="U279" s="35" t="n">
        <x:v>0</x:v>
      </x:c>
      <x:c r="V279" s="35" t="n">
        <x:v>4</x:v>
      </x:c>
      <x:c r="W279" s="35" t="n">
        <x:v>20</x:v>
      </x:c>
      <x:c r="X279" s="35" t="n">
        <x:v>51</x:v>
      </x:c>
      <x:c r="Y279" s="35" t="n">
        <x:v>4</x:v>
      </x:c>
      <x:c r="Z279" s="35" t="n">
        <x:v>100</x:v>
      </x:c>
      <x:c r="AA279" s="35" t="n">
        <x:v>3</x:v>
      </x:c>
      <x:c r="AB279" s="35" t="n">
        <x:v>3</x:v>
      </x:c>
      <x:c r="AC279" s="35" t="n">
        <x:v>3</x:v>
      </x:c>
      <x:c r="AD279" s="35" t="n">
        <x:v>56</x:v>
      </x:c>
      <x:c r="AE279" s="35" t="n">
        <x:v>73</x:v>
      </x:c>
      <x:c r="AF279" s="35" t="n">
        <x:v>50</x:v>
      </x:c>
      <x:c r="AG279" s="35" t="n">
        <x:v>80</x:v>
      </x:c>
      <x:c r="AH279" s="35" t="n">
        <x:v>5</x:v>
      </x:c>
      <x:c r="AI279" s="37" t="n">
        <x:v>95.1</x:v>
      </x:c>
      <x:c r="AJ279" s="37" t="n">
        <x:v>88</x:v>
      </x:c>
      <x:c r="AK279" s="35" t="str">
        <x:v>No</x:v>
      </x:c>
      <x:c r="AL279" s="38" t="n">
        <x:f>IF(AA279=0,0,AB279/AA279)</x:f>
        <x:v>1</x:v>
      </x:c>
      <x:c r="AM279" s="38" t="n">
        <x:f>IF(AB279=0,0,AC279/AB279)</x:f>
        <x:v>1</x:v>
      </x:c>
      <x:c r="AN279" s="37" t="n">
        <x:f>ROUND((AD279*0.20+AE279*0.20+AF279*0.25+AG279*0.15+MIN(100,AC279*12)*0.20),1)</x:f>
        <x:v>57.5</x:v>
      </x:c>
      <x:c r="AO279" s="37" t="n">
        <x:f>ROUND(MAX(0,MIN(100,(X279*0.35)+(W279/45*100*0.20)+((5-O279)/4*100*0.15)+((5-P279)/4*100*0.10)+((6-Y279)/5*100*0.10)+((100-Z279)*0.10))),1)</x:f>
        <x:v>47</x:v>
      </x:c>
      <x:c r="AP279" s="37" t="str">
        <x:f>IF(AO279&gt;=70,"High",IF(AO279&gt;=40,"Moderate","Low"))</x:f>
        <x:v>Moderate</x:v>
      </x:c>
      <x:c r="AQ279" s="37" t="n">
        <x:f>ROUND(MAX(0,MIN(100,(O279/4*100*0.25)+(P279/4*100*0.20)+(Q279/4*100*0.15)+(Y279/5*100*0.20)+(100-AO279)*0.20)),1)</x:f>
        <x:v>61.6</x:v>
      </x:c>
      <x:c r="AR279" s="37" t="n">
        <x:f>ROUND((AI279*0.20+AJ279*0.15+AN279*0.18+AG279*0.12+Z279*0.15+AQ279*0.20),1)</x:f>
        <x:v>79.5</x:v>
      </x:c>
      <x:c r="AS279" s="39" t="n">
        <x:f>ROUND((AC279*AF279*120)+(AH279*350)+(MAX(0,AI279-75)*220)+(MAX(0,AQ279-60)*100),0)</x:f>
        <x:v>24332</x:v>
      </x:c>
    </x:row>
    <x:row r="280">
      <x:c r="A280" s="35" t="n">
        <x:v>279</x:v>
      </x:c>
      <x:c r="B280" s="35" t="n">
        <x:v>29</x:v>
      </x:c>
      <x:c r="C280" s="35" t="str">
        <x:v>Male</x:v>
      </x:c>
      <x:c r="D280" s="35" t="str">
        <x:v>Research &amp; Development</x:v>
      </x:c>
      <x:c r="E280" s="35" t="str">
        <x:v>Data Scientist</x:v>
      </x:c>
      <x:c r="F280" s="35" t="str">
        <x:v>Medical</x:v>
      </x:c>
      <x:c r="G280" s="35" t="str">
        <x:v>Married</x:v>
      </x:c>
      <x:c r="H280" s="35" t="n">
        <x:v>1</x:v>
      </x:c>
      <x:c r="I280" s="36" t="n">
        <x:v>5810</x:v>
      </x:c>
      <x:c r="J280" s="35" t="n">
        <x:v>4</x:v>
      </x:c>
      <x:c r="K280" s="35" t="n">
        <x:v>1</x:v>
      </x:c>
      <x:c r="L280" s="35" t="n">
        <x:v>0</x:v>
      </x:c>
      <x:c r="M280" s="35" t="n">
        <x:v>11</x:v>
      </x:c>
      <x:c r="N280" s="35" t="str">
        <x:v>No</x:v>
      </x:c>
      <x:c r="O280" s="35" t="n">
        <x:v>3</x:v>
      </x:c>
      <x:c r="P280" s="35" t="n">
        <x:v>3</x:v>
      </x:c>
      <x:c r="Q280" s="35" t="n">
        <x:v>3</x:v>
      </x:c>
      <x:c r="R280" s="35" t="n">
        <x:v>3</x:v>
      </x:c>
      <x:c r="S280" s="35" t="n">
        <x:v>3</x:v>
      </x:c>
      <x:c r="T280" s="35" t="n">
        <x:v>2</x:v>
      </x:c>
      <x:c r="U280" s="35" t="n">
        <x:v>0</x:v>
      </x:c>
      <x:c r="V280" s="35" t="n">
        <x:v>11</x:v>
      </x:c>
      <x:c r="W280" s="35" t="n">
        <x:v>0</x:v>
      </x:c>
      <x:c r="X280" s="35" t="n">
        <x:v>69</x:v>
      </x:c>
      <x:c r="Y280" s="35" t="n">
        <x:v>5</x:v>
      </x:c>
      <x:c r="Z280" s="35" t="n">
        <x:v>100</x:v>
      </x:c>
      <x:c r="AA280" s="35" t="n">
        <x:v>4</x:v>
      </x:c>
      <x:c r="AB280" s="35" t="n">
        <x:v>3</x:v>
      </x:c>
      <x:c r="AC280" s="35" t="n">
        <x:v>3</x:v>
      </x:c>
      <x:c r="AD280" s="35" t="n">
        <x:v>75</x:v>
      </x:c>
      <x:c r="AE280" s="35" t="n">
        <x:v>73</x:v>
      </x:c>
      <x:c r="AF280" s="35" t="n">
        <x:v>76</x:v>
      </x:c>
      <x:c r="AG280" s="35" t="n">
        <x:v>92</x:v>
      </x:c>
      <x:c r="AH280" s="35" t="n">
        <x:v>3</x:v>
      </x:c>
      <x:c r="AI280" s="37" t="n">
        <x:v>92.6</x:v>
      </x:c>
      <x:c r="AJ280" s="37" t="n">
        <x:v>94.6</x:v>
      </x:c>
      <x:c r="AK280" s="35" t="str">
        <x:v>No</x:v>
      </x:c>
      <x:c r="AL280" s="38" t="n">
        <x:f>IF(AA280=0,0,AB280/AA280)</x:f>
        <x:v>0.75</x:v>
      </x:c>
      <x:c r="AM280" s="38" t="n">
        <x:f>IF(AB280=0,0,AC280/AB280)</x:f>
        <x:v>1</x:v>
      </x:c>
      <x:c r="AN280" s="37" t="n">
        <x:f>ROUND((AD280*0.20+AE280*0.20+AF280*0.25+AG280*0.15+MIN(100,AC280*12)*0.20),1)</x:f>
        <x:v>69.6</x:v>
      </x:c>
      <x:c r="AO280" s="37" t="n">
        <x:f>ROUND(MAX(0,MIN(100,(X280*0.35)+(W280/45*100*0.20)+((5-O280)/4*100*0.15)+((5-P280)/4*100*0.10)+((6-Y280)/5*100*0.10)+((100-Z280)*0.10))),1)</x:f>
        <x:v>38.7</x:v>
      </x:c>
      <x:c r="AP280" s="37" t="str">
        <x:f>IF(AO280&gt;=70,"High",IF(AO280&gt;=40,"Moderate","Low"))</x:f>
        <x:v>Low</x:v>
      </x:c>
      <x:c r="AQ280" s="37" t="n">
        <x:f>ROUND(MAX(0,MIN(100,(O280/4*100*0.25)+(P280/4*100*0.20)+(Q280/4*100*0.15)+(Y280/5*100*0.20)+(100-AO280)*0.20)),1)</x:f>
        <x:v>77.3</x:v>
      </x:c>
      <x:c r="AR280" s="37" t="n">
        <x:f>ROUND((AI280*0.20+AJ280*0.15+AN280*0.18+AG280*0.12+Z280*0.15+AQ280*0.20),1)</x:f>
        <x:v>86.7</x:v>
      </x:c>
      <x:c r="AS280" s="39" t="n">
        <x:f>ROUND((AC280*AF280*120)+(AH280*350)+(MAX(0,AI280-75)*220)+(MAX(0,AQ280-60)*100),0)</x:f>
        <x:v>34012</x:v>
      </x:c>
    </x:row>
    <x:row r="281">
      <x:c r="A281" s="35" t="n">
        <x:v>280</x:v>
      </x:c>
      <x:c r="B281" s="35" t="n">
        <x:v>32</x:v>
      </x:c>
      <x:c r="C281" s="35" t="str">
        <x:v>Female</x:v>
      </x:c>
      <x:c r="D281" s="35" t="str">
        <x:v>Finance</x:v>
      </x:c>
      <x:c r="E281" s="35" t="str">
        <x:v>Financial Analyst</x:v>
      </x:c>
      <x:c r="F281" s="35" t="str">
        <x:v>Life Sciences</x:v>
      </x:c>
      <x:c r="G281" s="35" t="str">
        <x:v>Single</x:v>
      </x:c>
      <x:c r="H281" s="35" t="n">
        <x:v>1</x:v>
      </x:c>
      <x:c r="I281" s="36" t="n">
        <x:v>5060</x:v>
      </x:c>
      <x:c r="J281" s="35" t="n">
        <x:v>9</x:v>
      </x:c>
      <x:c r="K281" s="35" t="n">
        <x:v>3</x:v>
      </x:c>
      <x:c r="L281" s="35" t="n">
        <x:v>1</x:v>
      </x:c>
      <x:c r="M281" s="35" t="n">
        <x:v>8</x:v>
      </x:c>
      <x:c r="N281" s="35" t="str">
        <x:v>No</x:v>
      </x:c>
      <x:c r="O281" s="35" t="n">
        <x:v>3</x:v>
      </x:c>
      <x:c r="P281" s="35" t="n">
        <x:v>3</x:v>
      </x:c>
      <x:c r="Q281" s="35" t="n">
        <x:v>3</x:v>
      </x:c>
      <x:c r="R281" s="35" t="n">
        <x:v>4</x:v>
      </x:c>
      <x:c r="S281" s="35" t="n">
        <x:v>3</x:v>
      </x:c>
      <x:c r="T281" s="35" t="n">
        <x:v>4</x:v>
      </x:c>
      <x:c r="U281" s="35" t="n">
        <x:v>1</x:v>
      </x:c>
      <x:c r="V281" s="35" t="n">
        <x:v>3</x:v>
      </x:c>
      <x:c r="W281" s="35" t="n">
        <x:v>11</x:v>
      </x:c>
      <x:c r="X281" s="35" t="n">
        <x:v>55</x:v>
      </x:c>
      <x:c r="Y281" s="35" t="n">
        <x:v>5</x:v>
      </x:c>
      <x:c r="Z281" s="35" t="n">
        <x:v>100</x:v>
      </x:c>
      <x:c r="AA281" s="35" t="n">
        <x:v>4</x:v>
      </x:c>
      <x:c r="AB281" s="35" t="n">
        <x:v>4</x:v>
      </x:c>
      <x:c r="AC281" s="35" t="n">
        <x:v>4</x:v>
      </x:c>
      <x:c r="AD281" s="35" t="n">
        <x:v>53</x:v>
      </x:c>
      <x:c r="AE281" s="35" t="n">
        <x:v>81</x:v>
      </x:c>
      <x:c r="AF281" s="35" t="n">
        <x:v>67</x:v>
      </x:c>
      <x:c r="AG281" s="35" t="n">
        <x:v>100</x:v>
      </x:c>
      <x:c r="AH281" s="35" t="n">
        <x:v>8</x:v>
      </x:c>
      <x:c r="AI281" s="37" t="n">
        <x:v>99.4</x:v>
      </x:c>
      <x:c r="AJ281" s="37" t="n">
        <x:v>100</x:v>
      </x:c>
      <x:c r="AK281" s="35" t="str">
        <x:v>No</x:v>
      </x:c>
      <x:c r="AL281" s="38" t="n">
        <x:f>IF(AA281=0,0,AB281/AA281)</x:f>
        <x:v>1</x:v>
      </x:c>
      <x:c r="AM281" s="38" t="n">
        <x:f>IF(AB281=0,0,AC281/AB281)</x:f>
        <x:v>1</x:v>
      </x:c>
      <x:c r="AN281" s="37" t="n">
        <x:f>ROUND((AD281*0.20+AE281*0.20+AF281*0.25+AG281*0.15+MIN(100,AC281*12)*0.20),1)</x:f>
        <x:v>68.2</x:v>
      </x:c>
      <x:c r="AO281" s="37" t="n">
        <x:f>ROUND(MAX(0,MIN(100,(X281*0.35)+(W281/45*100*0.20)+((5-O281)/4*100*0.15)+((5-P281)/4*100*0.10)+((6-Y281)/5*100*0.10)+((100-Z281)*0.10))),1)</x:f>
        <x:v>38.6</x:v>
      </x:c>
      <x:c r="AP281" s="37" t="str">
        <x:f>IF(AO281&gt;=70,"High",IF(AO281&gt;=40,"Moderate","Low"))</x:f>
        <x:v>Low</x:v>
      </x:c>
      <x:c r="AQ281" s="37" t="n">
        <x:f>ROUND(MAX(0,MIN(100,(O281/4*100*0.25)+(P281/4*100*0.20)+(Q281/4*100*0.15)+(Y281/5*100*0.20)+(100-AO281)*0.20)),1)</x:f>
        <x:v>77.3</x:v>
      </x:c>
      <x:c r="AR281" s="37" t="n">
        <x:f>ROUND((AI281*0.20+AJ281*0.15+AN281*0.18+AG281*0.12+Z281*0.15+AQ281*0.20),1)</x:f>
        <x:v>89.6</x:v>
      </x:c>
      <x:c r="AS281" s="39" t="n">
        <x:f>ROUND((AC281*AF281*120)+(AH281*350)+(MAX(0,AI281-75)*220)+(MAX(0,AQ281-60)*100),0)</x:f>
        <x:v>42058</x:v>
      </x:c>
    </x:row>
    <x:row r="282">
      <x:c r="A282" s="35" t="n">
        <x:v>281</x:v>
      </x:c>
      <x:c r="B282" s="35" t="n">
        <x:v>46</x:v>
      </x:c>
      <x:c r="C282" s="35" t="str">
        <x:v>Female</x:v>
      </x:c>
      <x:c r="D282" s="35" t="str">
        <x:v>Research &amp; Development</x:v>
      </x:c>
      <x:c r="E282" s="35" t="str">
        <x:v>Data Scientist</x:v>
      </x:c>
      <x:c r="F282" s="35" t="str">
        <x:v>Human Resources</x:v>
      </x:c>
      <x:c r="G282" s="35" t="str">
        <x:v>Married</x:v>
      </x:c>
      <x:c r="H282" s="35" t="n">
        <x:v>3</x:v>
      </x:c>
      <x:c r="I282" s="36" t="n">
        <x:v>13750</x:v>
      </x:c>
      <x:c r="J282" s="35" t="n">
        <x:v>22</x:v>
      </x:c>
      <x:c r="K282" s="35" t="n">
        <x:v>15</x:v>
      </x:c>
      <x:c r="L282" s="35" t="n">
        <x:v>11</x:v>
      </x:c>
      <x:c r="M282" s="35" t="n">
        <x:v>1</x:v>
      </x:c>
      <x:c r="N282" s="35" t="str">
        <x:v>Yes</x:v>
      </x:c>
      <x:c r="O282" s="35" t="n">
        <x:v>3</x:v>
      </x:c>
      <x:c r="P282" s="35" t="n">
        <x:v>2</x:v>
      </x:c>
      <x:c r="Q282" s="35" t="n">
        <x:v>3</x:v>
      </x:c>
      <x:c r="R282" s="35" t="n">
        <x:v>3</x:v>
      </x:c>
      <x:c r="S282" s="35" t="n">
        <x:v>3</x:v>
      </x:c>
      <x:c r="T282" s="35" t="n">
        <x:v>3</x:v>
      </x:c>
      <x:c r="U282" s="35" t="n">
        <x:v>2</x:v>
      </x:c>
      <x:c r="V282" s="35" t="n">
        <x:v>7</x:v>
      </x:c>
      <x:c r="W282" s="35" t="n">
        <x:v>21</x:v>
      </x:c>
      <x:c r="X282" s="35" t="n">
        <x:v>78</x:v>
      </x:c>
      <x:c r="Y282" s="35" t="n">
        <x:v>4</x:v>
      </x:c>
      <x:c r="Z282" s="35" t="n">
        <x:v>98</x:v>
      </x:c>
      <x:c r="AA282" s="35" t="n">
        <x:v>14</x:v>
      </x:c>
      <x:c r="AB282" s="35" t="n">
        <x:v>12</x:v>
      </x:c>
      <x:c r="AC282" s="35" t="n">
        <x:v>10</x:v>
      </x:c>
      <x:c r="AD282" s="35" t="n">
        <x:v>90</x:v>
      </x:c>
      <x:c r="AE282" s="35" t="n">
        <x:v>94</x:v>
      </x:c>
      <x:c r="AF282" s="35" t="n">
        <x:v>92</x:v>
      </x:c>
      <x:c r="AG282" s="35" t="n">
        <x:v>85</x:v>
      </x:c>
      <x:c r="AH282" s="35" t="n">
        <x:v>12</x:v>
      </x:c>
      <x:c r="AI282" s="37" t="n">
        <x:v>100</x:v>
      </x:c>
      <x:c r="AJ282" s="37" t="n">
        <x:v>98.8</x:v>
      </x:c>
      <x:c r="AK282" s="35" t="str">
        <x:v>No</x:v>
      </x:c>
      <x:c r="AL282" s="38" t="n">
        <x:f>IF(AA282=0,0,AB282/AA282)</x:f>
        <x:v>0.8571428571428571</x:v>
      </x:c>
      <x:c r="AM282" s="38" t="n">
        <x:f>IF(AB282=0,0,AC282/AB282)</x:f>
        <x:v>0.8333333333333334</x:v>
      </x:c>
      <x:c r="AN282" s="37" t="n">
        <x:f>ROUND((AD282*0.20+AE282*0.20+AF282*0.25+AG282*0.15+MIN(100,AC282*12)*0.20),1)</x:f>
        <x:v>92.6</x:v>
      </x:c>
      <x:c r="AO282" s="37" t="n">
        <x:f>ROUND(MAX(0,MIN(100,(X282*0.35)+(W282/45*100*0.20)+((5-O282)/4*100*0.15)+((5-P282)/4*100*0.10)+((6-Y282)/5*100*0.10)+((100-Z282)*0.10))),1)</x:f>
        <x:v>55.8</x:v>
      </x:c>
      <x:c r="AP282" s="37" t="str">
        <x:f>IF(AO282&gt;=70,"High",IF(AO282&gt;=40,"Moderate","Low"))</x:f>
        <x:v>Moderate</x:v>
      </x:c>
      <x:c r="AQ282" s="37" t="n">
        <x:f>ROUND(MAX(0,MIN(100,(O282/4*100*0.25)+(P282/4*100*0.20)+(Q282/4*100*0.15)+(Y282/5*100*0.20)+(100-AO282)*0.20)),1)</x:f>
        <x:v>64.8</x:v>
      </x:c>
      <x:c r="AR282" s="37" t="n">
        <x:f>ROUND((AI282*0.20+AJ282*0.15+AN282*0.18+AG282*0.12+Z282*0.15+AQ282*0.20),1)</x:f>
        <x:v>89.3</x:v>
      </x:c>
      <x:c r="AS282" s="39" t="n">
        <x:f>ROUND((AC282*AF282*120)+(AH282*350)+(MAX(0,AI282-75)*220)+(MAX(0,AQ282-60)*100),0)</x:f>
        <x:v>120580</x:v>
      </x:c>
    </x:row>
    <x:row r="283">
      <x:c r="A283" s="35" t="n">
        <x:v>282</x:v>
      </x:c>
      <x:c r="B283" s="35" t="n">
        <x:v>37</x:v>
      </x:c>
      <x:c r="C283" s="35" t="str">
        <x:v>Male</x:v>
      </x:c>
      <x:c r="D283" s="35" t="str">
        <x:v>Sales</x:v>
      </x:c>
      <x:c r="E283" s="35" t="str">
        <x:v>Sales Representative</x:v>
      </x:c>
      <x:c r="F283" s="35" t="str">
        <x:v>Human Resources</x:v>
      </x:c>
      <x:c r="G283" s="35" t="str">
        <x:v>Married</x:v>
      </x:c>
      <x:c r="H283" s="35" t="n">
        <x:v>3</x:v>
      </x:c>
      <x:c r="I283" s="36" t="n">
        <x:v>13850</x:v>
      </x:c>
      <x:c r="J283" s="35" t="n">
        <x:v>13</x:v>
      </x:c>
      <x:c r="K283" s="35" t="n">
        <x:v>8</x:v>
      </x:c>
      <x:c r="L283" s="35" t="n">
        <x:v>3</x:v>
      </x:c>
      <x:c r="M283" s="35" t="n">
        <x:v>3</x:v>
      </x:c>
      <x:c r="N283" s="35" t="str">
        <x:v>No</x:v>
      </x:c>
      <x:c r="O283" s="35" t="n">
        <x:v>3</x:v>
      </x:c>
      <x:c r="P283" s="35" t="n">
        <x:v>3</x:v>
      </x:c>
      <x:c r="Q283" s="35" t="n">
        <x:v>2</x:v>
      </x:c>
      <x:c r="R283" s="35" t="n">
        <x:v>1</x:v>
      </x:c>
      <x:c r="S283" s="35" t="n">
        <x:v>3</x:v>
      </x:c>
      <x:c r="T283" s="35" t="n">
        <x:v>2</x:v>
      </x:c>
      <x:c r="U283" s="35" t="n">
        <x:v>1</x:v>
      </x:c>
      <x:c r="V283" s="35" t="n">
        <x:v>6</x:v>
      </x:c>
      <x:c r="W283" s="35" t="n">
        <x:v>3</x:v>
      </x:c>
      <x:c r="X283" s="35" t="n">
        <x:v>75</x:v>
      </x:c>
      <x:c r="Y283" s="35" t="n">
        <x:v>5</x:v>
      </x:c>
      <x:c r="Z283" s="35" t="n">
        <x:v>90</x:v>
      </x:c>
      <x:c r="AA283" s="35" t="n">
        <x:v>10</x:v>
      </x:c>
      <x:c r="AB283" s="35" t="n">
        <x:v>8</x:v>
      </x:c>
      <x:c r="AC283" s="35" t="n">
        <x:v>6</x:v>
      </x:c>
      <x:c r="AD283" s="35" t="n">
        <x:v>71</x:v>
      </x:c>
      <x:c r="AE283" s="35" t="n">
        <x:v>93</x:v>
      </x:c>
      <x:c r="AF283" s="35" t="n">
        <x:v>83</x:v>
      </x:c>
      <x:c r="AG283" s="35" t="n">
        <x:v>84</x:v>
      </x:c>
      <x:c r="AH283" s="35" t="n">
        <x:v>7</x:v>
      </x:c>
      <x:c r="AI283" s="37" t="n">
        <x:v>88.6</x:v>
      </x:c>
      <x:c r="AJ283" s="37" t="n">
        <x:v>96.8</x:v>
      </x:c>
      <x:c r="AK283" s="35" t="str">
        <x:v>No</x:v>
      </x:c>
      <x:c r="AL283" s="38" t="n">
        <x:f>IF(AA283=0,0,AB283/AA283)</x:f>
        <x:v>0.8</x:v>
      </x:c>
      <x:c r="AM283" s="38" t="n">
        <x:f>IF(AB283=0,0,AC283/AB283)</x:f>
        <x:v>0.75</x:v>
      </x:c>
      <x:c r="AN283" s="37" t="n">
        <x:f>ROUND((AD283*0.20+AE283*0.20+AF283*0.25+AG283*0.15+MIN(100,AC283*12)*0.20),1)</x:f>
        <x:v>80.6</x:v>
      </x:c>
      <x:c r="AO283" s="37" t="n">
        <x:f>ROUND(MAX(0,MIN(100,(X283*0.35)+(W283/45*100*0.20)+((5-O283)/4*100*0.15)+((5-P283)/4*100*0.10)+((6-Y283)/5*100*0.10)+((100-Z283)*0.10))),1)</x:f>
        <x:v>43.1</x:v>
      </x:c>
      <x:c r="AP283" s="37" t="str">
        <x:f>IF(AO283&gt;=70,"High",IF(AO283&gt;=40,"Moderate","Low"))</x:f>
        <x:v>Moderate</x:v>
      </x:c>
      <x:c r="AQ283" s="37" t="n">
        <x:f>ROUND(MAX(0,MIN(100,(O283/4*100*0.25)+(P283/4*100*0.20)+(Q283/4*100*0.15)+(Y283/5*100*0.20)+(100-AO283)*0.20)),1)</x:f>
        <x:v>72.6</x:v>
      </x:c>
      <x:c r="AR283" s="37" t="n">
        <x:f>ROUND((AI283*0.20+AJ283*0.15+AN283*0.18+AG283*0.12+Z283*0.15+AQ283*0.20),1)</x:f>
        <x:v>84.8</x:v>
      </x:c>
      <x:c r="AS283" s="39" t="n">
        <x:f>ROUND((AC283*AF283*120)+(AH283*350)+(MAX(0,AI283-75)*220)+(MAX(0,AQ283-60)*100),0)</x:f>
        <x:v>66462</x:v>
      </x:c>
    </x:row>
    <x:row r="284">
      <x:c r="A284" s="35" t="n">
        <x:v>283</x:v>
      </x:c>
      <x:c r="B284" s="35" t="n">
        <x:v>27</x:v>
      </x:c>
      <x:c r="C284" s="35" t="str">
        <x:v>Female</x:v>
      </x:c>
      <x:c r="D284" s="35" t="str">
        <x:v>Research &amp; Development</x:v>
      </x:c>
      <x:c r="E284" s="35" t="str">
        <x:v>Data Scientist</x:v>
      </x:c>
      <x:c r="F284" s="35" t="str">
        <x:v>Life Sciences</x:v>
      </x:c>
      <x:c r="G284" s="35" t="str">
        <x:v>Single</x:v>
      </x:c>
      <x:c r="H284" s="35" t="n">
        <x:v>1</x:v>
      </x:c>
      <x:c r="I284" s="36" t="n">
        <x:v>5760</x:v>
      </x:c>
      <x:c r="J284" s="35" t="n">
        <x:v>4</x:v>
      </x:c>
      <x:c r="K284" s="35" t="n">
        <x:v>2</x:v>
      </x:c>
      <x:c r="L284" s="35" t="n">
        <x:v>1</x:v>
      </x:c>
      <x:c r="M284" s="35" t="n">
        <x:v>12</x:v>
      </x:c>
      <x:c r="N284" s="35" t="str">
        <x:v>No</x:v>
      </x:c>
      <x:c r="O284" s="35" t="n">
        <x:v>3</x:v>
      </x:c>
      <x:c r="P284" s="35" t="n">
        <x:v>4</x:v>
      </x:c>
      <x:c r="Q284" s="35" t="n">
        <x:v>3</x:v>
      </x:c>
      <x:c r="R284" s="35" t="n">
        <x:v>3</x:v>
      </x:c>
      <x:c r="S284" s="35" t="n">
        <x:v>3</x:v>
      </x:c>
      <x:c r="T284" s="35" t="n">
        <x:v>6</x:v>
      </x:c>
      <x:c r="U284" s="35" t="n">
        <x:v>0</x:v>
      </x:c>
      <x:c r="V284" s="35" t="n">
        <x:v>9</x:v>
      </x:c>
      <x:c r="W284" s="35" t="n">
        <x:v>13</x:v>
      </x:c>
      <x:c r="X284" s="35" t="n">
        <x:v>77</x:v>
      </x:c>
      <x:c r="Y284" s="35" t="n">
        <x:v>4</x:v>
      </x:c>
      <x:c r="Z284" s="35" t="n">
        <x:v>100</x:v>
      </x:c>
      <x:c r="AA284" s="35" t="n">
        <x:v>9</x:v>
      </x:c>
      <x:c r="AB284" s="35" t="n">
        <x:v>7</x:v>
      </x:c>
      <x:c r="AC284" s="35" t="n">
        <x:v>6</x:v>
      </x:c>
      <x:c r="AD284" s="35" t="n">
        <x:v>85</x:v>
      </x:c>
      <x:c r="AE284" s="35" t="n">
        <x:v>90</x:v>
      </x:c>
      <x:c r="AF284" s="35" t="n">
        <x:v>91</x:v>
      </x:c>
      <x:c r="AG284" s="35" t="n">
        <x:v>77</x:v>
      </x:c>
      <x:c r="AH284" s="35" t="n">
        <x:v>10</x:v>
      </x:c>
      <x:c r="AI284" s="37" t="n">
        <x:v>100</x:v>
      </x:c>
      <x:c r="AJ284" s="37" t="n">
        <x:v>99.5</x:v>
      </x:c>
      <x:c r="AK284" s="35" t="str">
        <x:v>No</x:v>
      </x:c>
      <x:c r="AL284" s="38" t="n">
        <x:f>IF(AA284=0,0,AB284/AA284)</x:f>
        <x:v>0.7777777777777778</x:v>
      </x:c>
      <x:c r="AM284" s="38" t="n">
        <x:f>IF(AB284=0,0,AC284/AB284)</x:f>
        <x:v>0.8571428571428571</x:v>
      </x:c>
      <x:c r="AN284" s="37" t="n">
        <x:f>ROUND((AD284*0.20+AE284*0.20+AF284*0.25+AG284*0.15+MIN(100,AC284*12)*0.20),1)</x:f>
        <x:v>83.7</x:v>
      </x:c>
      <x:c r="AO284" s="37" t="n">
        <x:f>ROUND(MAX(0,MIN(100,(X284*0.35)+(W284/45*100*0.20)+((5-O284)/4*100*0.15)+((5-P284)/4*100*0.10)+((6-Y284)/5*100*0.10)+((100-Z284)*0.10))),1)</x:f>
        <x:v>46.7</x:v>
      </x:c>
      <x:c r="AP284" s="37" t="str">
        <x:f>IF(AO284&gt;=70,"High",IF(AO284&gt;=40,"Moderate","Low"))</x:f>
        <x:v>Moderate</x:v>
      </x:c>
      <x:c r="AQ284" s="37" t="n">
        <x:f>ROUND(MAX(0,MIN(100,(O284/4*100*0.25)+(P284/4*100*0.20)+(Q284/4*100*0.15)+(Y284/5*100*0.20)+(100-AO284)*0.20)),1)</x:f>
        <x:v>76.7</x:v>
      </x:c>
      <x:c r="AR284" s="37" t="n">
        <x:f>ROUND((AI284*0.20+AJ284*0.15+AN284*0.18+AG284*0.12+Z284*0.15+AQ284*0.20),1)</x:f>
        <x:v>89.6</x:v>
      </x:c>
      <x:c r="AS284" s="39" t="n">
        <x:f>ROUND((AC284*AF284*120)+(AH284*350)+(MAX(0,AI284-75)*220)+(MAX(0,AQ284-60)*100),0)</x:f>
        <x:v>76190</x:v>
      </x:c>
    </x:row>
    <x:row r="285">
      <x:c r="A285" s="35" t="n">
        <x:v>284</x:v>
      </x:c>
      <x:c r="B285" s="35" t="n">
        <x:v>44</x:v>
      </x:c>
      <x:c r="C285" s="35" t="str">
        <x:v>Male</x:v>
      </x:c>
      <x:c r="D285" s="35" t="str">
        <x:v>Research &amp; Development</x:v>
      </x:c>
      <x:c r="E285" s="35" t="str">
        <x:v>Laboratory Technician</x:v>
      </x:c>
      <x:c r="F285" s="35" t="str">
        <x:v>Marketing</x:v>
      </x:c>
      <x:c r="G285" s="35" t="str">
        <x:v>Divorced</x:v>
      </x:c>
      <x:c r="H285" s="35" t="n">
        <x:v>4</x:v>
      </x:c>
      <x:c r="I285" s="36" t="n">
        <x:v>18170</x:v>
      </x:c>
      <x:c r="J285" s="35" t="n">
        <x:v>12</x:v>
      </x:c>
      <x:c r="K285" s="35" t="n">
        <x:v>8</x:v>
      </x:c>
      <x:c r="L285" s="35" t="n">
        <x:v>6</x:v>
      </x:c>
      <x:c r="M285" s="35" t="n">
        <x:v>20</x:v>
      </x:c>
      <x:c r="N285" s="35" t="str">
        <x:v>Yes</x:v>
      </x:c>
      <x:c r="O285" s="35" t="n">
        <x:v>3</x:v>
      </x:c>
      <x:c r="P285" s="35" t="n">
        <x:v>4</x:v>
      </x:c>
      <x:c r="Q285" s="35" t="n">
        <x:v>4</x:v>
      </x:c>
      <x:c r="R285" s="35" t="n">
        <x:v>2</x:v>
      </x:c>
      <x:c r="S285" s="35" t="n">
        <x:v>3</x:v>
      </x:c>
      <x:c r="T285" s="35" t="n">
        <x:v>2</x:v>
      </x:c>
      <x:c r="U285" s="35" t="n">
        <x:v>0</x:v>
      </x:c>
      <x:c r="V285" s="35" t="n">
        <x:v>10</x:v>
      </x:c>
      <x:c r="W285" s="35" t="n">
        <x:v>16</x:v>
      </x:c>
      <x:c r="X285" s="35" t="n">
        <x:v>52</x:v>
      </x:c>
      <x:c r="Y285" s="35" t="n">
        <x:v>5</x:v>
      </x:c>
      <x:c r="Z285" s="35" t="n">
        <x:v>100</x:v>
      </x:c>
      <x:c r="AA285" s="35" t="n">
        <x:v>4</x:v>
      </x:c>
      <x:c r="AB285" s="35" t="n">
        <x:v>3</x:v>
      </x:c>
      <x:c r="AC285" s="35" t="n">
        <x:v>3</x:v>
      </x:c>
      <x:c r="AD285" s="35" t="n">
        <x:v>79</x:v>
      </x:c>
      <x:c r="AE285" s="35" t="n">
        <x:v>90</x:v>
      </x:c>
      <x:c r="AF285" s="35" t="n">
        <x:v>90</x:v>
      </x:c>
      <x:c r="AG285" s="35" t="n">
        <x:v>93</x:v>
      </x:c>
      <x:c r="AH285" s="35" t="n">
        <x:v>9</x:v>
      </x:c>
      <x:c r="AI285" s="37" t="n">
        <x:v>94.7</x:v>
      </x:c>
      <x:c r="AJ285" s="37" t="n">
        <x:v>85.3</x:v>
      </x:c>
      <x:c r="AK285" s="35" t="str">
        <x:v>No</x:v>
      </x:c>
      <x:c r="AL285" s="38" t="n">
        <x:f>IF(AA285=0,0,AB285/AA285)</x:f>
        <x:v>0.75</x:v>
      </x:c>
      <x:c r="AM285" s="38" t="n">
        <x:f>IF(AB285=0,0,AC285/AB285)</x:f>
        <x:v>1</x:v>
      </x:c>
      <x:c r="AN285" s="37" t="n">
        <x:f>ROUND((AD285*0.20+AE285*0.20+AF285*0.25+AG285*0.15+MIN(100,AC285*12)*0.20),1)</x:f>
        <x:v>77.5</x:v>
      </x:c>
      <x:c r="AO285" s="37" t="n">
        <x:f>ROUND(MAX(0,MIN(100,(X285*0.35)+(W285/45*100*0.20)+((5-O285)/4*100*0.15)+((5-P285)/4*100*0.10)+((6-Y285)/5*100*0.10)+((100-Z285)*0.10))),1)</x:f>
        <x:v>37.3</x:v>
      </x:c>
      <x:c r="AP285" s="37" t="str">
        <x:f>IF(AO285&gt;=70,"High",IF(AO285&gt;=40,"Moderate","Low"))</x:f>
        <x:v>Low</x:v>
      </x:c>
      <x:c r="AQ285" s="37" t="n">
        <x:f>ROUND(MAX(0,MIN(100,(O285/4*100*0.25)+(P285/4*100*0.20)+(Q285/4*100*0.15)+(Y285/5*100*0.20)+(100-AO285)*0.20)),1)</x:f>
        <x:v>86.3</x:v>
      </x:c>
      <x:c r="AR285" s="37" t="n">
        <x:f>ROUND((AI285*0.20+AJ285*0.15+AN285*0.18+AG285*0.12+Z285*0.15+AQ285*0.20),1)</x:f>
        <x:v>89.1</x:v>
      </x:c>
      <x:c r="AS285" s="39" t="n">
        <x:f>ROUND((AC285*AF285*120)+(AH285*350)+(MAX(0,AI285-75)*220)+(MAX(0,AQ285-60)*100),0)</x:f>
        <x:v>42514</x:v>
      </x:c>
    </x:row>
    <x:row r="286">
      <x:c r="A286" s="35" t="n">
        <x:v>285</x:v>
      </x:c>
      <x:c r="B286" s="35" t="n">
        <x:v>26</x:v>
      </x:c>
      <x:c r="C286" s="35" t="str">
        <x:v>Female</x:v>
      </x:c>
      <x:c r="D286" s="35" t="str">
        <x:v>Research &amp; Development</x:v>
      </x:c>
      <x:c r="E286" s="35" t="str">
        <x:v>R&amp;D Manager</x:v>
      </x:c>
      <x:c r="F286" s="35" t="str">
        <x:v>Business</x:v>
      </x:c>
      <x:c r="G286" s="35" t="str">
        <x:v>Single</x:v>
      </x:c>
      <x:c r="H286" s="35" t="n">
        <x:v>1</x:v>
      </x:c>
      <x:c r="I286" s="36" t="n">
        <x:v>5460</x:v>
      </x:c>
      <x:c r="J286" s="35" t="n">
        <x:v>3</x:v>
      </x:c>
      <x:c r="K286" s="35" t="n">
        <x:v>1</x:v>
      </x:c>
      <x:c r="L286" s="35" t="n">
        <x:v>0</x:v>
      </x:c>
      <x:c r="M286" s="35" t="n">
        <x:v>10</x:v>
      </x:c>
      <x:c r="N286" s="35" t="str">
        <x:v>No</x:v>
      </x:c>
      <x:c r="O286" s="35" t="n">
        <x:v>3</x:v>
      </x:c>
      <x:c r="P286" s="35" t="n">
        <x:v>2</x:v>
      </x:c>
      <x:c r="Q286" s="35" t="n">
        <x:v>3</x:v>
      </x:c>
      <x:c r="R286" s="35" t="n">
        <x:v>3</x:v>
      </x:c>
      <x:c r="S286" s="35" t="n">
        <x:v>4</x:v>
      </x:c>
      <x:c r="T286" s="35" t="n">
        <x:v>2</x:v>
      </x:c>
      <x:c r="U286" s="35" t="n">
        <x:v>0</x:v>
      </x:c>
      <x:c r="V286" s="35" t="n">
        <x:v>1</x:v>
      </x:c>
      <x:c r="W286" s="35" t="n">
        <x:v>0</x:v>
      </x:c>
      <x:c r="X286" s="35" t="n">
        <x:v>68</x:v>
      </x:c>
      <x:c r="Y286" s="35" t="n">
        <x:v>3</x:v>
      </x:c>
      <x:c r="Z286" s="35" t="n">
        <x:v>88</x:v>
      </x:c>
      <x:c r="AA286" s="35" t="n">
        <x:v>6</x:v>
      </x:c>
      <x:c r="AB286" s="35" t="n">
        <x:v>6</x:v>
      </x:c>
      <x:c r="AC286" s="35" t="n">
        <x:v>5</x:v>
      </x:c>
      <x:c r="AD286" s="35" t="n">
        <x:v>86</x:v>
      </x:c>
      <x:c r="AE286" s="35" t="n">
        <x:v>94</x:v>
      </x:c>
      <x:c r="AF286" s="35" t="n">
        <x:v>100</x:v>
      </x:c>
      <x:c r="AG286" s="35" t="n">
        <x:v>100</x:v>
      </x:c>
      <x:c r="AH286" s="35" t="n">
        <x:v>11</x:v>
      </x:c>
      <x:c r="AI286" s="37" t="n">
        <x:v>100</x:v>
      </x:c>
      <x:c r="AJ286" s="37" t="n">
        <x:v>100</x:v>
      </x:c>
      <x:c r="AK286" s="35" t="str">
        <x:v>No</x:v>
      </x:c>
      <x:c r="AL286" s="38" t="n">
        <x:f>IF(AA286=0,0,AB286/AA286)</x:f>
        <x:v>1</x:v>
      </x:c>
      <x:c r="AM286" s="38" t="n">
        <x:f>IF(AB286=0,0,AC286/AB286)</x:f>
        <x:v>0.8333333333333334</x:v>
      </x:c>
      <x:c r="AN286" s="37" t="n">
        <x:f>ROUND((AD286*0.20+AE286*0.20+AF286*0.25+AG286*0.15+MIN(100,AC286*12)*0.20),1)</x:f>
        <x:v>88</x:v>
      </x:c>
      <x:c r="AO286" s="37" t="n">
        <x:f>ROUND(MAX(0,MIN(100,(X286*0.35)+(W286/45*100*0.20)+((5-O286)/4*100*0.15)+((5-P286)/4*100*0.10)+((6-Y286)/5*100*0.10)+((100-Z286)*0.10))),1)</x:f>
        <x:v>46</x:v>
      </x:c>
      <x:c r="AP286" s="37" t="str">
        <x:f>IF(AO286&gt;=70,"High",IF(AO286&gt;=40,"Moderate","Low"))</x:f>
        <x:v>Moderate</x:v>
      </x:c>
      <x:c r="AQ286" s="37" t="n">
        <x:f>ROUND(MAX(0,MIN(100,(O286/4*100*0.25)+(P286/4*100*0.20)+(Q286/4*100*0.15)+(Y286/5*100*0.20)+(100-AO286)*0.20)),1)</x:f>
        <x:v>62.8</x:v>
      </x:c>
      <x:c r="AR286" s="37" t="n">
        <x:f>ROUND((AI286*0.20+AJ286*0.15+AN286*0.18+AG286*0.12+Z286*0.15+AQ286*0.20),1)</x:f>
        <x:v>88.6</x:v>
      </x:c>
      <x:c r="AS286" s="39" t="n">
        <x:f>ROUND((AC286*AF286*120)+(AH286*350)+(MAX(0,AI286-75)*220)+(MAX(0,AQ286-60)*100),0)</x:f>
        <x:v>69630</x:v>
      </x:c>
    </x:row>
    <x:row r="287">
      <x:c r="A287" s="35" t="n">
        <x:v>286</x:v>
      </x:c>
      <x:c r="B287" s="35" t="n">
        <x:v>45</x:v>
      </x:c>
      <x:c r="C287" s="35" t="str">
        <x:v>Female</x:v>
      </x:c>
      <x:c r="D287" s="35" t="str">
        <x:v>Information Technology</x:v>
      </x:c>
      <x:c r="E287" s="35" t="str">
        <x:v>Software Engineer</x:v>
      </x:c>
      <x:c r="F287" s="35" t="str">
        <x:v>Medical</x:v>
      </x:c>
      <x:c r="G287" s="35" t="str">
        <x:v>Single</x:v>
      </x:c>
      <x:c r="H287" s="35" t="n">
        <x:v>2</x:v>
      </x:c>
      <x:c r="I287" s="36" t="n">
        <x:v>6490</x:v>
      </x:c>
      <x:c r="J287" s="35" t="n">
        <x:v>12</x:v>
      </x:c>
      <x:c r="K287" s="35" t="n">
        <x:v>7</x:v>
      </x:c>
      <x:c r="L287" s="35" t="n">
        <x:v>5</x:v>
      </x:c>
      <x:c r="M287" s="35" t="n">
        <x:v>6</x:v>
      </x:c>
      <x:c r="N287" s="35" t="str">
        <x:v>No</x:v>
      </x:c>
      <x:c r="O287" s="35" t="n">
        <x:v>3</x:v>
      </x:c>
      <x:c r="P287" s="35" t="n">
        <x:v>3</x:v>
      </x:c>
      <x:c r="Q287" s="35" t="n">
        <x:v>3</x:v>
      </x:c>
      <x:c r="R287" s="35" t="n">
        <x:v>3</x:v>
      </x:c>
      <x:c r="S287" s="35" t="n">
        <x:v>3</x:v>
      </x:c>
      <x:c r="T287" s="35" t="n">
        <x:v>5</x:v>
      </x:c>
      <x:c r="U287" s="35" t="n">
        <x:v>0</x:v>
      </x:c>
      <x:c r="V287" s="35" t="n">
        <x:v>4</x:v>
      </x:c>
      <x:c r="W287" s="35" t="n">
        <x:v>2</x:v>
      </x:c>
      <x:c r="X287" s="35" t="n">
        <x:v>71</x:v>
      </x:c>
      <x:c r="Y287" s="35" t="n">
        <x:v>3</x:v>
      </x:c>
      <x:c r="Z287" s="35" t="n">
        <x:v>99</x:v>
      </x:c>
      <x:c r="AA287" s="35" t="n">
        <x:v>7</x:v>
      </x:c>
      <x:c r="AB287" s="35" t="n">
        <x:v>4</x:v>
      </x:c>
      <x:c r="AC287" s="35" t="n">
        <x:v>4</x:v>
      </x:c>
      <x:c r="AD287" s="35" t="n">
        <x:v>71</x:v>
      </x:c>
      <x:c r="AE287" s="35" t="n">
        <x:v>100</x:v>
      </x:c>
      <x:c r="AF287" s="35" t="n">
        <x:v>71</x:v>
      </x:c>
      <x:c r="AG287" s="35" t="n">
        <x:v>85</x:v>
      </x:c>
      <x:c r="AH287" s="35" t="n">
        <x:v>5</x:v>
      </x:c>
      <x:c r="AI287" s="37" t="n">
        <x:v>96.6</x:v>
      </x:c>
      <x:c r="AJ287" s="37" t="n">
        <x:v>99.1</x:v>
      </x:c>
      <x:c r="AK287" s="35" t="str">
        <x:v>No</x:v>
      </x:c>
      <x:c r="AL287" s="38" t="n">
        <x:f>IF(AA287=0,0,AB287/AA287)</x:f>
        <x:v>0.5714285714285714</x:v>
      </x:c>
      <x:c r="AM287" s="38" t="n">
        <x:f>IF(AB287=0,0,AC287/AB287)</x:f>
        <x:v>1</x:v>
      </x:c>
      <x:c r="AN287" s="37" t="n">
        <x:f>ROUND((AD287*0.20+AE287*0.20+AF287*0.25+AG287*0.15+MIN(100,AC287*12)*0.20),1)</x:f>
        <x:v>74.3</x:v>
      </x:c>
      <x:c r="AO287" s="37" t="n">
        <x:f>ROUND(MAX(0,MIN(100,(X287*0.35)+(W287/45*100*0.20)+((5-O287)/4*100*0.15)+((5-P287)/4*100*0.10)+((6-Y287)/5*100*0.10)+((100-Z287)*0.10))),1)</x:f>
        <x:v>44.3</x:v>
      </x:c>
      <x:c r="AP287" s="37" t="str">
        <x:f>IF(AO287&gt;=70,"High",IF(AO287&gt;=40,"Moderate","Low"))</x:f>
        <x:v>Moderate</x:v>
      </x:c>
      <x:c r="AQ287" s="37" t="n">
        <x:f>ROUND(MAX(0,MIN(100,(O287/4*100*0.25)+(P287/4*100*0.20)+(Q287/4*100*0.15)+(Y287/5*100*0.20)+(100-AO287)*0.20)),1)</x:f>
        <x:v>68.1</x:v>
      </x:c>
      <x:c r="AR287" s="37" t="n">
        <x:f>ROUND((AI287*0.20+AJ287*0.15+AN287*0.18+AG287*0.12+Z287*0.15+AQ287*0.20),1)</x:f>
        <x:v>86.2</x:v>
      </x:c>
      <x:c r="AS287" s="39" t="n">
        <x:f>ROUND((AC287*AF287*120)+(AH287*350)+(MAX(0,AI287-75)*220)+(MAX(0,AQ287-60)*100),0)</x:f>
        <x:v>41392</x:v>
      </x:c>
    </x:row>
    <x:row r="288">
      <x:c r="A288" s="35" t="n">
        <x:v>287</x:v>
      </x:c>
      <x:c r="B288" s="35" t="n">
        <x:v>40</x:v>
      </x:c>
      <x:c r="C288" s="35" t="str">
        <x:v>Male</x:v>
      </x:c>
      <x:c r="D288" s="35" t="str">
        <x:v>Marketing</x:v>
      </x:c>
      <x:c r="E288" s="35" t="str">
        <x:v>Marketing Manager</x:v>
      </x:c>
      <x:c r="F288" s="35" t="str">
        <x:v>Medical</x:v>
      </x:c>
      <x:c r="G288" s="35" t="str">
        <x:v>Single</x:v>
      </x:c>
      <x:c r="H288" s="35" t="n">
        <x:v>3</x:v>
      </x:c>
      <x:c r="I288" s="36" t="n">
        <x:v>11050</x:v>
      </x:c>
      <x:c r="J288" s="35" t="n">
        <x:v>12</x:v>
      </x:c>
      <x:c r="K288" s="35" t="n">
        <x:v>5</x:v>
      </x:c>
      <x:c r="L288" s="35" t="n">
        <x:v>3</x:v>
      </x:c>
      <x:c r="M288" s="35" t="n">
        <x:v>8</x:v>
      </x:c>
      <x:c r="N288" s="35" t="str">
        <x:v>Yes</x:v>
      </x:c>
      <x:c r="O288" s="35" t="n">
        <x:v>3</x:v>
      </x:c>
      <x:c r="P288" s="35" t="n">
        <x:v>2</x:v>
      </x:c>
      <x:c r="Q288" s="35" t="n">
        <x:v>4</x:v>
      </x:c>
      <x:c r="R288" s="35" t="n">
        <x:v>4</x:v>
      </x:c>
      <x:c r="S288" s="35" t="n">
        <x:v>3</x:v>
      </x:c>
      <x:c r="T288" s="35" t="n">
        <x:v>3</x:v>
      </x:c>
      <x:c r="U288" s="35" t="n">
        <x:v>1</x:v>
      </x:c>
      <x:c r="V288" s="35" t="n">
        <x:v>0</x:v>
      </x:c>
      <x:c r="W288" s="35" t="n">
        <x:v>33</x:v>
      </x:c>
      <x:c r="X288" s="35" t="n">
        <x:v>66</x:v>
      </x:c>
      <x:c r="Y288" s="35" t="n">
        <x:v>3</x:v>
      </x:c>
      <x:c r="Z288" s="35" t="n">
        <x:v>99</x:v>
      </x:c>
      <x:c r="AA288" s="35" t="n">
        <x:v>4</x:v>
      </x:c>
      <x:c r="AB288" s="35" t="n">
        <x:v>2</x:v>
      </x:c>
      <x:c r="AC288" s="35" t="n">
        <x:v>2</x:v>
      </x:c>
      <x:c r="AD288" s="35" t="n">
        <x:v>69</x:v>
      </x:c>
      <x:c r="AE288" s="35" t="n">
        <x:v>88</x:v>
      </x:c>
      <x:c r="AF288" s="35" t="n">
        <x:v>75</x:v>
      </x:c>
      <x:c r="AG288" s="35" t="n">
        <x:v>100</x:v>
      </x:c>
      <x:c r="AH288" s="35" t="n">
        <x:v>4</x:v>
      </x:c>
      <x:c r="AI288" s="37" t="n">
        <x:v>100</x:v>
      </x:c>
      <x:c r="AJ288" s="37" t="n">
        <x:v>97</x:v>
      </x:c>
      <x:c r="AK288" s="35" t="str">
        <x:v>No</x:v>
      </x:c>
      <x:c r="AL288" s="38" t="n">
        <x:f>IF(AA288=0,0,AB288/AA288)</x:f>
        <x:v>0.5</x:v>
      </x:c>
      <x:c r="AM288" s="38" t="n">
        <x:f>IF(AB288=0,0,AC288/AB288)</x:f>
        <x:v>1</x:v>
      </x:c>
      <x:c r="AN288" s="37" t="n">
        <x:f>ROUND((AD288*0.20+AE288*0.20+AF288*0.25+AG288*0.15+MIN(100,AC288*12)*0.20),1)</x:f>
        <x:v>70</x:v>
      </x:c>
      <x:c r="AO288" s="37" t="n">
        <x:f>ROUND(MAX(0,MIN(100,(X288*0.35)+(W288/45*100*0.20)+((5-O288)/4*100*0.15)+((5-P288)/4*100*0.10)+((6-Y288)/5*100*0.10)+((100-Z288)*0.10))),1)</x:f>
        <x:v>58.9</x:v>
      </x:c>
      <x:c r="AP288" s="37" t="str">
        <x:f>IF(AO288&gt;=70,"High",IF(AO288&gt;=40,"Moderate","Low"))</x:f>
        <x:v>Moderate</x:v>
      </x:c>
      <x:c r="AQ288" s="37" t="n">
        <x:f>ROUND(MAX(0,MIN(100,(O288/4*100*0.25)+(P288/4*100*0.20)+(Q288/4*100*0.15)+(Y288/5*100*0.20)+(100-AO288)*0.20)),1)</x:f>
        <x:v>64</x:v>
      </x:c>
      <x:c r="AR288" s="37" t="n">
        <x:f>ROUND((AI288*0.20+AJ288*0.15+AN288*0.18+AG288*0.12+Z288*0.15+AQ288*0.20),1)</x:f>
        <x:v>86.8</x:v>
      </x:c>
      <x:c r="AS288" s="39" t="n">
        <x:f>ROUND((AC288*AF288*120)+(AH288*350)+(MAX(0,AI288-75)*220)+(MAX(0,AQ288-60)*100),0)</x:f>
        <x:v>25300</x:v>
      </x:c>
    </x:row>
    <x:row r="289">
      <x:c r="A289" s="35" t="n">
        <x:v>288</x:v>
      </x:c>
      <x:c r="B289" s="35" t="n">
        <x:v>29</x:v>
      </x:c>
      <x:c r="C289" s="35" t="str">
        <x:v>Female</x:v>
      </x:c>
      <x:c r="D289" s="35" t="str">
        <x:v>Operations</x:v>
      </x:c>
      <x:c r="E289" s="35" t="str">
        <x:v>Quality Specialist</x:v>
      </x:c>
      <x:c r="F289" s="35" t="str">
        <x:v>Marketing</x:v>
      </x:c>
      <x:c r="G289" s="35" t="str">
        <x:v>Divorced</x:v>
      </x:c>
      <x:c r="H289" s="35" t="n">
        <x:v>1</x:v>
      </x:c>
      <x:c r="I289" s="36" t="n">
        <x:v>5890</x:v>
      </x:c>
      <x:c r="J289" s="35" t="n">
        <x:v>6</x:v>
      </x:c>
      <x:c r="K289" s="35" t="n">
        <x:v>3</x:v>
      </x:c>
      <x:c r="L289" s="35" t="n">
        <x:v>1</x:v>
      </x:c>
      <x:c r="M289" s="35" t="n">
        <x:v>2</x:v>
      </x:c>
      <x:c r="N289" s="35" t="str">
        <x:v>No</x:v>
      </x:c>
      <x:c r="O289" s="35" t="n">
        <x:v>3</x:v>
      </x:c>
      <x:c r="P289" s="35" t="n">
        <x:v>4</x:v>
      </x:c>
      <x:c r="Q289" s="35" t="n">
        <x:v>2</x:v>
      </x:c>
      <x:c r="R289" s="35" t="n">
        <x:v>3</x:v>
      </x:c>
      <x:c r="S289" s="35" t="n">
        <x:v>3</x:v>
      </x:c>
      <x:c r="T289" s="35" t="n">
        <x:v>3</x:v>
      </x:c>
      <x:c r="U289" s="35" t="n">
        <x:v>0</x:v>
      </x:c>
      <x:c r="V289" s="35" t="n">
        <x:v>7</x:v>
      </x:c>
      <x:c r="W289" s="35" t="n">
        <x:v>3</x:v>
      </x:c>
      <x:c r="X289" s="35" t="n">
        <x:v>71</x:v>
      </x:c>
      <x:c r="Y289" s="35" t="n">
        <x:v>5</x:v>
      </x:c>
      <x:c r="Z289" s="35" t="n">
        <x:v>100</x:v>
      </x:c>
      <x:c r="AA289" s="35" t="n">
        <x:v>5</x:v>
      </x:c>
      <x:c r="AB289" s="35" t="n">
        <x:v>3</x:v>
      </x:c>
      <x:c r="AC289" s="35" t="n">
        <x:v>3</x:v>
      </x:c>
      <x:c r="AD289" s="35" t="n">
        <x:v>80</x:v>
      </x:c>
      <x:c r="AE289" s="35" t="n">
        <x:v>76</x:v>
      </x:c>
      <x:c r="AF289" s="35" t="n">
        <x:v>68</x:v>
      </x:c>
      <x:c r="AG289" s="35" t="n">
        <x:v>97</x:v>
      </x:c>
      <x:c r="AH289" s="35" t="n">
        <x:v>5</x:v>
      </x:c>
      <x:c r="AI289" s="37" t="n">
        <x:v>95.9</x:v>
      </x:c>
      <x:c r="AJ289" s="37" t="n">
        <x:v>86.3</x:v>
      </x:c>
      <x:c r="AK289" s="35" t="str">
        <x:v>No</x:v>
      </x:c>
      <x:c r="AL289" s="38" t="n">
        <x:f>IF(AA289=0,0,AB289/AA289)</x:f>
        <x:v>0.6</x:v>
      </x:c>
      <x:c r="AM289" s="38" t="n">
        <x:f>IF(AB289=0,0,AC289/AB289)</x:f>
        <x:v>1</x:v>
      </x:c>
      <x:c r="AN289" s="37" t="n">
        <x:f>ROUND((AD289*0.20+AE289*0.20+AF289*0.25+AG289*0.15+MIN(100,AC289*12)*0.20),1)</x:f>
        <x:v>70</x:v>
      </x:c>
      <x:c r="AO289" s="37" t="n">
        <x:f>ROUND(MAX(0,MIN(100,(X289*0.35)+(W289/45*100*0.20)+((5-O289)/4*100*0.15)+((5-P289)/4*100*0.10)+((6-Y289)/5*100*0.10)+((100-Z289)*0.10))),1)</x:f>
        <x:v>38.2</x:v>
      </x:c>
      <x:c r="AP289" s="37" t="str">
        <x:f>IF(AO289&gt;=70,"High",IF(AO289&gt;=40,"Moderate","Low"))</x:f>
        <x:v>Low</x:v>
      </x:c>
      <x:c r="AQ289" s="37" t="n">
        <x:f>ROUND(MAX(0,MIN(100,(O289/4*100*0.25)+(P289/4*100*0.20)+(Q289/4*100*0.15)+(Y289/5*100*0.20)+(100-AO289)*0.20)),1)</x:f>
        <x:v>78.6</x:v>
      </x:c>
      <x:c r="AR289" s="37" t="n">
        <x:f>ROUND((AI289*0.20+AJ289*0.15+AN289*0.18+AG289*0.12+Z289*0.15+AQ289*0.20),1)</x:f>
        <x:v>87.1</x:v>
      </x:c>
      <x:c r="AS289" s="39" t="n">
        <x:f>ROUND((AC289*AF289*120)+(AH289*350)+(MAX(0,AI289-75)*220)+(MAX(0,AQ289-60)*100),0)</x:f>
        <x:v>32688</x:v>
      </x:c>
    </x:row>
    <x:row r="290">
      <x:c r="A290" s="35" t="n">
        <x:v>289</x:v>
      </x:c>
      <x:c r="B290" s="35" t="n">
        <x:v>35</x:v>
      </x:c>
      <x:c r="C290" s="35" t="str">
        <x:v>Female</x:v>
      </x:c>
      <x:c r="D290" s="35" t="str">
        <x:v>Research &amp; Development</x:v>
      </x:c>
      <x:c r="E290" s="35" t="str">
        <x:v>Laboratory Technician</x:v>
      </x:c>
      <x:c r="F290" s="35" t="str">
        <x:v>Computer Science</x:v>
      </x:c>
      <x:c r="G290" s="35" t="str">
        <x:v>Divorced</x:v>
      </x:c>
      <x:c r="H290" s="35" t="n">
        <x:v>2</x:v>
      </x:c>
      <x:c r="I290" s="36" t="n">
        <x:v>7370</x:v>
      </x:c>
      <x:c r="J290" s="35" t="n">
        <x:v>6</x:v>
      </x:c>
      <x:c r="K290" s="35" t="n">
        <x:v>4</x:v>
      </x:c>
      <x:c r="L290" s="35" t="n">
        <x:v>3</x:v>
      </x:c>
      <x:c r="M290" s="35" t="n">
        <x:v>9</x:v>
      </x:c>
      <x:c r="N290" s="35" t="str">
        <x:v>No</x:v>
      </x:c>
      <x:c r="O290" s="35" t="n">
        <x:v>2</x:v>
      </x:c>
      <x:c r="P290" s="35" t="n">
        <x:v>3</x:v>
      </x:c>
      <x:c r="Q290" s="35" t="n">
        <x:v>3</x:v>
      </x:c>
      <x:c r="R290" s="35" t="n">
        <x:v>3</x:v>
      </x:c>
      <x:c r="S290" s="35" t="n">
        <x:v>3</x:v>
      </x:c>
      <x:c r="T290" s="35" t="n">
        <x:v>2</x:v>
      </x:c>
      <x:c r="U290" s="35" t="n">
        <x:v>1</x:v>
      </x:c>
      <x:c r="V290" s="35" t="n">
        <x:v>14</x:v>
      </x:c>
      <x:c r="W290" s="35" t="n">
        <x:v>0</x:v>
      </x:c>
      <x:c r="X290" s="35" t="n">
        <x:v>49</x:v>
      </x:c>
      <x:c r="Y290" s="35" t="n">
        <x:v>5</x:v>
      </x:c>
      <x:c r="Z290" s="35" t="n">
        <x:v>100</x:v>
      </x:c>
      <x:c r="AA290" s="35" t="n">
        <x:v>4</x:v>
      </x:c>
      <x:c r="AB290" s="35" t="n">
        <x:v>4</x:v>
      </x:c>
      <x:c r="AC290" s="35" t="n">
        <x:v>4</x:v>
      </x:c>
      <x:c r="AD290" s="35" t="n">
        <x:v>92</x:v>
      </x:c>
      <x:c r="AE290" s="35" t="n">
        <x:v>85</x:v>
      </x:c>
      <x:c r="AF290" s="35" t="n">
        <x:v>82</x:v>
      </x:c>
      <x:c r="AG290" s="35" t="n">
        <x:v>100</x:v>
      </x:c>
      <x:c r="AH290" s="35" t="n">
        <x:v>7</x:v>
      </x:c>
      <x:c r="AI290" s="37" t="n">
        <x:v>97.7</x:v>
      </x:c>
      <x:c r="AJ290" s="37" t="n">
        <x:v>98.3</x:v>
      </x:c>
      <x:c r="AK290" s="35" t="str">
        <x:v>No</x:v>
      </x:c>
      <x:c r="AL290" s="38" t="n">
        <x:f>IF(AA290=0,0,AB290/AA290)</x:f>
        <x:v>1</x:v>
      </x:c>
      <x:c r="AM290" s="38" t="n">
        <x:f>IF(AB290=0,0,AC290/AB290)</x:f>
        <x:v>1</x:v>
      </x:c>
      <x:c r="AN290" s="37" t="n">
        <x:f>ROUND((AD290*0.20+AE290*0.20+AF290*0.25+AG290*0.15+MIN(100,AC290*12)*0.20),1)</x:f>
        <x:v>80.5</x:v>
      </x:c>
      <x:c r="AO290" s="37" t="n">
        <x:f>ROUND(MAX(0,MIN(100,(X290*0.35)+(W290/45*100*0.20)+((5-O290)/4*100*0.15)+((5-P290)/4*100*0.10)+((6-Y290)/5*100*0.10)+((100-Z290)*0.10))),1)</x:f>
        <x:v>35.4</x:v>
      </x:c>
      <x:c r="AP290" s="37" t="str">
        <x:f>IF(AO290&gt;=70,"High",IF(AO290&gt;=40,"Moderate","Low"))</x:f>
        <x:v>Low</x:v>
      </x:c>
      <x:c r="AQ290" s="37" t="n">
        <x:f>ROUND(MAX(0,MIN(100,(O290/4*100*0.25)+(P290/4*100*0.20)+(Q290/4*100*0.15)+(Y290/5*100*0.20)+(100-AO290)*0.20)),1)</x:f>
        <x:v>71.7</x:v>
      </x:c>
      <x:c r="AR290" s="37" t="n">
        <x:f>ROUND((AI290*0.20+AJ290*0.15+AN290*0.18+AG290*0.12+Z290*0.15+AQ290*0.20),1)</x:f>
        <x:v>90.1</x:v>
      </x:c>
      <x:c r="AS290" s="39" t="n">
        <x:f>ROUND((AC290*AF290*120)+(AH290*350)+(MAX(0,AI290-75)*220)+(MAX(0,AQ290-60)*100),0)</x:f>
        <x:v>47974</x:v>
      </x:c>
    </x:row>
    <x:row r="291">
      <x:c r="A291" s="35" t="n">
        <x:v>290</x:v>
      </x:c>
      <x:c r="B291" s="35" t="n">
        <x:v>39</x:v>
      </x:c>
      <x:c r="C291" s="35" t="str">
        <x:v>Female</x:v>
      </x:c>
      <x:c r="D291" s="35" t="str">
        <x:v>Sales</x:v>
      </x:c>
      <x:c r="E291" s="35" t="str">
        <x:v>Sales Executive</x:v>
      </x:c>
      <x:c r="F291" s="35" t="str">
        <x:v>Life Sciences</x:v>
      </x:c>
      <x:c r="G291" s="35" t="str">
        <x:v>Married</x:v>
      </x:c>
      <x:c r="H291" s="35" t="n">
        <x:v>2</x:v>
      </x:c>
      <x:c r="I291" s="36" t="n">
        <x:v>10320</x:v>
      </x:c>
      <x:c r="J291" s="35" t="n">
        <x:v>13</x:v>
      </x:c>
      <x:c r="K291" s="35" t="n">
        <x:v>8</x:v>
      </x:c>
      <x:c r="L291" s="35" t="n">
        <x:v>5</x:v>
      </x:c>
      <x:c r="M291" s="35" t="n">
        <x:v>6</x:v>
      </x:c>
      <x:c r="N291" s="35" t="str">
        <x:v>Yes</x:v>
      </x:c>
      <x:c r="O291" s="35" t="n">
        <x:v>1</x:v>
      </x:c>
      <x:c r="P291" s="35" t="n">
        <x:v>3</x:v>
      </x:c>
      <x:c r="Q291" s="35" t="n">
        <x:v>3</x:v>
      </x:c>
      <x:c r="R291" s="35" t="n">
        <x:v>4</x:v>
      </x:c>
      <x:c r="S291" s="35" t="n">
        <x:v>3</x:v>
      </x:c>
      <x:c r="T291" s="35" t="n">
        <x:v>4</x:v>
      </x:c>
      <x:c r="U291" s="35" t="n">
        <x:v>0</x:v>
      </x:c>
      <x:c r="V291" s="35" t="n">
        <x:v>7</x:v>
      </x:c>
      <x:c r="W291" s="35" t="n">
        <x:v>15</x:v>
      </x:c>
      <x:c r="X291" s="35" t="n">
        <x:v>98</x:v>
      </x:c>
      <x:c r="Y291" s="35" t="n">
        <x:v>4</x:v>
      </x:c>
      <x:c r="Z291" s="35" t="n">
        <x:v>100</x:v>
      </x:c>
      <x:c r="AA291" s="35" t="n">
        <x:v>15</x:v>
      </x:c>
      <x:c r="AB291" s="35" t="n">
        <x:v>12</x:v>
      </x:c>
      <x:c r="AC291" s="35" t="n">
        <x:v>8</x:v>
      </x:c>
      <x:c r="AD291" s="35" t="n">
        <x:v>89</x:v>
      </x:c>
      <x:c r="AE291" s="35" t="n">
        <x:v>94</x:v>
      </x:c>
      <x:c r="AF291" s="35" t="n">
        <x:v>84</x:v>
      </x:c>
      <x:c r="AG291" s="35" t="n">
        <x:v>100</x:v>
      </x:c>
      <x:c r="AH291" s="35" t="n">
        <x:v>12</x:v>
      </x:c>
      <x:c r="AI291" s="37" t="n">
        <x:v>92.8</x:v>
      </x:c>
      <x:c r="AJ291" s="37" t="n">
        <x:v>100</x:v>
      </x:c>
      <x:c r="AK291" s="35" t="str">
        <x:v>Yes</x:v>
      </x:c>
      <x:c r="AL291" s="38" t="n">
        <x:f>IF(AA291=0,0,AB291/AA291)</x:f>
        <x:v>0.8</x:v>
      </x:c>
      <x:c r="AM291" s="38" t="n">
        <x:f>IF(AB291=0,0,AC291/AB291)</x:f>
        <x:v>0.6666666666666666</x:v>
      </x:c>
      <x:c r="AN291" s="37" t="n">
        <x:f>ROUND((AD291*0.20+AE291*0.20+AF291*0.25+AG291*0.15+MIN(100,AC291*12)*0.20),1)</x:f>
        <x:v>91.8</x:v>
      </x:c>
      <x:c r="AO291" s="37" t="n">
        <x:f>ROUND(MAX(0,MIN(100,(X291*0.35)+(W291/45*100*0.20)+((5-O291)/4*100*0.15)+((5-P291)/4*100*0.10)+((6-Y291)/5*100*0.10)+((100-Z291)*0.10))),1)</x:f>
        <x:v>65</x:v>
      </x:c>
      <x:c r="AP291" s="37" t="str">
        <x:f>IF(AO291&gt;=70,"High",IF(AO291&gt;=40,"Moderate","Low"))</x:f>
        <x:v>Moderate</x:v>
      </x:c>
      <x:c r="AQ291" s="37" t="n">
        <x:f>ROUND(MAX(0,MIN(100,(O291/4*100*0.25)+(P291/4*100*0.20)+(Q291/4*100*0.15)+(Y291/5*100*0.20)+(100-AO291)*0.20)),1)</x:f>
        <x:v>55.5</x:v>
      </x:c>
      <x:c r="AR291" s="37" t="n">
        <x:f>ROUND((AI291*0.20+AJ291*0.15+AN291*0.18+AG291*0.12+Z291*0.15+AQ291*0.20),1)</x:f>
        <x:v>88.2</x:v>
      </x:c>
      <x:c r="AS291" s="39" t="n">
        <x:f>ROUND((AC291*AF291*120)+(AH291*350)+(MAX(0,AI291-75)*220)+(MAX(0,AQ291-60)*100),0)</x:f>
        <x:v>88756</x:v>
      </x:c>
    </x:row>
    <x:row r="292">
      <x:c r="A292" s="35" t="n">
        <x:v>291</x:v>
      </x:c>
      <x:c r="B292" s="35" t="n">
        <x:v>34</x:v>
      </x:c>
      <x:c r="C292" s="35" t="str">
        <x:v>Male</x:v>
      </x:c>
      <x:c r="D292" s="35" t="str">
        <x:v>Human Resources</x:v>
      </x:c>
      <x:c r="E292" s="35" t="str">
        <x:v>Talent Development Specialist</x:v>
      </x:c>
      <x:c r="F292" s="35" t="str">
        <x:v>Computer Science</x:v>
      </x:c>
      <x:c r="G292" s="35" t="str">
        <x:v>Married</x:v>
      </x:c>
      <x:c r="H292" s="35" t="n">
        <x:v>2</x:v>
      </x:c>
      <x:c r="I292" s="36" t="n">
        <x:v>8660</x:v>
      </x:c>
      <x:c r="J292" s="35" t="n">
        <x:v>8</x:v>
      </x:c>
      <x:c r="K292" s="35" t="n">
        <x:v>4</x:v>
      </x:c>
      <x:c r="L292" s="35" t="n">
        <x:v>2</x:v>
      </x:c>
      <x:c r="M292" s="35" t="n">
        <x:v>8</x:v>
      </x:c>
      <x:c r="N292" s="35" t="str">
        <x:v>No</x:v>
      </x:c>
      <x:c r="O292" s="35" t="n">
        <x:v>3</x:v>
      </x:c>
      <x:c r="P292" s="35" t="n">
        <x:v>4</x:v>
      </x:c>
      <x:c r="Q292" s="35" t="n">
        <x:v>3</x:v>
      </x:c>
      <x:c r="R292" s="35" t="n">
        <x:v>2</x:v>
      </x:c>
      <x:c r="S292" s="35" t="n">
        <x:v>3</x:v>
      </x:c>
      <x:c r="T292" s="35" t="n">
        <x:v>4</x:v>
      </x:c>
      <x:c r="U292" s="35" t="n">
        <x:v>0</x:v>
      </x:c>
      <x:c r="V292" s="35" t="n">
        <x:v>3</x:v>
      </x:c>
      <x:c r="W292" s="35" t="n">
        <x:v>1</x:v>
      </x:c>
      <x:c r="X292" s="35" t="n">
        <x:v>38</x:v>
      </x:c>
      <x:c r="Y292" s="35" t="n">
        <x:v>5</x:v>
      </x:c>
      <x:c r="Z292" s="35" t="n">
        <x:v>100</x:v>
      </x:c>
      <x:c r="AA292" s="35" t="n">
        <x:v>4</x:v>
      </x:c>
      <x:c r="AB292" s="35" t="n">
        <x:v>4</x:v>
      </x:c>
      <x:c r="AC292" s="35" t="n">
        <x:v>2</x:v>
      </x:c>
      <x:c r="AD292" s="35" t="n">
        <x:v>55</x:v>
      </x:c>
      <x:c r="AE292" s="35" t="n">
        <x:v>81</x:v>
      </x:c>
      <x:c r="AF292" s="35" t="n">
        <x:v>82</x:v>
      </x:c>
      <x:c r="AG292" s="35" t="n">
        <x:v>71</x:v>
      </x:c>
      <x:c r="AH292" s="35" t="n">
        <x:v>7</x:v>
      </x:c>
      <x:c r="AI292" s="37" t="n">
        <x:v>100</x:v>
      </x:c>
      <x:c r="AJ292" s="37" t="n">
        <x:v>91.9</x:v>
      </x:c>
      <x:c r="AK292" s="35" t="str">
        <x:v>No</x:v>
      </x:c>
      <x:c r="AL292" s="38" t="n">
        <x:f>IF(AA292=0,0,AB292/AA292)</x:f>
        <x:v>1</x:v>
      </x:c>
      <x:c r="AM292" s="38" t="n">
        <x:f>IF(AB292=0,0,AC292/AB292)</x:f>
        <x:v>0.5</x:v>
      </x:c>
      <x:c r="AN292" s="37" t="n">
        <x:f>ROUND((AD292*0.20+AE292*0.20+AF292*0.25+AG292*0.15+MIN(100,AC292*12)*0.20),1)</x:f>
        <x:v>63.2</x:v>
      </x:c>
      <x:c r="AO292" s="37" t="n">
        <x:f>ROUND(MAX(0,MIN(100,(X292*0.35)+(W292/45*100*0.20)+((5-O292)/4*100*0.15)+((5-P292)/4*100*0.10)+((6-Y292)/5*100*0.10)+((100-Z292)*0.10))),1)</x:f>
        <x:v>25.7</x:v>
      </x:c>
      <x:c r="AP292" s="37" t="str">
        <x:f>IF(AO292&gt;=70,"High",IF(AO292&gt;=40,"Moderate","Low"))</x:f>
        <x:v>Low</x:v>
      </x:c>
      <x:c r="AQ292" s="37" t="n">
        <x:f>ROUND(MAX(0,MIN(100,(O292/4*100*0.25)+(P292/4*100*0.20)+(Q292/4*100*0.15)+(Y292/5*100*0.20)+(100-AO292)*0.20)),1)</x:f>
        <x:v>84.9</x:v>
      </x:c>
      <x:c r="AR292" s="37" t="n">
        <x:f>ROUND((AI292*0.20+AJ292*0.15+AN292*0.18+AG292*0.12+Z292*0.15+AQ292*0.20),1)</x:f>
        <x:v>85.7</x:v>
      </x:c>
      <x:c r="AS292" s="39" t="n">
        <x:f>ROUND((AC292*AF292*120)+(AH292*350)+(MAX(0,AI292-75)*220)+(MAX(0,AQ292-60)*100),0)</x:f>
        <x:v>30120</x:v>
      </x:c>
    </x:row>
    <x:row r="293">
      <x:c r="A293" s="35" t="n">
        <x:v>292</x:v>
      </x:c>
      <x:c r="B293" s="35" t="n">
        <x:v>31</x:v>
      </x:c>
      <x:c r="C293" s="35" t="str">
        <x:v>Male</x:v>
      </x:c>
      <x:c r="D293" s="35" t="str">
        <x:v>Human Resources</x:v>
      </x:c>
      <x:c r="E293" s="35" t="str">
        <x:v>Talent Development Specialist</x:v>
      </x:c>
      <x:c r="F293" s="35" t="str">
        <x:v>Computer Science</x:v>
      </x:c>
      <x:c r="G293" s="35" t="str">
        <x:v>Married</x:v>
      </x:c>
      <x:c r="H293" s="35" t="n">
        <x:v>2</x:v>
      </x:c>
      <x:c r="I293" s="36" t="n">
        <x:v>8860</x:v>
      </x:c>
      <x:c r="J293" s="35" t="n">
        <x:v>6</x:v>
      </x:c>
      <x:c r="K293" s="35" t="n">
        <x:v>5</x:v>
      </x:c>
      <x:c r="L293" s="35" t="n">
        <x:v>3</x:v>
      </x:c>
      <x:c r="M293" s="35" t="n">
        <x:v>11</x:v>
      </x:c>
      <x:c r="N293" s="35" t="str">
        <x:v>Yes</x:v>
      </x:c>
      <x:c r="O293" s="35" t="n">
        <x:v>3</x:v>
      </x:c>
      <x:c r="P293" s="35" t="n">
        <x:v>2</x:v>
      </x:c>
      <x:c r="Q293" s="35" t="n">
        <x:v>4</x:v>
      </x:c>
      <x:c r="R293" s="35" t="n">
        <x:v>4</x:v>
      </x:c>
      <x:c r="S293" s="35" t="n">
        <x:v>3</x:v>
      </x:c>
      <x:c r="T293" s="35" t="n">
        <x:v>3</x:v>
      </x:c>
      <x:c r="U293" s="35" t="n">
        <x:v>2</x:v>
      </x:c>
      <x:c r="V293" s="35" t="n">
        <x:v>11</x:v>
      </x:c>
      <x:c r="W293" s="35" t="n">
        <x:v>22</x:v>
      </x:c>
      <x:c r="X293" s="35" t="n">
        <x:v>65</x:v>
      </x:c>
      <x:c r="Y293" s="35" t="n">
        <x:v>5</x:v>
      </x:c>
      <x:c r="Z293" s="35" t="n">
        <x:v>100</x:v>
      </x:c>
      <x:c r="AA293" s="35" t="n">
        <x:v>4</x:v>
      </x:c>
      <x:c r="AB293" s="35" t="n">
        <x:v>3</x:v>
      </x:c>
      <x:c r="AC293" s="35" t="n">
        <x:v>2</x:v>
      </x:c>
      <x:c r="AD293" s="35" t="n">
        <x:v>66</x:v>
      </x:c>
      <x:c r="AE293" s="35" t="n">
        <x:v>74</x:v>
      </x:c>
      <x:c r="AF293" s="35" t="n">
        <x:v>73</x:v>
      </x:c>
      <x:c r="AG293" s="35" t="n">
        <x:v>95</x:v>
      </x:c>
      <x:c r="AH293" s="35" t="n">
        <x:v>3</x:v>
      </x:c>
      <x:c r="AI293" s="37" t="n">
        <x:v>99.9</x:v>
      </x:c>
      <x:c r="AJ293" s="37" t="n">
        <x:v>99.2</x:v>
      </x:c>
      <x:c r="AK293" s="35" t="str">
        <x:v>No</x:v>
      </x:c>
      <x:c r="AL293" s="38" t="n">
        <x:f>IF(AA293=0,0,AB293/AA293)</x:f>
        <x:v>0.75</x:v>
      </x:c>
      <x:c r="AM293" s="38" t="n">
        <x:f>IF(AB293=0,0,AC293/AB293)</x:f>
        <x:v>0.6666666666666666</x:v>
      </x:c>
      <x:c r="AN293" s="37" t="n">
        <x:f>ROUND((AD293*0.20+AE293*0.20+AF293*0.25+AG293*0.15+MIN(100,AC293*12)*0.20),1)</x:f>
        <x:v>65.3</x:v>
      </x:c>
      <x:c r="AO293" s="37" t="n">
        <x:f>ROUND(MAX(0,MIN(100,(X293*0.35)+(W293/45*100*0.20)+((5-O293)/4*100*0.15)+((5-P293)/4*100*0.10)+((6-Y293)/5*100*0.10)+((100-Z293)*0.10))),1)</x:f>
        <x:v>49.5</x:v>
      </x:c>
      <x:c r="AP293" s="37" t="str">
        <x:f>IF(AO293&gt;=70,"High",IF(AO293&gt;=40,"Moderate","Low"))</x:f>
        <x:v>Moderate</x:v>
      </x:c>
      <x:c r="AQ293" s="37" t="n">
        <x:f>ROUND(MAX(0,MIN(100,(O293/4*100*0.25)+(P293/4*100*0.20)+(Q293/4*100*0.15)+(Y293/5*100*0.20)+(100-AO293)*0.20)),1)</x:f>
        <x:v>73.9</x:v>
      </x:c>
      <x:c r="AR293" s="37" t="n">
        <x:f>ROUND((AI293*0.20+AJ293*0.15+AN293*0.18+AG293*0.12+Z293*0.15+AQ293*0.20),1)</x:f>
        <x:v>87.8</x:v>
      </x:c>
      <x:c r="AS293" s="39" t="n">
        <x:f>ROUND((AC293*AF293*120)+(AH293*350)+(MAX(0,AI293-75)*220)+(MAX(0,AQ293-60)*100),0)</x:f>
        <x:v>25438</x:v>
      </x:c>
    </x:row>
    <x:row r="294">
      <x:c r="A294" s="35" t="n">
        <x:v>293</x:v>
      </x:c>
      <x:c r="B294" s="35" t="n">
        <x:v>45</x:v>
      </x:c>
      <x:c r="C294" s="35" t="str">
        <x:v>Female</x:v>
      </x:c>
      <x:c r="D294" s="35" t="str">
        <x:v>Operations</x:v>
      </x:c>
      <x:c r="E294" s="35" t="str">
        <x:v>Quality Specialist</x:v>
      </x:c>
      <x:c r="F294" s="35" t="str">
        <x:v>Technical Degree</x:v>
      </x:c>
      <x:c r="G294" s="35" t="str">
        <x:v>Divorced</x:v>
      </x:c>
      <x:c r="H294" s="35" t="n">
        <x:v>2</x:v>
      </x:c>
      <x:c r="I294" s="36" t="n">
        <x:v>8090</x:v>
      </x:c>
      <x:c r="J294" s="35" t="n">
        <x:v>12</x:v>
      </x:c>
      <x:c r="K294" s="35" t="n">
        <x:v>7</x:v>
      </x:c>
      <x:c r="L294" s="35" t="n">
        <x:v>2</x:v>
      </x:c>
      <x:c r="M294" s="35" t="n">
        <x:v>13</x:v>
      </x:c>
      <x:c r="N294" s="35" t="str">
        <x:v>Yes</x:v>
      </x:c>
      <x:c r="O294" s="35" t="n">
        <x:v>3</x:v>
      </x:c>
      <x:c r="P294" s="35" t="n">
        <x:v>3</x:v>
      </x:c>
      <x:c r="Q294" s="35" t="n">
        <x:v>3</x:v>
      </x:c>
      <x:c r="R294" s="35" t="n">
        <x:v>4</x:v>
      </x:c>
      <x:c r="S294" s="35" t="n">
        <x:v>3</x:v>
      </x:c>
      <x:c r="T294" s="35" t="n">
        <x:v>1</x:v>
      </x:c>
      <x:c r="U294" s="35" t="n">
        <x:v>2</x:v>
      </x:c>
      <x:c r="V294" s="35" t="n">
        <x:v>7</x:v>
      </x:c>
      <x:c r="W294" s="35" t="n">
        <x:v>5</x:v>
      </x:c>
      <x:c r="X294" s="35" t="n">
        <x:v>86</x:v>
      </x:c>
      <x:c r="Y294" s="35" t="n">
        <x:v>5</x:v>
      </x:c>
      <x:c r="Z294" s="35" t="n">
        <x:v>100</x:v>
      </x:c>
      <x:c r="AA294" s="35" t="n">
        <x:v>3</x:v>
      </x:c>
      <x:c r="AB294" s="35" t="n">
        <x:v>3</x:v>
      </x:c>
      <x:c r="AC294" s="35" t="n">
        <x:v>3</x:v>
      </x:c>
      <x:c r="AD294" s="35" t="n">
        <x:v>72</x:v>
      </x:c>
      <x:c r="AE294" s="35" t="n">
        <x:v>70</x:v>
      </x:c>
      <x:c r="AF294" s="35" t="n">
        <x:v>89</x:v>
      </x:c>
      <x:c r="AG294" s="35" t="n">
        <x:v>100</x:v>
      </x:c>
      <x:c r="AH294" s="35" t="n">
        <x:v>5</x:v>
      </x:c>
      <x:c r="AI294" s="37" t="n">
        <x:v>100</x:v>
      </x:c>
      <x:c r="AJ294" s="37" t="n">
        <x:v>91.6</x:v>
      </x:c>
      <x:c r="AK294" s="35" t="str">
        <x:v>No</x:v>
      </x:c>
      <x:c r="AL294" s="38" t="n">
        <x:f>IF(AA294=0,0,AB294/AA294)</x:f>
        <x:v>1</x:v>
      </x:c>
      <x:c r="AM294" s="38" t="n">
        <x:f>IF(AB294=0,0,AC294/AB294)</x:f>
        <x:v>1</x:v>
      </x:c>
      <x:c r="AN294" s="37" t="n">
        <x:f>ROUND((AD294*0.20+AE294*0.20+AF294*0.25+AG294*0.15+MIN(100,AC294*12)*0.20),1)</x:f>
        <x:v>72.9</x:v>
      </x:c>
      <x:c r="AO294" s="37" t="n">
        <x:f>ROUND(MAX(0,MIN(100,(X294*0.35)+(W294/45*100*0.20)+((5-O294)/4*100*0.15)+((5-P294)/4*100*0.10)+((6-Y294)/5*100*0.10)+((100-Z294)*0.10))),1)</x:f>
        <x:v>46.8</x:v>
      </x:c>
      <x:c r="AP294" s="37" t="str">
        <x:f>IF(AO294&gt;=70,"High",IF(AO294&gt;=40,"Moderate","Low"))</x:f>
        <x:v>Moderate</x:v>
      </x:c>
      <x:c r="AQ294" s="37" t="n">
        <x:f>ROUND(MAX(0,MIN(100,(O294/4*100*0.25)+(P294/4*100*0.20)+(Q294/4*100*0.15)+(Y294/5*100*0.20)+(100-AO294)*0.20)),1)</x:f>
        <x:v>75.6</x:v>
      </x:c>
      <x:c r="AR294" s="37" t="n">
        <x:f>ROUND((AI294*0.20+AJ294*0.15+AN294*0.18+AG294*0.12+Z294*0.15+AQ294*0.20),1)</x:f>
        <x:v>89</x:v>
      </x:c>
      <x:c r="AS294" s="39" t="n">
        <x:f>ROUND((AC294*AF294*120)+(AH294*350)+(MAX(0,AI294-75)*220)+(MAX(0,AQ294-60)*100),0)</x:f>
        <x:v>40850</x:v>
      </x:c>
    </x:row>
    <x:row r="295">
      <x:c r="A295" s="35" t="n">
        <x:v>294</x:v>
      </x:c>
      <x:c r="B295" s="35" t="n">
        <x:v>39</x:v>
      </x:c>
      <x:c r="C295" s="35" t="str">
        <x:v>Male</x:v>
      </x:c>
      <x:c r="D295" s="35" t="str">
        <x:v>Research &amp; Development</x:v>
      </x:c>
      <x:c r="E295" s="35" t="str">
        <x:v>Research Scientist</x:v>
      </x:c>
      <x:c r="F295" s="35" t="str">
        <x:v>Computer Science</x:v>
      </x:c>
      <x:c r="G295" s="35" t="str">
        <x:v>Single</x:v>
      </x:c>
      <x:c r="H295" s="35" t="n">
        <x:v>2</x:v>
      </x:c>
      <x:c r="I295" s="36" t="n">
        <x:v>7870</x:v>
      </x:c>
      <x:c r="J295" s="35" t="n">
        <x:v>8</x:v>
      </x:c>
      <x:c r="K295" s="35" t="n">
        <x:v>4</x:v>
      </x:c>
      <x:c r="L295" s="35" t="n">
        <x:v>3</x:v>
      </x:c>
      <x:c r="M295" s="35" t="n">
        <x:v>12</x:v>
      </x:c>
      <x:c r="N295" s="35" t="str">
        <x:v>No</x:v>
      </x:c>
      <x:c r="O295" s="35" t="n">
        <x:v>4</x:v>
      </x:c>
      <x:c r="P295" s="35" t="n">
        <x:v>2</x:v>
      </x:c>
      <x:c r="Q295" s="35" t="n">
        <x:v>3</x:v>
      </x:c>
      <x:c r="R295" s="35" t="n">
        <x:v>3</x:v>
      </x:c>
      <x:c r="S295" s="35" t="n">
        <x:v>3</x:v>
      </x:c>
      <x:c r="T295" s="35" t="n">
        <x:v>4</x:v>
      </x:c>
      <x:c r="U295" s="35" t="n">
        <x:v>2</x:v>
      </x:c>
      <x:c r="V295" s="35" t="n">
        <x:v>1</x:v>
      </x:c>
      <x:c r="W295" s="35" t="n">
        <x:v>16</x:v>
      </x:c>
      <x:c r="X295" s="35" t="n">
        <x:v>64</x:v>
      </x:c>
      <x:c r="Y295" s="35" t="n">
        <x:v>4</x:v>
      </x:c>
      <x:c r="Z295" s="35" t="n">
        <x:v>96</x:v>
      </x:c>
      <x:c r="AA295" s="35" t="n">
        <x:v>8</x:v>
      </x:c>
      <x:c r="AB295" s="35" t="n">
        <x:v>7</x:v>
      </x:c>
      <x:c r="AC295" s="35" t="n">
        <x:v>6</x:v>
      </x:c>
      <x:c r="AD295" s="35" t="n">
        <x:v>75</x:v>
      </x:c>
      <x:c r="AE295" s="35" t="n">
        <x:v>90</x:v>
      </x:c>
      <x:c r="AF295" s="35" t="n">
        <x:v>86</x:v>
      </x:c>
      <x:c r="AG295" s="35" t="n">
        <x:v>89</x:v>
      </x:c>
      <x:c r="AH295" s="35" t="n">
        <x:v>4</x:v>
      </x:c>
      <x:c r="AI295" s="37" t="n">
        <x:v>91.7</x:v>
      </x:c>
      <x:c r="AJ295" s="37" t="n">
        <x:v>88.9</x:v>
      </x:c>
      <x:c r="AK295" s="35" t="str">
        <x:v>No</x:v>
      </x:c>
      <x:c r="AL295" s="38" t="n">
        <x:f>IF(AA295=0,0,AB295/AA295)</x:f>
        <x:v>0.875</x:v>
      </x:c>
      <x:c r="AM295" s="38" t="n">
        <x:f>IF(AB295=0,0,AC295/AB295)</x:f>
        <x:v>0.8571428571428571</x:v>
      </x:c>
      <x:c r="AN295" s="37" t="n">
        <x:f>ROUND((AD295*0.20+AE295*0.20+AF295*0.25+AG295*0.15+MIN(100,AC295*12)*0.20),1)</x:f>
        <x:v>82.3</x:v>
      </x:c>
      <x:c r="AO295" s="37" t="n">
        <x:f>ROUND(MAX(0,MIN(100,(X295*0.35)+(W295/45*100*0.20)+((5-O295)/4*100*0.15)+((5-P295)/4*100*0.10)+((6-Y295)/5*100*0.10)+((100-Z295)*0.10))),1)</x:f>
        <x:v>45.2</x:v>
      </x:c>
      <x:c r="AP295" s="37" t="str">
        <x:f>IF(AO295&gt;=70,"High",IF(AO295&gt;=40,"Moderate","Low"))</x:f>
        <x:v>Moderate</x:v>
      </x:c>
      <x:c r="AQ295" s="37" t="n">
        <x:f>ROUND(MAX(0,MIN(100,(O295/4*100*0.25)+(P295/4*100*0.20)+(Q295/4*100*0.15)+(Y295/5*100*0.20)+(100-AO295)*0.20)),1)</x:f>
        <x:v>73.2</x:v>
      </x:c>
      <x:c r="AR295" s="37" t="n">
        <x:f>ROUND((AI295*0.20+AJ295*0.15+AN295*0.18+AG295*0.12+Z295*0.15+AQ295*0.20),1)</x:f>
        <x:v>86.2</x:v>
      </x:c>
      <x:c r="AS295" s="39" t="n">
        <x:f>ROUND((AC295*AF295*120)+(AH295*350)+(MAX(0,AI295-75)*220)+(MAX(0,AQ295-60)*100),0)</x:f>
        <x:v>68314</x:v>
      </x:c>
    </x:row>
    <x:row r="296">
      <x:c r="A296" s="35" t="n">
        <x:v>295</x:v>
      </x:c>
      <x:c r="B296" s="35" t="n">
        <x:v>34</x:v>
      </x:c>
      <x:c r="C296" s="35" t="str">
        <x:v>Male</x:v>
      </x:c>
      <x:c r="D296" s="35" t="str">
        <x:v>Marketing</x:v>
      </x:c>
      <x:c r="E296" s="35" t="str">
        <x:v>Marketing Manager</x:v>
      </x:c>
      <x:c r="F296" s="35" t="str">
        <x:v>Life Sciences</x:v>
      </x:c>
      <x:c r="G296" s="35" t="str">
        <x:v>Married</x:v>
      </x:c>
      <x:c r="H296" s="35" t="n">
        <x:v>2</x:v>
      </x:c>
      <x:c r="I296" s="36" t="n">
        <x:v>7930</x:v>
      </x:c>
      <x:c r="J296" s="35" t="n">
        <x:v>9</x:v>
      </x:c>
      <x:c r="K296" s="35" t="n">
        <x:v>4</x:v>
      </x:c>
      <x:c r="L296" s="35" t="n">
        <x:v>3</x:v>
      </x:c>
      <x:c r="M296" s="35" t="n">
        <x:v>13</x:v>
      </x:c>
      <x:c r="N296" s="35" t="str">
        <x:v>Yes</x:v>
      </x:c>
      <x:c r="O296" s="35" t="n">
        <x:v>1</x:v>
      </x:c>
      <x:c r="P296" s="35" t="n">
        <x:v>4</x:v>
      </x:c>
      <x:c r="Q296" s="35" t="n">
        <x:v>2</x:v>
      </x:c>
      <x:c r="R296" s="35" t="n">
        <x:v>3</x:v>
      </x:c>
      <x:c r="S296" s="35" t="n">
        <x:v>4</x:v>
      </x:c>
      <x:c r="T296" s="35" t="n">
        <x:v>3</x:v>
      </x:c>
      <x:c r="U296" s="35" t="n">
        <x:v>0</x:v>
      </x:c>
      <x:c r="V296" s="35" t="n">
        <x:v>9</x:v>
      </x:c>
      <x:c r="W296" s="35" t="n">
        <x:v>14</x:v>
      </x:c>
      <x:c r="X296" s="35" t="n">
        <x:v>69</x:v>
      </x:c>
      <x:c r="Y296" s="35" t="n">
        <x:v>5</x:v>
      </x:c>
      <x:c r="Z296" s="35" t="n">
        <x:v>100</x:v>
      </x:c>
      <x:c r="AA296" s="35" t="n">
        <x:v>8</x:v>
      </x:c>
      <x:c r="AB296" s="35" t="n">
        <x:v>5</x:v>
      </x:c>
      <x:c r="AC296" s="35" t="n">
        <x:v>5</x:v>
      </x:c>
      <x:c r="AD296" s="35" t="n">
        <x:v>86</x:v>
      </x:c>
      <x:c r="AE296" s="35" t="n">
        <x:v>93</x:v>
      </x:c>
      <x:c r="AF296" s="35" t="n">
        <x:v>100</x:v>
      </x:c>
      <x:c r="AG296" s="35" t="n">
        <x:v>94</x:v>
      </x:c>
      <x:c r="AH296" s="35" t="n">
        <x:v>12</x:v>
      </x:c>
      <x:c r="AI296" s="37" t="n">
        <x:v>100</x:v>
      </x:c>
      <x:c r="AJ296" s="37" t="n">
        <x:v>90</x:v>
      </x:c>
      <x:c r="AK296" s="35" t="str">
        <x:v>No</x:v>
      </x:c>
      <x:c r="AL296" s="38" t="n">
        <x:f>IF(AA296=0,0,AB296/AA296)</x:f>
        <x:v>0.625</x:v>
      </x:c>
      <x:c r="AM296" s="38" t="n">
        <x:f>IF(AB296=0,0,AC296/AB296)</x:f>
        <x:v>1</x:v>
      </x:c>
      <x:c r="AN296" s="37" t="n">
        <x:f>ROUND((AD296*0.20+AE296*0.20+AF296*0.25+AG296*0.15+MIN(100,AC296*12)*0.20),1)</x:f>
        <x:v>86.9</x:v>
      </x:c>
      <x:c r="AO296" s="37" t="n">
        <x:f>ROUND(MAX(0,MIN(100,(X296*0.35)+(W296/45*100*0.20)+((5-O296)/4*100*0.15)+((5-P296)/4*100*0.10)+((6-Y296)/5*100*0.10)+((100-Z296)*0.10))),1)</x:f>
        <x:v>49.9</x:v>
      </x:c>
      <x:c r="AP296" s="37" t="str">
        <x:f>IF(AO296&gt;=70,"High",IF(AO296&gt;=40,"Moderate","Low"))</x:f>
        <x:v>Moderate</x:v>
      </x:c>
      <x:c r="AQ296" s="37" t="n">
        <x:f>ROUND(MAX(0,MIN(100,(O296/4*100*0.25)+(P296/4*100*0.20)+(Q296/4*100*0.15)+(Y296/5*100*0.20)+(100-AO296)*0.20)),1)</x:f>
        <x:v>63.8</x:v>
      </x:c>
      <x:c r="AR296" s="37" t="n">
        <x:f>ROUND((AI296*0.20+AJ296*0.15+AN296*0.18+AG296*0.12+Z296*0.15+AQ296*0.20),1)</x:f>
        <x:v>88.2</x:v>
      </x:c>
      <x:c r="AS296" s="39" t="n">
        <x:f>ROUND((AC296*AF296*120)+(AH296*350)+(MAX(0,AI296-75)*220)+(MAX(0,AQ296-60)*100),0)</x:f>
        <x:v>70080</x:v>
      </x:c>
    </x:row>
    <x:row r="297">
      <x:c r="A297" s="35" t="n">
        <x:v>296</x:v>
      </x:c>
      <x:c r="B297" s="35" t="n">
        <x:v>36</x:v>
      </x:c>
      <x:c r="C297" s="35" t="str">
        <x:v>Female</x:v>
      </x:c>
      <x:c r="D297" s="35" t="str">
        <x:v>Human Resources</x:v>
      </x:c>
      <x:c r="E297" s="35" t="str">
        <x:v>HR Manager</x:v>
      </x:c>
      <x:c r="F297" s="35" t="str">
        <x:v>Life Sciences</x:v>
      </x:c>
      <x:c r="G297" s="35" t="str">
        <x:v>Married</x:v>
      </x:c>
      <x:c r="H297" s="35" t="n">
        <x:v>1</x:v>
      </x:c>
      <x:c r="I297" s="36" t="n">
        <x:v>7450</x:v>
      </x:c>
      <x:c r="J297" s="35" t="n">
        <x:v>8</x:v>
      </x:c>
      <x:c r="K297" s="35" t="n">
        <x:v>3</x:v>
      </x:c>
      <x:c r="L297" s="35" t="n">
        <x:v>1</x:v>
      </x:c>
      <x:c r="M297" s="35" t="n">
        <x:v>9</x:v>
      </x:c>
      <x:c r="N297" s="35" t="str">
        <x:v>No</x:v>
      </x:c>
      <x:c r="O297" s="35" t="n">
        <x:v>2</x:v>
      </x:c>
      <x:c r="P297" s="35" t="n">
        <x:v>3</x:v>
      </x:c>
      <x:c r="Q297" s="35" t="n">
        <x:v>3</x:v>
      </x:c>
      <x:c r="R297" s="35" t="n">
        <x:v>2</x:v>
      </x:c>
      <x:c r="S297" s="35" t="n">
        <x:v>4</x:v>
      </x:c>
      <x:c r="T297" s="35" t="n">
        <x:v>4</x:v>
      </x:c>
      <x:c r="U297" s="35" t="n">
        <x:v>1</x:v>
      </x:c>
      <x:c r="V297" s="35" t="n">
        <x:v>7</x:v>
      </x:c>
      <x:c r="W297" s="35" t="n">
        <x:v>13</x:v>
      </x:c>
      <x:c r="X297" s="35" t="n">
        <x:v>81</x:v>
      </x:c>
      <x:c r="Y297" s="35" t="n">
        <x:v>4</x:v>
      </x:c>
      <x:c r="Z297" s="35" t="n">
        <x:v>90</x:v>
      </x:c>
      <x:c r="AA297" s="35" t="n">
        <x:v>4</x:v>
      </x:c>
      <x:c r="AB297" s="35" t="n">
        <x:v>4</x:v>
      </x:c>
      <x:c r="AC297" s="35" t="n">
        <x:v>3</x:v>
      </x:c>
      <x:c r="AD297" s="35" t="n">
        <x:v>82</x:v>
      </x:c>
      <x:c r="AE297" s="35" t="n">
        <x:v>69</x:v>
      </x:c>
      <x:c r="AF297" s="35" t="n">
        <x:v>68</x:v>
      </x:c>
      <x:c r="AG297" s="35" t="n">
        <x:v>93</x:v>
      </x:c>
      <x:c r="AH297" s="35" t="n">
        <x:v>10</x:v>
      </x:c>
      <x:c r="AI297" s="37" t="n">
        <x:v>99.6</x:v>
      </x:c>
      <x:c r="AJ297" s="37" t="n">
        <x:v>100</x:v>
      </x:c>
      <x:c r="AK297" s="35" t="str">
        <x:v>No</x:v>
      </x:c>
      <x:c r="AL297" s="38" t="n">
        <x:f>IF(AA297=0,0,AB297/AA297)</x:f>
        <x:v>1</x:v>
      </x:c>
      <x:c r="AM297" s="38" t="n">
        <x:f>IF(AB297=0,0,AC297/AB297)</x:f>
        <x:v>0.75</x:v>
      </x:c>
      <x:c r="AN297" s="37" t="n">
        <x:f>ROUND((AD297*0.20+AE297*0.20+AF297*0.25+AG297*0.15+MIN(100,AC297*12)*0.20),1)</x:f>
        <x:v>68.4</x:v>
      </x:c>
      <x:c r="AO297" s="37" t="n">
        <x:f>ROUND(MAX(0,MIN(100,(X297*0.35)+(W297/45*100*0.20)+((5-O297)/4*100*0.15)+((5-P297)/4*100*0.10)+((6-Y297)/5*100*0.10)+((100-Z297)*0.10))),1)</x:f>
        <x:v>55.4</x:v>
      </x:c>
      <x:c r="AP297" s="37" t="str">
        <x:f>IF(AO297&gt;=70,"High",IF(AO297&gt;=40,"Moderate","Low"))</x:f>
        <x:v>Moderate</x:v>
      </x:c>
      <x:c r="AQ297" s="37" t="n">
        <x:f>ROUND(MAX(0,MIN(100,(O297/4*100*0.25)+(P297/4*100*0.20)+(Q297/4*100*0.15)+(Y297/5*100*0.20)+(100-AO297)*0.20)),1)</x:f>
        <x:v>63.7</x:v>
      </x:c>
      <x:c r="AR297" s="37" t="n">
        <x:f>ROUND((AI297*0.20+AJ297*0.15+AN297*0.18+AG297*0.12+Z297*0.15+AQ297*0.20),1)</x:f>
        <x:v>84.6</x:v>
      </x:c>
      <x:c r="AS297" s="39" t="n">
        <x:f>ROUND((AC297*AF297*120)+(AH297*350)+(MAX(0,AI297-75)*220)+(MAX(0,AQ297-60)*100),0)</x:f>
        <x:v>33762</x:v>
      </x:c>
    </x:row>
    <x:row r="298">
      <x:c r="A298" s="35" t="n">
        <x:v>297</x:v>
      </x:c>
      <x:c r="B298" s="35" t="n">
        <x:v>35</x:v>
      </x:c>
      <x:c r="C298" s="35" t="str">
        <x:v>Female</x:v>
      </x:c>
      <x:c r="D298" s="35" t="str">
        <x:v>Research &amp; Development</x:v>
      </x:c>
      <x:c r="E298" s="35" t="str">
        <x:v>Data Scientist</x:v>
      </x:c>
      <x:c r="F298" s="35" t="str">
        <x:v>Life Sciences</x:v>
      </x:c>
      <x:c r="G298" s="35" t="str">
        <x:v>Married</x:v>
      </x:c>
      <x:c r="H298" s="35" t="n">
        <x:v>1</x:v>
      </x:c>
      <x:c r="I298" s="36" t="n">
        <x:v>4710</x:v>
      </x:c>
      <x:c r="J298" s="35" t="n">
        <x:v>9</x:v>
      </x:c>
      <x:c r="K298" s="35" t="n">
        <x:v>4</x:v>
      </x:c>
      <x:c r="L298" s="35" t="n">
        <x:v>2</x:v>
      </x:c>
      <x:c r="M298" s="35" t="n">
        <x:v>1</x:v>
      </x:c>
      <x:c r="N298" s="35" t="str">
        <x:v>No</x:v>
      </x:c>
      <x:c r="O298" s="35" t="n">
        <x:v>2</x:v>
      </x:c>
      <x:c r="P298" s="35" t="n">
        <x:v>3</x:v>
      </x:c>
      <x:c r="Q298" s="35" t="n">
        <x:v>3</x:v>
      </x:c>
      <x:c r="R298" s="35" t="n">
        <x:v>3</x:v>
      </x:c>
      <x:c r="S298" s="35" t="n">
        <x:v>3</x:v>
      </x:c>
      <x:c r="T298" s="35" t="n">
        <x:v>2</x:v>
      </x:c>
      <x:c r="U298" s="35" t="n">
        <x:v>0</x:v>
      </x:c>
      <x:c r="V298" s="35" t="n">
        <x:v>13</x:v>
      </x:c>
      <x:c r="W298" s="35" t="n">
        <x:v>6</x:v>
      </x:c>
      <x:c r="X298" s="35" t="n">
        <x:v>73</x:v>
      </x:c>
      <x:c r="Y298" s="35" t="n">
        <x:v>4</x:v>
      </x:c>
      <x:c r="Z298" s="35" t="n">
        <x:v>89</x:v>
      </x:c>
      <x:c r="AA298" s="35" t="n">
        <x:v>8</x:v>
      </x:c>
      <x:c r="AB298" s="35" t="n">
        <x:v>6</x:v>
      </x:c>
      <x:c r="AC298" s="35" t="n">
        <x:v>6</x:v>
      </x:c>
      <x:c r="AD298" s="35" t="n">
        <x:v>84</x:v>
      </x:c>
      <x:c r="AE298" s="35" t="n">
        <x:v>100</x:v>
      </x:c>
      <x:c r="AF298" s="35" t="n">
        <x:v>91</x:v>
      </x:c>
      <x:c r="AG298" s="35" t="n">
        <x:v>91</x:v>
      </x:c>
      <x:c r="AH298" s="35" t="n">
        <x:v>10</x:v>
      </x:c>
      <x:c r="AI298" s="37" t="n">
        <x:v>100</x:v>
      </x:c>
      <x:c r="AJ298" s="37" t="n">
        <x:v>100</x:v>
      </x:c>
      <x:c r="AK298" s="35" t="str">
        <x:v>No</x:v>
      </x:c>
      <x:c r="AL298" s="38" t="n">
        <x:f>IF(AA298=0,0,AB298/AA298)</x:f>
        <x:v>0.75</x:v>
      </x:c>
      <x:c r="AM298" s="38" t="n">
        <x:f>IF(AB298=0,0,AC298/AB298)</x:f>
        <x:v>1</x:v>
      </x:c>
      <x:c r="AN298" s="37" t="n">
        <x:f>ROUND((AD298*0.20+AE298*0.20+AF298*0.25+AG298*0.15+MIN(100,AC298*12)*0.20),1)</x:f>
        <x:v>87.6</x:v>
      </x:c>
      <x:c r="AO298" s="37" t="n">
        <x:f>ROUND(MAX(0,MIN(100,(X298*0.35)+(W298/45*100*0.20)+((5-O298)/4*100*0.15)+((5-P298)/4*100*0.10)+((6-Y298)/5*100*0.10)+((100-Z298)*0.10))),1)</x:f>
        <x:v>49.6</x:v>
      </x:c>
      <x:c r="AP298" s="37" t="str">
        <x:f>IF(AO298&gt;=70,"High",IF(AO298&gt;=40,"Moderate","Low"))</x:f>
        <x:v>Moderate</x:v>
      </x:c>
      <x:c r="AQ298" s="37" t="n">
        <x:f>ROUND(MAX(0,MIN(100,(O298/4*100*0.25)+(P298/4*100*0.20)+(Q298/4*100*0.15)+(Y298/5*100*0.20)+(100-AO298)*0.20)),1)</x:f>
        <x:v>64.8</x:v>
      </x:c>
      <x:c r="AR298" s="37" t="n">
        <x:f>ROUND((AI298*0.20+AJ298*0.15+AN298*0.18+AG298*0.12+Z298*0.15+AQ298*0.20),1)</x:f>
        <x:v>88</x:v>
      </x:c>
      <x:c r="AS298" s="39" t="n">
        <x:f>ROUND((AC298*AF298*120)+(AH298*350)+(MAX(0,AI298-75)*220)+(MAX(0,AQ298-60)*100),0)</x:f>
        <x:v>75000</x:v>
      </x:c>
    </x:row>
    <x:row r="299">
      <x:c r="A299" s="35" t="n">
        <x:v>298</x:v>
      </x:c>
      <x:c r="B299" s="35" t="n">
        <x:v>28</x:v>
      </x:c>
      <x:c r="C299" s="35" t="str">
        <x:v>Female</x:v>
      </x:c>
      <x:c r="D299" s="35" t="str">
        <x:v>Research &amp; Development</x:v>
      </x:c>
      <x:c r="E299" s="35" t="str">
        <x:v>Data Scientist</x:v>
      </x:c>
      <x:c r="F299" s="35" t="str">
        <x:v>Life Sciences</x:v>
      </x:c>
      <x:c r="G299" s="35" t="str">
        <x:v>Married</x:v>
      </x:c>
      <x:c r="H299" s="35" t="n">
        <x:v>1</x:v>
      </x:c>
      <x:c r="I299" s="36" t="n">
        <x:v>5340</x:v>
      </x:c>
      <x:c r="J299" s="35" t="n">
        <x:v>4</x:v>
      </x:c>
      <x:c r="K299" s="35" t="n">
        <x:v>2</x:v>
      </x:c>
      <x:c r="L299" s="35" t="n">
        <x:v>1</x:v>
      </x:c>
      <x:c r="M299" s="35" t="n">
        <x:v>4</x:v>
      </x:c>
      <x:c r="N299" s="35" t="str">
        <x:v>No</x:v>
      </x:c>
      <x:c r="O299" s="35" t="n">
        <x:v>2</x:v>
      </x:c>
      <x:c r="P299" s="35" t="n">
        <x:v>3</x:v>
      </x:c>
      <x:c r="Q299" s="35" t="n">
        <x:v>2</x:v>
      </x:c>
      <x:c r="R299" s="35" t="n">
        <x:v>4</x:v>
      </x:c>
      <x:c r="S299" s="35" t="n">
        <x:v>3</x:v>
      </x:c>
      <x:c r="T299" s="35" t="n">
        <x:v>5</x:v>
      </x:c>
      <x:c r="U299" s="35" t="n">
        <x:v>2</x:v>
      </x:c>
      <x:c r="V299" s="35" t="n">
        <x:v>12</x:v>
      </x:c>
      <x:c r="W299" s="35" t="n">
        <x:v>15</x:v>
      </x:c>
      <x:c r="X299" s="35" t="n">
        <x:v>56</x:v>
      </x:c>
      <x:c r="Y299" s="35" t="n">
        <x:v>5</x:v>
      </x:c>
      <x:c r="Z299" s="35" t="n">
        <x:v>100</x:v>
      </x:c>
      <x:c r="AA299" s="35" t="n">
        <x:v>4</x:v>
      </x:c>
      <x:c r="AB299" s="35" t="n">
        <x:v>2</x:v>
      </x:c>
      <x:c r="AC299" s="35" t="n">
        <x:v>2</x:v>
      </x:c>
      <x:c r="AD299" s="35" t="n">
        <x:v>100</x:v>
      </x:c>
      <x:c r="AE299" s="35" t="n">
        <x:v>92</x:v>
      </x:c>
      <x:c r="AF299" s="35" t="n">
        <x:v>68</x:v>
      </x:c>
      <x:c r="AG299" s="35" t="n">
        <x:v>100</x:v>
      </x:c>
      <x:c r="AH299" s="35" t="n">
        <x:v>6</x:v>
      </x:c>
      <x:c r="AI299" s="37" t="n">
        <x:v>93.9</x:v>
      </x:c>
      <x:c r="AJ299" s="37" t="n">
        <x:v>94.6</x:v>
      </x:c>
      <x:c r="AK299" s="35" t="str">
        <x:v>No</x:v>
      </x:c>
      <x:c r="AL299" s="38" t="n">
        <x:f>IF(AA299=0,0,AB299/AA299)</x:f>
        <x:v>0.5</x:v>
      </x:c>
      <x:c r="AM299" s="38" t="n">
        <x:f>IF(AB299=0,0,AC299/AB299)</x:f>
        <x:v>1</x:v>
      </x:c>
      <x:c r="AN299" s="37" t="n">
        <x:f>ROUND((AD299*0.20+AE299*0.20+AF299*0.25+AG299*0.15+MIN(100,AC299*12)*0.20),1)</x:f>
        <x:v>75.2</x:v>
      </x:c>
      <x:c r="AO299" s="37" t="n">
        <x:f>ROUND(MAX(0,MIN(100,(X299*0.35)+(W299/45*100*0.20)+((5-O299)/4*100*0.15)+((5-P299)/4*100*0.10)+((6-Y299)/5*100*0.10)+((100-Z299)*0.10))),1)</x:f>
        <x:v>44.5</x:v>
      </x:c>
      <x:c r="AP299" s="37" t="str">
        <x:f>IF(AO299&gt;=70,"High",IF(AO299&gt;=40,"Moderate","Low"))</x:f>
        <x:v>Moderate</x:v>
      </x:c>
      <x:c r="AQ299" s="37" t="n">
        <x:f>ROUND(MAX(0,MIN(100,(O299/4*100*0.25)+(P299/4*100*0.20)+(Q299/4*100*0.15)+(Y299/5*100*0.20)+(100-AO299)*0.20)),1)</x:f>
        <x:v>66.1</x:v>
      </x:c>
      <x:c r="AR299" s="37" t="n">
        <x:f>ROUND((AI299*0.20+AJ299*0.15+AN299*0.18+AG299*0.12+Z299*0.15+AQ299*0.20),1)</x:f>
        <x:v>86.7</x:v>
      </x:c>
      <x:c r="AS299" s="39" t="n">
        <x:f>ROUND((AC299*AF299*120)+(AH299*350)+(MAX(0,AI299-75)*220)+(MAX(0,AQ299-60)*100),0)</x:f>
        <x:v>23188</x:v>
      </x:c>
    </x:row>
    <x:row r="300">
      <x:c r="A300" s="35" t="n">
        <x:v>299</x:v>
      </x:c>
      <x:c r="B300" s="35" t="n">
        <x:v>33</x:v>
      </x:c>
      <x:c r="C300" s="35" t="str">
        <x:v>Male</x:v>
      </x:c>
      <x:c r="D300" s="35" t="str">
        <x:v>Sales</x:v>
      </x:c>
      <x:c r="E300" s="35" t="str">
        <x:v>Account Manager</x:v>
      </x:c>
      <x:c r="F300" s="35" t="str">
        <x:v>Business</x:v>
      </x:c>
      <x:c r="G300" s="35" t="str">
        <x:v>Married</x:v>
      </x:c>
      <x:c r="H300" s="35" t="n">
        <x:v>2</x:v>
      </x:c>
      <x:c r="I300" s="36" t="n">
        <x:v>9680</x:v>
      </x:c>
      <x:c r="J300" s="35" t="n">
        <x:v>10</x:v>
      </x:c>
      <x:c r="K300" s="35" t="n">
        <x:v>7</x:v>
      </x:c>
      <x:c r="L300" s="35" t="n">
        <x:v>5</x:v>
      </x:c>
      <x:c r="M300" s="35" t="n">
        <x:v>9</x:v>
      </x:c>
      <x:c r="N300" s="35" t="str">
        <x:v>No</x:v>
      </x:c>
      <x:c r="O300" s="35" t="n">
        <x:v>3</x:v>
      </x:c>
      <x:c r="P300" s="35" t="n">
        <x:v>3</x:v>
      </x:c>
      <x:c r="Q300" s="35" t="n">
        <x:v>3</x:v>
      </x:c>
      <x:c r="R300" s="35" t="n">
        <x:v>4</x:v>
      </x:c>
      <x:c r="S300" s="35" t="n">
        <x:v>3</x:v>
      </x:c>
      <x:c r="T300" s="35" t="n">
        <x:v>2</x:v>
      </x:c>
      <x:c r="U300" s="35" t="n">
        <x:v>0</x:v>
      </x:c>
      <x:c r="V300" s="35" t="n">
        <x:v>0</x:v>
      </x:c>
      <x:c r="W300" s="35" t="n">
        <x:v>2</x:v>
      </x:c>
      <x:c r="X300" s="35" t="n">
        <x:v>49</x:v>
      </x:c>
      <x:c r="Y300" s="35" t="n">
        <x:v>5</x:v>
      </x:c>
      <x:c r="Z300" s="35" t="n">
        <x:v>100</x:v>
      </x:c>
      <x:c r="AA300" s="35" t="n">
        <x:v>5</x:v>
      </x:c>
      <x:c r="AB300" s="35" t="n">
        <x:v>4</x:v>
      </x:c>
      <x:c r="AC300" s="35" t="n">
        <x:v>3</x:v>
      </x:c>
      <x:c r="AD300" s="35" t="n">
        <x:v>63</x:v>
      </x:c>
      <x:c r="AE300" s="35" t="n">
        <x:v>70</x:v>
      </x:c>
      <x:c r="AF300" s="35" t="n">
        <x:v>67</x:v>
      </x:c>
      <x:c r="AG300" s="35" t="n">
        <x:v>100</x:v>
      </x:c>
      <x:c r="AH300" s="35" t="n">
        <x:v>6</x:v>
      </x:c>
      <x:c r="AI300" s="37" t="n">
        <x:v>93.3</x:v>
      </x:c>
      <x:c r="AJ300" s="37" t="n">
        <x:v>95.6</x:v>
      </x:c>
      <x:c r="AK300" s="35" t="str">
        <x:v>No</x:v>
      </x:c>
      <x:c r="AL300" s="38" t="n">
        <x:f>IF(AA300=0,0,AB300/AA300)</x:f>
        <x:v>0.8</x:v>
      </x:c>
      <x:c r="AM300" s="38" t="n">
        <x:f>IF(AB300=0,0,AC300/AB300)</x:f>
        <x:v>0.75</x:v>
      </x:c>
      <x:c r="AN300" s="37" t="n">
        <x:f>ROUND((AD300*0.20+AE300*0.20+AF300*0.25+AG300*0.15+MIN(100,AC300*12)*0.20),1)</x:f>
        <x:v>65.6</x:v>
      </x:c>
      <x:c r="AO300" s="37" t="n">
        <x:f>ROUND(MAX(0,MIN(100,(X300*0.35)+(W300/45*100*0.20)+((5-O300)/4*100*0.15)+((5-P300)/4*100*0.10)+((6-Y300)/5*100*0.10)+((100-Z300)*0.10))),1)</x:f>
        <x:v>32.5</x:v>
      </x:c>
      <x:c r="AP300" s="37" t="str">
        <x:f>IF(AO300&gt;=70,"High",IF(AO300&gt;=40,"Moderate","Low"))</x:f>
        <x:v>Low</x:v>
      </x:c>
      <x:c r="AQ300" s="37" t="n">
        <x:f>ROUND(MAX(0,MIN(100,(O300/4*100*0.25)+(P300/4*100*0.20)+(Q300/4*100*0.15)+(Y300/5*100*0.20)+(100-AO300)*0.20)),1)</x:f>
        <x:v>78.5</x:v>
      </x:c>
      <x:c r="AR300" s="37" t="n">
        <x:f>ROUND((AI300*0.20+AJ300*0.15+AN300*0.18+AG300*0.12+Z300*0.15+AQ300*0.20),1)</x:f>
        <x:v>87.5</x:v>
      </x:c>
      <x:c r="AS300" s="39" t="n">
        <x:f>ROUND((AC300*AF300*120)+(AH300*350)+(MAX(0,AI300-75)*220)+(MAX(0,AQ300-60)*100),0)</x:f>
        <x:v>32096</x:v>
      </x:c>
    </x:row>
    <x:row r="301">
      <x:c r="A301" s="35" t="n">
        <x:v>300</x:v>
      </x:c>
      <x:c r="B301" s="35" t="n">
        <x:v>30</x:v>
      </x:c>
      <x:c r="C301" s="35" t="str">
        <x:v>Male</x:v>
      </x:c>
      <x:c r="D301" s="35" t="str">
        <x:v>Sales</x:v>
      </x:c>
      <x:c r="E301" s="35" t="str">
        <x:v>Sales Representative</x:v>
      </x:c>
      <x:c r="F301" s="35" t="str">
        <x:v>Marketing</x:v>
      </x:c>
      <x:c r="G301" s="35" t="str">
        <x:v>Married</x:v>
      </x:c>
      <x:c r="H301" s="35" t="n">
        <x:v>1</x:v>
      </x:c>
      <x:c r="I301" s="36" t="n">
        <x:v>5120</x:v>
      </x:c>
      <x:c r="J301" s="35" t="n">
        <x:v>6</x:v>
      </x:c>
      <x:c r="K301" s="35" t="n">
        <x:v>3</x:v>
      </x:c>
      <x:c r="L301" s="35" t="n">
        <x:v>2</x:v>
      </x:c>
      <x:c r="M301" s="35" t="n">
        <x:v>4</x:v>
      </x:c>
      <x:c r="N301" s="35" t="str">
        <x:v>No</x:v>
      </x:c>
      <x:c r="O301" s="35" t="n">
        <x:v>3</x:v>
      </x:c>
      <x:c r="P301" s="35" t="n">
        <x:v>4</x:v>
      </x:c>
      <x:c r="Q301" s="35" t="n">
        <x:v>3</x:v>
      </x:c>
      <x:c r="R301" s="35" t="n">
        <x:v>2</x:v>
      </x:c>
      <x:c r="S301" s="35" t="n">
        <x:v>3</x:v>
      </x:c>
      <x:c r="T301" s="35" t="n">
        <x:v>1</x:v>
      </x:c>
      <x:c r="U301" s="35" t="n">
        <x:v>1</x:v>
      </x:c>
      <x:c r="V301" s="35" t="n">
        <x:v>5</x:v>
      </x:c>
      <x:c r="W301" s="35" t="n">
        <x:v>4</x:v>
      </x:c>
      <x:c r="X301" s="35" t="n">
        <x:v>56</x:v>
      </x:c>
      <x:c r="Y301" s="35" t="n">
        <x:v>5</x:v>
      </x:c>
      <x:c r="Z301" s="35" t="n">
        <x:v>100</x:v>
      </x:c>
      <x:c r="AA301" s="35" t="n">
        <x:v>3</x:v>
      </x:c>
      <x:c r="AB301" s="35" t="n">
        <x:v>1</x:v>
      </x:c>
      <x:c r="AC301" s="35" t="n">
        <x:v>1</x:v>
      </x:c>
      <x:c r="AD301" s="35" t="n">
        <x:v>76</x:v>
      </x:c>
      <x:c r="AE301" s="35" t="n">
        <x:v>76</x:v>
      </x:c>
      <x:c r="AF301" s="35" t="n">
        <x:v>72</x:v>
      </x:c>
      <x:c r="AG301" s="35" t="n">
        <x:v>65</x:v>
      </x:c>
      <x:c r="AH301" s="35" t="n">
        <x:v>5</x:v>
      </x:c>
      <x:c r="AI301" s="37" t="n">
        <x:v>97.6</x:v>
      </x:c>
      <x:c r="AJ301" s="37" t="n">
        <x:v>97.1</x:v>
      </x:c>
      <x:c r="AK301" s="35" t="str">
        <x:v>No</x:v>
      </x:c>
      <x:c r="AL301" s="38" t="n">
        <x:f>IF(AA301=0,0,AB301/AA301)</x:f>
        <x:v>0.3333333333333333</x:v>
      </x:c>
      <x:c r="AM301" s="38" t="n">
        <x:f>IF(AB301=0,0,AC301/AB301)</x:f>
        <x:v>1</x:v>
      </x:c>
      <x:c r="AN301" s="37" t="n">
        <x:f>ROUND((AD301*0.20+AE301*0.20+AF301*0.25+AG301*0.15+MIN(100,AC301*12)*0.20),1)</x:f>
        <x:v>60.6</x:v>
      </x:c>
      <x:c r="AO301" s="37" t="n">
        <x:f>ROUND(MAX(0,MIN(100,(X301*0.35)+(W301/45*100*0.20)+((5-O301)/4*100*0.15)+((5-P301)/4*100*0.10)+((6-Y301)/5*100*0.10)+((100-Z301)*0.10))),1)</x:f>
        <x:v>33.4</x:v>
      </x:c>
      <x:c r="AP301" s="37" t="str">
        <x:f>IF(AO301&gt;=70,"High",IF(AO301&gt;=40,"Moderate","Low"))</x:f>
        <x:v>Low</x:v>
      </x:c>
      <x:c r="AQ301" s="37" t="n">
        <x:f>ROUND(MAX(0,MIN(100,(O301/4*100*0.25)+(P301/4*100*0.20)+(Q301/4*100*0.15)+(Y301/5*100*0.20)+(100-AO301)*0.20)),1)</x:f>
        <x:v>83.3</x:v>
      </x:c>
      <x:c r="AR301" s="37" t="n">
        <x:f>ROUND((AI301*0.20+AJ301*0.15+AN301*0.18+AG301*0.12+Z301*0.15+AQ301*0.20),1)</x:f>
        <x:v>84.5</x:v>
      </x:c>
      <x:c r="AS301" s="39" t="n">
        <x:f>ROUND((AC301*AF301*120)+(AH301*350)+(MAX(0,AI301-75)*220)+(MAX(0,AQ301-60)*100),0)</x:f>
        <x:v>17692</x:v>
      </x:c>
    </x:row>
    <x:row r="302">
      <x:c r="A302" s="35" t="n">
        <x:v>301</x:v>
      </x:c>
      <x:c r="B302" s="35" t="n">
        <x:v>46</x:v>
      </x:c>
      <x:c r="C302" s="35" t="str">
        <x:v>Female</x:v>
      </x:c>
      <x:c r="D302" s="35" t="str">
        <x:v>Sales</x:v>
      </x:c>
      <x:c r="E302" s="35" t="str">
        <x:v>Sales Executive</x:v>
      </x:c>
      <x:c r="F302" s="35" t="str">
        <x:v>Medical</x:v>
      </x:c>
      <x:c r="G302" s="35" t="str">
        <x:v>Married</x:v>
      </x:c>
      <x:c r="H302" s="35" t="n">
        <x:v>3</x:v>
      </x:c>
      <x:c r="I302" s="36" t="n">
        <x:v>14380</x:v>
      </x:c>
      <x:c r="J302" s="35" t="n">
        <x:v>18</x:v>
      </x:c>
      <x:c r="K302" s="35" t="n">
        <x:v>14</x:v>
      </x:c>
      <x:c r="L302" s="35" t="n">
        <x:v>8</x:v>
      </x:c>
      <x:c r="M302" s="35" t="n">
        <x:v>10</x:v>
      </x:c>
      <x:c r="N302" s="35" t="str">
        <x:v>No</x:v>
      </x:c>
      <x:c r="O302" s="35" t="n">
        <x:v>3</x:v>
      </x:c>
      <x:c r="P302" s="35" t="n">
        <x:v>2</x:v>
      </x:c>
      <x:c r="Q302" s="35" t="n">
        <x:v>2</x:v>
      </x:c>
      <x:c r="R302" s="35" t="n">
        <x:v>3</x:v>
      </x:c>
      <x:c r="S302" s="35" t="n">
        <x:v>3</x:v>
      </x:c>
      <x:c r="T302" s="35" t="n">
        <x:v>5</x:v>
      </x:c>
      <x:c r="U302" s="35" t="n">
        <x:v>0</x:v>
      </x:c>
      <x:c r="V302" s="35" t="n">
        <x:v>1</x:v>
      </x:c>
      <x:c r="W302" s="35" t="n">
        <x:v>0</x:v>
      </x:c>
      <x:c r="X302" s="35" t="n">
        <x:v>65</x:v>
      </x:c>
      <x:c r="Y302" s="35" t="n">
        <x:v>5</x:v>
      </x:c>
      <x:c r="Z302" s="35" t="n">
        <x:v>100</x:v>
      </x:c>
      <x:c r="AA302" s="35" t="n">
        <x:v>3</x:v>
      </x:c>
      <x:c r="AB302" s="35" t="n">
        <x:v>2</x:v>
      </x:c>
      <x:c r="AC302" s="35" t="n">
        <x:v>1</x:v>
      </x:c>
      <x:c r="AD302" s="35" t="n">
        <x:v>64</x:v>
      </x:c>
      <x:c r="AE302" s="35" t="n">
        <x:v>72</x:v>
      </x:c>
      <x:c r="AF302" s="35" t="n">
        <x:v>83</x:v>
      </x:c>
      <x:c r="AG302" s="35" t="n">
        <x:v>100</x:v>
      </x:c>
      <x:c r="AH302" s="35" t="n">
        <x:v>3</x:v>
      </x:c>
      <x:c r="AI302" s="37" t="n">
        <x:v>94.7</x:v>
      </x:c>
      <x:c r="AJ302" s="37" t="n">
        <x:v>89.9</x:v>
      </x:c>
      <x:c r="AK302" s="35" t="str">
        <x:v>No</x:v>
      </x:c>
      <x:c r="AL302" s="38" t="n">
        <x:f>IF(AA302=0,0,AB302/AA302)</x:f>
        <x:v>0.6666666666666666</x:v>
      </x:c>
      <x:c r="AM302" s="38" t="n">
        <x:f>IF(AB302=0,0,AC302/AB302)</x:f>
        <x:v>0.5</x:v>
      </x:c>
      <x:c r="AN302" s="37" t="n">
        <x:f>ROUND((AD302*0.20+AE302*0.20+AF302*0.25+AG302*0.15+MIN(100,AC302*12)*0.20),1)</x:f>
        <x:v>65.4</x:v>
      </x:c>
      <x:c r="AO302" s="37" t="n">
        <x:f>ROUND(MAX(0,MIN(100,(X302*0.35)+(W302/45*100*0.20)+((5-O302)/4*100*0.15)+((5-P302)/4*100*0.10)+((6-Y302)/5*100*0.10)+((100-Z302)*0.10))),1)</x:f>
        <x:v>39.8</x:v>
      </x:c>
      <x:c r="AP302" s="37" t="str">
        <x:f>IF(AO302&gt;=70,"High",IF(AO302&gt;=40,"Moderate","Low"))</x:f>
        <x:v>Low</x:v>
      </x:c>
      <x:c r="AQ302" s="37" t="n">
        <x:f>ROUND(MAX(0,MIN(100,(O302/4*100*0.25)+(P302/4*100*0.20)+(Q302/4*100*0.15)+(Y302/5*100*0.20)+(100-AO302)*0.20)),1)</x:f>
        <x:v>68.3</x:v>
      </x:c>
      <x:c r="AR302" s="37" t="n">
        <x:f>ROUND((AI302*0.20+AJ302*0.15+AN302*0.18+AG302*0.12+Z302*0.15+AQ302*0.20),1)</x:f>
        <x:v>84.9</x:v>
      </x:c>
      <x:c r="AS302" s="39" t="n">
        <x:f>ROUND((AC302*AF302*120)+(AH302*350)+(MAX(0,AI302-75)*220)+(MAX(0,AQ302-60)*100),0)</x:f>
        <x:v>16174</x:v>
      </x:c>
    </x:row>
    <x:row r="303">
      <x:c r="A303" s="35" t="n">
        <x:v>302</x:v>
      </x:c>
      <x:c r="B303" s="35" t="n">
        <x:v>39</x:v>
      </x:c>
      <x:c r="C303" s="35" t="str">
        <x:v>Male</x:v>
      </x:c>
      <x:c r="D303" s="35" t="str">
        <x:v>Human Resources</x:v>
      </x:c>
      <x:c r="E303" s="35" t="str">
        <x:v>HR Specialist</x:v>
      </x:c>
      <x:c r="F303" s="35" t="str">
        <x:v>Marketing</x:v>
      </x:c>
      <x:c r="G303" s="35" t="str">
        <x:v>Married</x:v>
      </x:c>
      <x:c r="H303" s="35" t="n">
        <x:v>2</x:v>
      </x:c>
      <x:c r="I303" s="36" t="n">
        <x:v>10750</x:v>
      </x:c>
      <x:c r="J303" s="35" t="n">
        <x:v>16</x:v>
      </x:c>
      <x:c r="K303" s="35" t="n">
        <x:v>6</x:v>
      </x:c>
      <x:c r="L303" s="35" t="n">
        <x:v>2</x:v>
      </x:c>
      <x:c r="M303" s="35" t="n">
        <x:v>1</x:v>
      </x:c>
      <x:c r="N303" s="35" t="str">
        <x:v>No</x:v>
      </x:c>
      <x:c r="O303" s="35" t="n">
        <x:v>4</x:v>
      </x:c>
      <x:c r="P303" s="35" t="n">
        <x:v>3</x:v>
      </x:c>
      <x:c r="Q303" s="35" t="n">
        <x:v>2</x:v>
      </x:c>
      <x:c r="R303" s="35" t="n">
        <x:v>3</x:v>
      </x:c>
      <x:c r="S303" s="35" t="n">
        <x:v>3</x:v>
      </x:c>
      <x:c r="T303" s="35" t="n">
        <x:v>3</x:v>
      </x:c>
      <x:c r="U303" s="35" t="n">
        <x:v>3</x:v>
      </x:c>
      <x:c r="V303" s="35" t="n">
        <x:v>13</x:v>
      </x:c>
      <x:c r="W303" s="35" t="n">
        <x:v>5</x:v>
      </x:c>
      <x:c r="X303" s="35" t="n">
        <x:v>52</x:v>
      </x:c>
      <x:c r="Y303" s="35" t="n">
        <x:v>5</x:v>
      </x:c>
      <x:c r="Z303" s="35" t="n">
        <x:v>100</x:v>
      </x:c>
      <x:c r="AA303" s="35" t="n">
        <x:v>4</x:v>
      </x:c>
      <x:c r="AB303" s="35" t="n">
        <x:v>2</x:v>
      </x:c>
      <x:c r="AC303" s="35" t="n">
        <x:v>2</x:v>
      </x:c>
      <x:c r="AD303" s="35" t="n">
        <x:v>81</x:v>
      </x:c>
      <x:c r="AE303" s="35" t="n">
        <x:v>66</x:v>
      </x:c>
      <x:c r="AF303" s="35" t="n">
        <x:v>90</x:v>
      </x:c>
      <x:c r="AG303" s="35" t="n">
        <x:v>79</x:v>
      </x:c>
      <x:c r="AH303" s="35" t="n">
        <x:v>6</x:v>
      </x:c>
      <x:c r="AI303" s="37" t="n">
        <x:v>85.8</x:v>
      </x:c>
      <x:c r="AJ303" s="37" t="n">
        <x:v>94.4</x:v>
      </x:c>
      <x:c r="AK303" s="35" t="str">
        <x:v>No</x:v>
      </x:c>
      <x:c r="AL303" s="38" t="n">
        <x:f>IF(AA303=0,0,AB303/AA303)</x:f>
        <x:v>0.5</x:v>
      </x:c>
      <x:c r="AM303" s="38" t="n">
        <x:f>IF(AB303=0,0,AC303/AB303)</x:f>
        <x:v>1</x:v>
      </x:c>
      <x:c r="AN303" s="37" t="n">
        <x:f>ROUND((AD303*0.20+AE303*0.20+AF303*0.25+AG303*0.15+MIN(100,AC303*12)*0.20),1)</x:f>
        <x:v>68.6</x:v>
      </x:c>
      <x:c r="AO303" s="37" t="n">
        <x:f>ROUND(MAX(0,MIN(100,(X303*0.35)+(W303/45*100*0.20)+((5-O303)/4*100*0.15)+((5-P303)/4*100*0.10)+((6-Y303)/5*100*0.10)+((100-Z303)*0.10))),1)</x:f>
        <x:v>31.2</x:v>
      </x:c>
      <x:c r="AP303" s="37" t="str">
        <x:f>IF(AO303&gt;=70,"High",IF(AO303&gt;=40,"Moderate","Low"))</x:f>
        <x:v>Low</x:v>
      </x:c>
      <x:c r="AQ303" s="37" t="n">
        <x:f>ROUND(MAX(0,MIN(100,(O303/4*100*0.25)+(P303/4*100*0.20)+(Q303/4*100*0.15)+(Y303/5*100*0.20)+(100-AO303)*0.20)),1)</x:f>
        <x:v>81.3</x:v>
      </x:c>
      <x:c r="AR303" s="37" t="n">
        <x:f>ROUND((AI303*0.20+AJ303*0.15+AN303*0.18+AG303*0.12+Z303*0.15+AQ303*0.20),1)</x:f>
        <x:v>84.4</x:v>
      </x:c>
      <x:c r="AS303" s="39" t="n">
        <x:f>ROUND((AC303*AF303*120)+(AH303*350)+(MAX(0,AI303-75)*220)+(MAX(0,AQ303-60)*100),0)</x:f>
        <x:v>28206</x:v>
      </x:c>
    </x:row>
    <x:row r="304">
      <x:c r="A304" s="35" t="n">
        <x:v>303</x:v>
      </x:c>
      <x:c r="B304" s="35" t="n">
        <x:v>40</x:v>
      </x:c>
      <x:c r="C304" s="35" t="str">
        <x:v>Male</x:v>
      </x:c>
      <x:c r="D304" s="35" t="str">
        <x:v>Finance</x:v>
      </x:c>
      <x:c r="E304" s="35" t="str">
        <x:v>Accountant</x:v>
      </x:c>
      <x:c r="F304" s="35" t="str">
        <x:v>Technical Degree</x:v>
      </x:c>
      <x:c r="G304" s="35" t="str">
        <x:v>Married</x:v>
      </x:c>
      <x:c r="H304" s="35" t="n">
        <x:v>4</x:v>
      </x:c>
      <x:c r="I304" s="36" t="n">
        <x:v>11740</x:v>
      </x:c>
      <x:c r="J304" s="35" t="n">
        <x:v>15</x:v>
      </x:c>
      <x:c r="K304" s="35" t="n">
        <x:v>7</x:v>
      </x:c>
      <x:c r="L304" s="35" t="n">
        <x:v>3</x:v>
      </x:c>
      <x:c r="M304" s="35" t="n">
        <x:v>8</x:v>
      </x:c>
      <x:c r="N304" s="35" t="str">
        <x:v>No</x:v>
      </x:c>
      <x:c r="O304" s="35" t="n">
        <x:v>2</x:v>
      </x:c>
      <x:c r="P304" s="35" t="n">
        <x:v>4</x:v>
      </x:c>
      <x:c r="Q304" s="35" t="n">
        <x:v>3</x:v>
      </x:c>
      <x:c r="R304" s="35" t="n">
        <x:v>2</x:v>
      </x:c>
      <x:c r="S304" s="35" t="n">
        <x:v>3</x:v>
      </x:c>
      <x:c r="T304" s="35" t="n">
        <x:v>3</x:v>
      </x:c>
      <x:c r="U304" s="35" t="n">
        <x:v>0</x:v>
      </x:c>
      <x:c r="V304" s="35" t="n">
        <x:v>4</x:v>
      </x:c>
      <x:c r="W304" s="35" t="n">
        <x:v>6</x:v>
      </x:c>
      <x:c r="X304" s="35" t="n">
        <x:v>55</x:v>
      </x:c>
      <x:c r="Y304" s="35" t="n">
        <x:v>5</x:v>
      </x:c>
      <x:c r="Z304" s="35" t="n">
        <x:v>100</x:v>
      </x:c>
      <x:c r="AA304" s="35" t="n">
        <x:v>7</x:v>
      </x:c>
      <x:c r="AB304" s="35" t="n">
        <x:v>5</x:v>
      </x:c>
      <x:c r="AC304" s="35" t="n">
        <x:v>3</x:v>
      </x:c>
      <x:c r="AD304" s="35" t="n">
        <x:v>53</x:v>
      </x:c>
      <x:c r="AE304" s="35" t="n">
        <x:v>84</x:v>
      </x:c>
      <x:c r="AF304" s="35" t="n">
        <x:v>71</x:v>
      </x:c>
      <x:c r="AG304" s="35" t="n">
        <x:v>99</x:v>
      </x:c>
      <x:c r="AH304" s="35" t="n">
        <x:v>8</x:v>
      </x:c>
      <x:c r="AI304" s="37" t="n">
        <x:v>100</x:v>
      </x:c>
      <x:c r="AJ304" s="37" t="n">
        <x:v>93.8</x:v>
      </x:c>
      <x:c r="AK304" s="35" t="str">
        <x:v>No</x:v>
      </x:c>
      <x:c r="AL304" s="38" t="n">
        <x:f>IF(AA304=0,0,AB304/AA304)</x:f>
        <x:v>0.7142857142857143</x:v>
      </x:c>
      <x:c r="AM304" s="38" t="n">
        <x:f>IF(AB304=0,0,AC304/AB304)</x:f>
        <x:v>0.6</x:v>
      </x:c>
      <x:c r="AN304" s="37" t="n">
        <x:f>ROUND((AD304*0.20+AE304*0.20+AF304*0.25+AG304*0.15+MIN(100,AC304*12)*0.20),1)</x:f>
        <x:v>67.2</x:v>
      </x:c>
      <x:c r="AO304" s="37" t="n">
        <x:f>ROUND(MAX(0,MIN(100,(X304*0.35)+(W304/45*100*0.20)+((5-O304)/4*100*0.15)+((5-P304)/4*100*0.10)+((6-Y304)/5*100*0.10)+((100-Z304)*0.10))),1)</x:f>
        <x:v>37.7</x:v>
      </x:c>
      <x:c r="AP304" s="37" t="str">
        <x:f>IF(AO304&gt;=70,"High",IF(AO304&gt;=40,"Moderate","Low"))</x:f>
        <x:v>Low</x:v>
      </x:c>
      <x:c r="AQ304" s="37" t="n">
        <x:f>ROUND(MAX(0,MIN(100,(O304/4*100*0.25)+(P304/4*100*0.20)+(Q304/4*100*0.15)+(Y304/5*100*0.20)+(100-AO304)*0.20)),1)</x:f>
        <x:v>76.2</x:v>
      </x:c>
      <x:c r="AR304" s="37" t="n">
        <x:f>ROUND((AI304*0.20+AJ304*0.15+AN304*0.18+AG304*0.12+Z304*0.15+AQ304*0.20),1)</x:f>
        <x:v>88.3</x:v>
      </x:c>
      <x:c r="AS304" s="39" t="n">
        <x:f>ROUND((AC304*AF304*120)+(AH304*350)+(MAX(0,AI304-75)*220)+(MAX(0,AQ304-60)*100),0)</x:f>
        <x:v>35480</x:v>
      </x:c>
    </x:row>
    <x:row r="305">
      <x:c r="A305" s="35" t="n">
        <x:v>304</x:v>
      </x:c>
      <x:c r="B305" s="35" t="n">
        <x:v>43</x:v>
      </x:c>
      <x:c r="C305" s="35" t="str">
        <x:v>Female</x:v>
      </x:c>
      <x:c r="D305" s="35" t="str">
        <x:v>Research &amp; Development</x:v>
      </x:c>
      <x:c r="E305" s="35" t="str">
        <x:v>Research Scientist</x:v>
      </x:c>
      <x:c r="F305" s="35" t="str">
        <x:v>Human Resources</x:v>
      </x:c>
      <x:c r="G305" s="35" t="str">
        <x:v>Single</x:v>
      </x:c>
      <x:c r="H305" s="35" t="n">
        <x:v>3</x:v>
      </x:c>
      <x:c r="I305" s="36" t="n">
        <x:v>10530</x:v>
      </x:c>
      <x:c r="J305" s="35" t="n">
        <x:v>18</x:v>
      </x:c>
      <x:c r="K305" s="35" t="n">
        <x:v>6</x:v>
      </x:c>
      <x:c r="L305" s="35" t="n">
        <x:v>2</x:v>
      </x:c>
      <x:c r="M305" s="35" t="n">
        <x:v>4</x:v>
      </x:c>
      <x:c r="N305" s="35" t="str">
        <x:v>No</x:v>
      </x:c>
      <x:c r="O305" s="35" t="n">
        <x:v>3</x:v>
      </x:c>
      <x:c r="P305" s="35" t="n">
        <x:v>4</x:v>
      </x:c>
      <x:c r="Q305" s="35" t="n">
        <x:v>3</x:v>
      </x:c>
      <x:c r="R305" s="35" t="n">
        <x:v>3</x:v>
      </x:c>
      <x:c r="S305" s="35" t="n">
        <x:v>3</x:v>
      </x:c>
      <x:c r="T305" s="35" t="n">
        <x:v>2</x:v>
      </x:c>
      <x:c r="U305" s="35" t="n">
        <x:v>3</x:v>
      </x:c>
      <x:c r="V305" s="35" t="n">
        <x:v>3</x:v>
      </x:c>
      <x:c r="W305" s="35" t="n">
        <x:v>4</x:v>
      </x:c>
      <x:c r="X305" s="35" t="n">
        <x:v>66</x:v>
      </x:c>
      <x:c r="Y305" s="35" t="n">
        <x:v>4</x:v>
      </x:c>
      <x:c r="Z305" s="35" t="n">
        <x:v>100</x:v>
      </x:c>
      <x:c r="AA305" s="35" t="n">
        <x:v>9</x:v>
      </x:c>
      <x:c r="AB305" s="35" t="n">
        <x:v>8</x:v>
      </x:c>
      <x:c r="AC305" s="35" t="n">
        <x:v>3</x:v>
      </x:c>
      <x:c r="AD305" s="35" t="n">
        <x:v>75</x:v>
      </x:c>
      <x:c r="AE305" s="35" t="n">
        <x:v>77</x:v>
      </x:c>
      <x:c r="AF305" s="35" t="n">
        <x:v>80</x:v>
      </x:c>
      <x:c r="AG305" s="35" t="n">
        <x:v>100</x:v>
      </x:c>
      <x:c r="AH305" s="35" t="n">
        <x:v>3</x:v>
      </x:c>
      <x:c r="AI305" s="37" t="n">
        <x:v>97.4</x:v>
      </x:c>
      <x:c r="AJ305" s="37" t="n">
        <x:v>87.1</x:v>
      </x:c>
      <x:c r="AK305" s="35" t="str">
        <x:v>No</x:v>
      </x:c>
      <x:c r="AL305" s="38" t="n">
        <x:f>IF(AA305=0,0,AB305/AA305)</x:f>
        <x:v>0.8888888888888888</x:v>
      </x:c>
      <x:c r="AM305" s="38" t="n">
        <x:f>IF(AB305=0,0,AC305/AB305)</x:f>
        <x:v>0.375</x:v>
      </x:c>
      <x:c r="AN305" s="37" t="n">
        <x:f>ROUND((AD305*0.20+AE305*0.20+AF305*0.25+AG305*0.15+MIN(100,AC305*12)*0.20),1)</x:f>
        <x:v>72.6</x:v>
      </x:c>
      <x:c r="AO305" s="37" t="n">
        <x:f>ROUND(MAX(0,MIN(100,(X305*0.35)+(W305/45*100*0.20)+((5-O305)/4*100*0.15)+((5-P305)/4*100*0.10)+((6-Y305)/5*100*0.10)+((100-Z305)*0.10))),1)</x:f>
        <x:v>38.9</x:v>
      </x:c>
      <x:c r="AP305" s="37" t="str">
        <x:f>IF(AO305&gt;=70,"High",IF(AO305&gt;=40,"Moderate","Low"))</x:f>
        <x:v>Low</x:v>
      </x:c>
      <x:c r="AQ305" s="37" t="n">
        <x:f>ROUND(MAX(0,MIN(100,(O305/4*100*0.25)+(P305/4*100*0.20)+(Q305/4*100*0.15)+(Y305/5*100*0.20)+(100-AO305)*0.20)),1)</x:f>
        <x:v>78.2</x:v>
      </x:c>
      <x:c r="AR305" s="37" t="n">
        <x:f>ROUND((AI305*0.20+AJ305*0.15+AN305*0.18+AG305*0.12+Z305*0.15+AQ305*0.20),1)</x:f>
        <x:v>88.3</x:v>
      </x:c>
      <x:c r="AS305" s="39" t="n">
        <x:f>ROUND((AC305*AF305*120)+(AH305*350)+(MAX(0,AI305-75)*220)+(MAX(0,AQ305-60)*100),0)</x:f>
        <x:v>36598</x:v>
      </x:c>
    </x:row>
    <x:row r="306">
      <x:c r="A306" s="35" t="n">
        <x:v>305</x:v>
      </x:c>
      <x:c r="B306" s="35" t="n">
        <x:v>29</x:v>
      </x:c>
      <x:c r="C306" s="35" t="str">
        <x:v>Female</x:v>
      </x:c>
      <x:c r="D306" s="35" t="str">
        <x:v>Sales</x:v>
      </x:c>
      <x:c r="E306" s="35" t="str">
        <x:v>Sales Representative</x:v>
      </x:c>
      <x:c r="F306" s="35" t="str">
        <x:v>Computer Science</x:v>
      </x:c>
      <x:c r="G306" s="35" t="str">
        <x:v>Single</x:v>
      </x:c>
      <x:c r="H306" s="35" t="n">
        <x:v>2</x:v>
      </x:c>
      <x:c r="I306" s="36" t="n">
        <x:v>7870</x:v>
      </x:c>
      <x:c r="J306" s="35" t="n">
        <x:v>6</x:v>
      </x:c>
      <x:c r="K306" s="35" t="n">
        <x:v>4</x:v>
      </x:c>
      <x:c r="L306" s="35" t="n">
        <x:v>3</x:v>
      </x:c>
      <x:c r="M306" s="35" t="n">
        <x:v>3</x:v>
      </x:c>
      <x:c r="N306" s="35" t="str">
        <x:v>No</x:v>
      </x:c>
      <x:c r="O306" s="35" t="n">
        <x:v>3</x:v>
      </x:c>
      <x:c r="P306" s="35" t="n">
        <x:v>3</x:v>
      </x:c>
      <x:c r="Q306" s="35" t="n">
        <x:v>2</x:v>
      </x:c>
      <x:c r="R306" s="35" t="n">
        <x:v>3</x:v>
      </x:c>
      <x:c r="S306" s="35" t="n">
        <x:v>3</x:v>
      </x:c>
      <x:c r="T306" s="35" t="n">
        <x:v>3</x:v>
      </x:c>
      <x:c r="U306" s="35" t="n">
        <x:v>0</x:v>
      </x:c>
      <x:c r="V306" s="35" t="n">
        <x:v>8</x:v>
      </x:c>
      <x:c r="W306" s="35" t="n">
        <x:v>6</x:v>
      </x:c>
      <x:c r="X306" s="35" t="n">
        <x:v>52</x:v>
      </x:c>
      <x:c r="Y306" s="35" t="n">
        <x:v>5</x:v>
      </x:c>
      <x:c r="Z306" s="35" t="n">
        <x:v>100</x:v>
      </x:c>
      <x:c r="AA306" s="35" t="n">
        <x:v>2</x:v>
      </x:c>
      <x:c r="AB306" s="35" t="n">
        <x:v>2</x:v>
      </x:c>
      <x:c r="AC306" s="35" t="n">
        <x:v>2</x:v>
      </x:c>
      <x:c r="AD306" s="35" t="n">
        <x:v>87</x:v>
      </x:c>
      <x:c r="AE306" s="35" t="n">
        <x:v>85</x:v>
      </x:c>
      <x:c r="AF306" s="35" t="n">
        <x:v>84</x:v>
      </x:c>
      <x:c r="AG306" s="35" t="n">
        <x:v>94</x:v>
      </x:c>
      <x:c r="AH306" s="35" t="n">
        <x:v>3</x:v>
      </x:c>
      <x:c r="AI306" s="37" t="n">
        <x:v>90.3</x:v>
      </x:c>
      <x:c r="AJ306" s="37" t="n">
        <x:v>93.2</x:v>
      </x:c>
      <x:c r="AK306" s="35" t="str">
        <x:v>No</x:v>
      </x:c>
      <x:c r="AL306" s="38" t="n">
        <x:f>IF(AA306=0,0,AB306/AA306)</x:f>
        <x:v>1</x:v>
      </x:c>
      <x:c r="AM306" s="38" t="n">
        <x:f>IF(AB306=0,0,AC306/AB306)</x:f>
        <x:v>1</x:v>
      </x:c>
      <x:c r="AN306" s="37" t="n">
        <x:f>ROUND((AD306*0.20+AE306*0.20+AF306*0.25+AG306*0.15+MIN(100,AC306*12)*0.20),1)</x:f>
        <x:v>74.3</x:v>
      </x:c>
      <x:c r="AO306" s="37" t="n">
        <x:f>ROUND(MAX(0,MIN(100,(X306*0.35)+(W306/45*100*0.20)+((5-O306)/4*100*0.15)+((5-P306)/4*100*0.10)+((6-Y306)/5*100*0.10)+((100-Z306)*0.10))),1)</x:f>
        <x:v>35.4</x:v>
      </x:c>
      <x:c r="AP306" s="37" t="str">
        <x:f>IF(AO306&gt;=70,"High",IF(AO306&gt;=40,"Moderate","Low"))</x:f>
        <x:v>Low</x:v>
      </x:c>
      <x:c r="AQ306" s="37" t="n">
        <x:f>ROUND(MAX(0,MIN(100,(O306/4*100*0.25)+(P306/4*100*0.20)+(Q306/4*100*0.15)+(Y306/5*100*0.20)+(100-AO306)*0.20)),1)</x:f>
        <x:v>74.2</x:v>
      </x:c>
      <x:c r="AR306" s="37" t="n">
        <x:f>ROUND((AI306*0.20+AJ306*0.15+AN306*0.18+AG306*0.12+Z306*0.15+AQ306*0.20),1)</x:f>
        <x:v>86.5</x:v>
      </x:c>
      <x:c r="AS306" s="39" t="n">
        <x:f>ROUND((AC306*AF306*120)+(AH306*350)+(MAX(0,AI306-75)*220)+(MAX(0,AQ306-60)*100),0)</x:f>
        <x:v>25996</x:v>
      </x:c>
    </x:row>
    <x:row r="307">
      <x:c r="A307" s="35" t="n">
        <x:v>306</x:v>
      </x:c>
      <x:c r="B307" s="35" t="n">
        <x:v>35</x:v>
      </x:c>
      <x:c r="C307" s="35" t="str">
        <x:v>Female</x:v>
      </x:c>
      <x:c r="D307" s="35" t="str">
        <x:v>Marketing</x:v>
      </x:c>
      <x:c r="E307" s="35" t="str">
        <x:v>Marketing Specialist</x:v>
      </x:c>
      <x:c r="F307" s="35" t="str">
        <x:v>Life Sciences</x:v>
      </x:c>
      <x:c r="G307" s="35" t="str">
        <x:v>Married</x:v>
      </x:c>
      <x:c r="H307" s="35" t="n">
        <x:v>1</x:v>
      </x:c>
      <x:c r="I307" s="36" t="n">
        <x:v>5340</x:v>
      </x:c>
      <x:c r="J307" s="35" t="n">
        <x:v>12</x:v>
      </x:c>
      <x:c r="K307" s="35" t="n">
        <x:v>9</x:v>
      </x:c>
      <x:c r="L307" s="35" t="n">
        <x:v>6</x:v>
      </x:c>
      <x:c r="M307" s="35" t="n">
        <x:v>17</x:v>
      </x:c>
      <x:c r="N307" s="35" t="str">
        <x:v>No</x:v>
      </x:c>
      <x:c r="O307" s="35" t="n">
        <x:v>2</x:v>
      </x:c>
      <x:c r="P307" s="35" t="n">
        <x:v>3</x:v>
      </x:c>
      <x:c r="Q307" s="35" t="n">
        <x:v>4</x:v>
      </x:c>
      <x:c r="R307" s="35" t="n">
        <x:v>3</x:v>
      </x:c>
      <x:c r="S307" s="35" t="n">
        <x:v>3</x:v>
      </x:c>
      <x:c r="T307" s="35" t="n">
        <x:v>3</x:v>
      </x:c>
      <x:c r="U307" s="35" t="n">
        <x:v>0</x:v>
      </x:c>
      <x:c r="V307" s="35" t="n">
        <x:v>5</x:v>
      </x:c>
      <x:c r="W307" s="35" t="n">
        <x:v>15</x:v>
      </x:c>
      <x:c r="X307" s="35" t="n">
        <x:v>58</x:v>
      </x:c>
      <x:c r="Y307" s="35" t="n">
        <x:v>4</x:v>
      </x:c>
      <x:c r="Z307" s="35" t="n">
        <x:v>100</x:v>
      </x:c>
      <x:c r="AA307" s="35" t="n">
        <x:v>3</x:v>
      </x:c>
      <x:c r="AB307" s="35" t="n">
        <x:v>3</x:v>
      </x:c>
      <x:c r="AC307" s="35" t="n">
        <x:v>3</x:v>
      </x:c>
      <x:c r="AD307" s="35" t="n">
        <x:v>67</x:v>
      </x:c>
      <x:c r="AE307" s="35" t="n">
        <x:v>65</x:v>
      </x:c>
      <x:c r="AF307" s="35" t="n">
        <x:v>57</x:v>
      </x:c>
      <x:c r="AG307" s="35" t="n">
        <x:v>98</x:v>
      </x:c>
      <x:c r="AH307" s="35" t="n">
        <x:v>7</x:v>
      </x:c>
      <x:c r="AI307" s="37" t="n">
        <x:v>100</x:v>
      </x:c>
      <x:c r="AJ307" s="37" t="n">
        <x:v>95.2</x:v>
      </x:c>
      <x:c r="AK307" s="35" t="str">
        <x:v>No</x:v>
      </x:c>
      <x:c r="AL307" s="38" t="n">
        <x:f>IF(AA307=0,0,AB307/AA307)</x:f>
        <x:v>1</x:v>
      </x:c>
      <x:c r="AM307" s="38" t="n">
        <x:f>IF(AB307=0,0,AC307/AB307)</x:f>
        <x:v>1</x:v>
      </x:c>
      <x:c r="AN307" s="37" t="n">
        <x:f>ROUND((AD307*0.20+AE307*0.20+AF307*0.25+AG307*0.15+MIN(100,AC307*12)*0.20),1)</x:f>
        <x:v>62.6</x:v>
      </x:c>
      <x:c r="AO307" s="37" t="n">
        <x:f>ROUND(MAX(0,MIN(100,(X307*0.35)+(W307/45*100*0.20)+((5-O307)/4*100*0.15)+((5-P307)/4*100*0.10)+((6-Y307)/5*100*0.10)+((100-Z307)*0.10))),1)</x:f>
        <x:v>47.2</x:v>
      </x:c>
      <x:c r="AP307" s="37" t="str">
        <x:f>IF(AO307&gt;=70,"High",IF(AO307&gt;=40,"Moderate","Low"))</x:f>
        <x:v>Moderate</x:v>
      </x:c>
      <x:c r="AQ307" s="37" t="n">
        <x:f>ROUND(MAX(0,MIN(100,(O307/4*100*0.25)+(P307/4*100*0.20)+(Q307/4*100*0.15)+(Y307/5*100*0.20)+(100-AO307)*0.20)),1)</x:f>
        <x:v>69.1</x:v>
      </x:c>
      <x:c r="AR307" s="37" t="n">
        <x:f>ROUND((AI307*0.20+AJ307*0.15+AN307*0.18+AG307*0.12+Z307*0.15+AQ307*0.20),1)</x:f>
        <x:v>86.1</x:v>
      </x:c>
      <x:c r="AS307" s="39" t="n">
        <x:f>ROUND((AC307*AF307*120)+(AH307*350)+(MAX(0,AI307-75)*220)+(MAX(0,AQ307-60)*100),0)</x:f>
        <x:v>29380</x:v>
      </x:c>
    </x:row>
    <x:row r="308">
      <x:c r="A308" s="35" t="n">
        <x:v>307</x:v>
      </x:c>
      <x:c r="B308" s="35" t="n">
        <x:v>27</x:v>
      </x:c>
      <x:c r="C308" s="35" t="str">
        <x:v>Female</x:v>
      </x:c>
      <x:c r="D308" s="35" t="str">
        <x:v>Research &amp; Development</x:v>
      </x:c>
      <x:c r="E308" s="35" t="str">
        <x:v>Data Scientist</x:v>
      </x:c>
      <x:c r="F308" s="35" t="str">
        <x:v>Computer Science</x:v>
      </x:c>
      <x:c r="G308" s="35" t="str">
        <x:v>Married</x:v>
      </x:c>
      <x:c r="H308" s="35" t="n">
        <x:v>2</x:v>
      </x:c>
      <x:c r="I308" s="36" t="n">
        <x:v>9600</x:v>
      </x:c>
      <x:c r="J308" s="35" t="n">
        <x:v>5</x:v>
      </x:c>
      <x:c r="K308" s="35" t="n">
        <x:v>2</x:v>
      </x:c>
      <x:c r="L308" s="35" t="n">
        <x:v>1</x:v>
      </x:c>
      <x:c r="M308" s="35" t="n">
        <x:v>26</x:v>
      </x:c>
      <x:c r="N308" s="35" t="str">
        <x:v>No</x:v>
      </x:c>
      <x:c r="O308" s="35" t="n">
        <x:v>2</x:v>
      </x:c>
      <x:c r="P308" s="35" t="n">
        <x:v>3</x:v>
      </x:c>
      <x:c r="Q308" s="35" t="n">
        <x:v>3</x:v>
      </x:c>
      <x:c r="R308" s="35" t="n">
        <x:v>3</x:v>
      </x:c>
      <x:c r="S308" s="35" t="n">
        <x:v>3</x:v>
      </x:c>
      <x:c r="T308" s="35" t="n">
        <x:v>4</x:v>
      </x:c>
      <x:c r="U308" s="35" t="n">
        <x:v>0</x:v>
      </x:c>
      <x:c r="V308" s="35" t="n">
        <x:v>4</x:v>
      </x:c>
      <x:c r="W308" s="35" t="n">
        <x:v>3</x:v>
      </x:c>
      <x:c r="X308" s="35" t="n">
        <x:v>83</x:v>
      </x:c>
      <x:c r="Y308" s="35" t="n">
        <x:v>5</x:v>
      </x:c>
      <x:c r="Z308" s="35" t="n">
        <x:v>100</x:v>
      </x:c>
      <x:c r="AA308" s="35" t="n">
        <x:v>9</x:v>
      </x:c>
      <x:c r="AB308" s="35" t="n">
        <x:v>8</x:v>
      </x:c>
      <x:c r="AC308" s="35" t="n">
        <x:v>8</x:v>
      </x:c>
      <x:c r="AD308" s="35" t="n">
        <x:v>95</x:v>
      </x:c>
      <x:c r="AE308" s="35" t="n">
        <x:v>100</x:v>
      </x:c>
      <x:c r="AF308" s="35" t="n">
        <x:v>82</x:v>
      </x:c>
      <x:c r="AG308" s="35" t="n">
        <x:v>100</x:v>
      </x:c>
      <x:c r="AH308" s="35" t="n">
        <x:v>11</x:v>
      </x:c>
      <x:c r="AI308" s="37" t="n">
        <x:v>100</x:v>
      </x:c>
      <x:c r="AJ308" s="37" t="n">
        <x:v>95.7</x:v>
      </x:c>
      <x:c r="AK308" s="35" t="str">
        <x:v>No</x:v>
      </x:c>
      <x:c r="AL308" s="38" t="n">
        <x:f>IF(AA308=0,0,AB308/AA308)</x:f>
        <x:v>0.8888888888888888</x:v>
      </x:c>
      <x:c r="AM308" s="38" t="n">
        <x:f>IF(AB308=0,0,AC308/AB308)</x:f>
        <x:v>1</x:v>
      </x:c>
      <x:c r="AN308" s="37" t="n">
        <x:f>ROUND((AD308*0.20+AE308*0.20+AF308*0.25+AG308*0.15+MIN(100,AC308*12)*0.20),1)</x:f>
        <x:v>93.7</x:v>
      </x:c>
      <x:c r="AO308" s="37" t="n">
        <x:f>ROUND(MAX(0,MIN(100,(X308*0.35)+(W308/45*100*0.20)+((5-O308)/4*100*0.15)+((5-P308)/4*100*0.10)+((6-Y308)/5*100*0.10)+((100-Z308)*0.10))),1)</x:f>
        <x:v>48.6</x:v>
      </x:c>
      <x:c r="AP308" s="37" t="str">
        <x:f>IF(AO308&gt;=70,"High",IF(AO308&gt;=40,"Moderate","Low"))</x:f>
        <x:v>Moderate</x:v>
      </x:c>
      <x:c r="AQ308" s="37" t="n">
        <x:f>ROUND(MAX(0,MIN(100,(O308/4*100*0.25)+(P308/4*100*0.20)+(Q308/4*100*0.15)+(Y308/5*100*0.20)+(100-AO308)*0.20)),1)</x:f>
        <x:v>69</x:v>
      </x:c>
      <x:c r="AR308" s="37" t="n">
        <x:f>ROUND((AI308*0.20+AJ308*0.15+AN308*0.18+AG308*0.12+Z308*0.15+AQ308*0.20),1)</x:f>
        <x:v>92</x:v>
      </x:c>
      <x:c r="AS308" s="39" t="n">
        <x:f>ROUND((AC308*AF308*120)+(AH308*350)+(MAX(0,AI308-75)*220)+(MAX(0,AQ308-60)*100),0)</x:f>
        <x:v>88970</x:v>
      </x:c>
    </x:row>
    <x:row r="309">
      <x:c r="A309" s="35" t="n">
        <x:v>308</x:v>
      </x:c>
      <x:c r="B309" s="35" t="n">
        <x:v>38</x:v>
      </x:c>
      <x:c r="C309" s="35" t="str">
        <x:v>Male</x:v>
      </x:c>
      <x:c r="D309" s="35" t="str">
        <x:v>Research &amp; Development</x:v>
      </x:c>
      <x:c r="E309" s="35" t="str">
        <x:v>R&amp;D Manager</x:v>
      </x:c>
      <x:c r="F309" s="35" t="str">
        <x:v>Technical Degree</x:v>
      </x:c>
      <x:c r="G309" s="35" t="str">
        <x:v>Married</x:v>
      </x:c>
      <x:c r="H309" s="35" t="n">
        <x:v>2</x:v>
      </x:c>
      <x:c r="I309" s="36" t="n">
        <x:v>10740</x:v>
      </x:c>
      <x:c r="J309" s="35" t="n">
        <x:v>13</x:v>
      </x:c>
      <x:c r="K309" s="35" t="n">
        <x:v>6</x:v>
      </x:c>
      <x:c r="L309" s="35" t="n">
        <x:v>3</x:v>
      </x:c>
      <x:c r="M309" s="35" t="n">
        <x:v>8</x:v>
      </x:c>
      <x:c r="N309" s="35" t="str">
        <x:v>No</x:v>
      </x:c>
      <x:c r="O309" s="35" t="n">
        <x:v>2</x:v>
      </x:c>
      <x:c r="P309" s="35" t="n">
        <x:v>2</x:v>
      </x:c>
      <x:c r="Q309" s="35" t="n">
        <x:v>3</x:v>
      </x:c>
      <x:c r="R309" s="35" t="n">
        <x:v>3</x:v>
      </x:c>
      <x:c r="S309" s="35" t="n">
        <x:v>3</x:v>
      </x:c>
      <x:c r="T309" s="35" t="n">
        <x:v>3</x:v>
      </x:c>
      <x:c r="U309" s="35" t="n">
        <x:v>1</x:v>
      </x:c>
      <x:c r="V309" s="35" t="n">
        <x:v>8</x:v>
      </x:c>
      <x:c r="W309" s="35" t="n">
        <x:v>8</x:v>
      </x:c>
      <x:c r="X309" s="35" t="n">
        <x:v>65</x:v>
      </x:c>
      <x:c r="Y309" s="35" t="n">
        <x:v>5</x:v>
      </x:c>
      <x:c r="Z309" s="35" t="n">
        <x:v>100</x:v>
      </x:c>
      <x:c r="AA309" s="35" t="n">
        <x:v>4</x:v>
      </x:c>
      <x:c r="AB309" s="35" t="n">
        <x:v>2</x:v>
      </x:c>
      <x:c r="AC309" s="35" t="n">
        <x:v>1</x:v>
      </x:c>
      <x:c r="AD309" s="35" t="n">
        <x:v>91</x:v>
      </x:c>
      <x:c r="AE309" s="35" t="n">
        <x:v>78</x:v>
      </x:c>
      <x:c r="AF309" s="35" t="n">
        <x:v>87</x:v>
      </x:c>
      <x:c r="AG309" s="35" t="n">
        <x:v>92</x:v>
      </x:c>
      <x:c r="AH309" s="35" t="n">
        <x:v>6</x:v>
      </x:c>
      <x:c r="AI309" s="37" t="n">
        <x:v>88.8</x:v>
      </x:c>
      <x:c r="AJ309" s="37" t="n">
        <x:v>99.8</x:v>
      </x:c>
      <x:c r="AK309" s="35" t="str">
        <x:v>No</x:v>
      </x:c>
      <x:c r="AL309" s="38" t="n">
        <x:f>IF(AA309=0,0,AB309/AA309)</x:f>
        <x:v>0.5</x:v>
      </x:c>
      <x:c r="AM309" s="38" t="n">
        <x:f>IF(AB309=0,0,AC309/AB309)</x:f>
        <x:v>0.5</x:v>
      </x:c>
      <x:c r="AN309" s="37" t="n">
        <x:f>ROUND((AD309*0.20+AE309*0.20+AF309*0.25+AG309*0.15+MIN(100,AC309*12)*0.20),1)</x:f>
        <x:v>71.8</x:v>
      </x:c>
      <x:c r="AO309" s="37" t="n">
        <x:f>ROUND(MAX(0,MIN(100,(X309*0.35)+(W309/45*100*0.20)+((5-O309)/4*100*0.15)+((5-P309)/4*100*0.10)+((6-Y309)/5*100*0.10)+((100-Z309)*0.10))),1)</x:f>
        <x:v>47.1</x:v>
      </x:c>
      <x:c r="AP309" s="37" t="str">
        <x:f>IF(AO309&gt;=70,"High",IF(AO309&gt;=40,"Moderate","Low"))</x:f>
        <x:v>Moderate</x:v>
      </x:c>
      <x:c r="AQ309" s="37" t="n">
        <x:f>ROUND(MAX(0,MIN(100,(O309/4*100*0.25)+(P309/4*100*0.20)+(Q309/4*100*0.15)+(Y309/5*100*0.20)+(100-AO309)*0.20)),1)</x:f>
        <x:v>64.3</x:v>
      </x:c>
      <x:c r="AR309" s="37" t="n">
        <x:f>ROUND((AI309*0.20+AJ309*0.15+AN309*0.18+AG309*0.12+Z309*0.15+AQ309*0.20),1)</x:f>
        <x:v>84.6</x:v>
      </x:c>
      <x:c r="AS309" s="39" t="n">
        <x:f>ROUND((AC309*AF309*120)+(AH309*350)+(MAX(0,AI309-75)*220)+(MAX(0,AQ309-60)*100),0)</x:f>
        <x:v>16006</x:v>
      </x:c>
    </x:row>
    <x:row r="310">
      <x:c r="A310" s="35" t="n">
        <x:v>309</x:v>
      </x:c>
      <x:c r="B310" s="35" t="n">
        <x:v>39</x:v>
      </x:c>
      <x:c r="C310" s="35" t="str">
        <x:v>Female</x:v>
      </x:c>
      <x:c r="D310" s="35" t="str">
        <x:v>Sales</x:v>
      </x:c>
      <x:c r="E310" s="35" t="str">
        <x:v>Sales Representative</x:v>
      </x:c>
      <x:c r="F310" s="35" t="str">
        <x:v>Marketing</x:v>
      </x:c>
      <x:c r="G310" s="35" t="str">
        <x:v>Single</x:v>
      </x:c>
      <x:c r="H310" s="35" t="n">
        <x:v>2</x:v>
      </x:c>
      <x:c r="I310" s="36" t="n">
        <x:v>8790</x:v>
      </x:c>
      <x:c r="J310" s="35" t="n">
        <x:v>13</x:v>
      </x:c>
      <x:c r="K310" s="35" t="n">
        <x:v>9</x:v>
      </x:c>
      <x:c r="L310" s="35" t="n">
        <x:v>5</x:v>
      </x:c>
      <x:c r="M310" s="35" t="n">
        <x:v>14</x:v>
      </x:c>
      <x:c r="N310" s="35" t="str">
        <x:v>No</x:v>
      </x:c>
      <x:c r="O310" s="35" t="n">
        <x:v>3</x:v>
      </x:c>
      <x:c r="P310" s="35" t="n">
        <x:v>3</x:v>
      </x:c>
      <x:c r="Q310" s="35" t="n">
        <x:v>4</x:v>
      </x:c>
      <x:c r="R310" s="35" t="n">
        <x:v>3</x:v>
      </x:c>
      <x:c r="S310" s="35" t="n">
        <x:v>3</x:v>
      </x:c>
      <x:c r="T310" s="35" t="n">
        <x:v>4</x:v>
      </x:c>
      <x:c r="U310" s="35" t="n">
        <x:v>3</x:v>
      </x:c>
      <x:c r="V310" s="35" t="n">
        <x:v>12</x:v>
      </x:c>
      <x:c r="W310" s="35" t="n">
        <x:v>0</x:v>
      </x:c>
      <x:c r="X310" s="35" t="n">
        <x:v>59</x:v>
      </x:c>
      <x:c r="Y310" s="35" t="n">
        <x:v>4</x:v>
      </x:c>
      <x:c r="Z310" s="35" t="n">
        <x:v>100</x:v>
      </x:c>
      <x:c r="AA310" s="35" t="n">
        <x:v>9</x:v>
      </x:c>
      <x:c r="AB310" s="35" t="n">
        <x:v>7</x:v>
      </x:c>
      <x:c r="AC310" s="35" t="n">
        <x:v>5</x:v>
      </x:c>
      <x:c r="AD310" s="35" t="n">
        <x:v>70</x:v>
      </x:c>
      <x:c r="AE310" s="35" t="n">
        <x:v>73</x:v>
      </x:c>
      <x:c r="AF310" s="35" t="n">
        <x:v>86</x:v>
      </x:c>
      <x:c r="AG310" s="35" t="n">
        <x:v>92</x:v>
      </x:c>
      <x:c r="AH310" s="35" t="n">
        <x:v>10</x:v>
      </x:c>
      <x:c r="AI310" s="37" t="n">
        <x:v>98.3</x:v>
      </x:c>
      <x:c r="AJ310" s="37" t="n">
        <x:v>86.7</x:v>
      </x:c>
      <x:c r="AK310" s="35" t="str">
        <x:v>No</x:v>
      </x:c>
      <x:c r="AL310" s="38" t="n">
        <x:f>IF(AA310=0,0,AB310/AA310)</x:f>
        <x:v>0.7777777777777778</x:v>
      </x:c>
      <x:c r="AM310" s="38" t="n">
        <x:f>IF(AB310=0,0,AC310/AB310)</x:f>
        <x:v>0.7142857142857143</x:v>
      </x:c>
      <x:c r="AN310" s="37" t="n">
        <x:f>ROUND((AD310*0.20+AE310*0.20+AF310*0.25+AG310*0.15+MIN(100,AC310*12)*0.20),1)</x:f>
        <x:v>75.9</x:v>
      </x:c>
      <x:c r="AO310" s="37" t="n">
        <x:f>ROUND(MAX(0,MIN(100,(X310*0.35)+(W310/45*100*0.20)+((5-O310)/4*100*0.15)+((5-P310)/4*100*0.10)+((6-Y310)/5*100*0.10)+((100-Z310)*0.10))),1)</x:f>
        <x:v>37.2</x:v>
      </x:c>
      <x:c r="AP310" s="37" t="str">
        <x:f>IF(AO310&gt;=70,"High",IF(AO310&gt;=40,"Moderate","Low"))</x:f>
        <x:v>Low</x:v>
      </x:c>
      <x:c r="AQ310" s="37" t="n">
        <x:f>ROUND(MAX(0,MIN(100,(O310/4*100*0.25)+(P310/4*100*0.20)+(Q310/4*100*0.15)+(Y310/5*100*0.20)+(100-AO310)*0.20)),1)</x:f>
        <x:v>77.3</x:v>
      </x:c>
      <x:c r="AR310" s="37" t="n">
        <x:f>ROUND((AI310*0.20+AJ310*0.15+AN310*0.18+AG310*0.12+Z310*0.15+AQ310*0.20),1)</x:f>
        <x:v>87.8</x:v>
      </x:c>
      <x:c r="AS310" s="39" t="n">
        <x:f>ROUND((AC310*AF310*120)+(AH310*350)+(MAX(0,AI310-75)*220)+(MAX(0,AQ310-60)*100),0)</x:f>
        <x:v>61956</x:v>
      </x:c>
    </x:row>
    <x:row r="311">
      <x:c r="A311" s="35" t="n">
        <x:v>310</x:v>
      </x:c>
      <x:c r="B311" s="35" t="n">
        <x:v>44</x:v>
      </x:c>
      <x:c r="C311" s="35" t="str">
        <x:v>Female</x:v>
      </x:c>
      <x:c r="D311" s="35" t="str">
        <x:v>Sales</x:v>
      </x:c>
      <x:c r="E311" s="35" t="str">
        <x:v>Sales Representative</x:v>
      </x:c>
      <x:c r="F311" s="35" t="str">
        <x:v>Computer Science</x:v>
      </x:c>
      <x:c r="G311" s="35" t="str">
        <x:v>Married</x:v>
      </x:c>
      <x:c r="H311" s="35" t="n">
        <x:v>4</x:v>
      </x:c>
      <x:c r="I311" s="36" t="n">
        <x:v>22670</x:v>
      </x:c>
      <x:c r="J311" s="35" t="n">
        <x:v>15</x:v>
      </x:c>
      <x:c r="K311" s="35" t="n">
        <x:v>7</x:v>
      </x:c>
      <x:c r="L311" s="35" t="n">
        <x:v>4</x:v>
      </x:c>
      <x:c r="M311" s="35" t="n">
        <x:v>4</x:v>
      </x:c>
      <x:c r="N311" s="35" t="str">
        <x:v>Yes</x:v>
      </x:c>
      <x:c r="O311" s="35" t="n">
        <x:v>3</x:v>
      </x:c>
      <x:c r="P311" s="35" t="n">
        <x:v>2</x:v>
      </x:c>
      <x:c r="Q311" s="35" t="n">
        <x:v>4</x:v>
      </x:c>
      <x:c r="R311" s="35" t="n">
        <x:v>3</x:v>
      </x:c>
      <x:c r="S311" s="35" t="n">
        <x:v>3</x:v>
      </x:c>
      <x:c r="T311" s="35" t="n">
        <x:v>2</x:v>
      </x:c>
      <x:c r="U311" s="35" t="n">
        <x:v>0</x:v>
      </x:c>
      <x:c r="V311" s="35" t="n">
        <x:v>1</x:v>
      </x:c>
      <x:c r="W311" s="35" t="n">
        <x:v>9</x:v>
      </x:c>
      <x:c r="X311" s="35" t="n">
        <x:v>76</x:v>
      </x:c>
      <x:c r="Y311" s="35" t="n">
        <x:v>4</x:v>
      </x:c>
      <x:c r="Z311" s="35" t="n">
        <x:v>94</x:v>
      </x:c>
      <x:c r="AA311" s="35" t="n">
        <x:v>7</x:v>
      </x:c>
      <x:c r="AB311" s="35" t="n">
        <x:v>4</x:v>
      </x:c>
      <x:c r="AC311" s="35" t="n">
        <x:v>3</x:v>
      </x:c>
      <x:c r="AD311" s="35" t="n">
        <x:v>77</x:v>
      </x:c>
      <x:c r="AE311" s="35" t="n">
        <x:v>73</x:v>
      </x:c>
      <x:c r="AF311" s="35" t="n">
        <x:v>84</x:v>
      </x:c>
      <x:c r="AG311" s="35" t="n">
        <x:v>94</x:v>
      </x:c>
      <x:c r="AH311" s="35" t="n">
        <x:v>9</x:v>
      </x:c>
      <x:c r="AI311" s="37" t="n">
        <x:v>94.3</x:v>
      </x:c>
      <x:c r="AJ311" s="37" t="n">
        <x:v>91.1</x:v>
      </x:c>
      <x:c r="AK311" s="35" t="str">
        <x:v>No</x:v>
      </x:c>
      <x:c r="AL311" s="38" t="n">
        <x:f>IF(AA311=0,0,AB311/AA311)</x:f>
        <x:v>0.5714285714285714</x:v>
      </x:c>
      <x:c r="AM311" s="38" t="n">
        <x:f>IF(AB311=0,0,AC311/AB311)</x:f>
        <x:v>0.75</x:v>
      </x:c>
      <x:c r="AN311" s="37" t="n">
        <x:f>ROUND((AD311*0.20+AE311*0.20+AF311*0.25+AG311*0.15+MIN(100,AC311*12)*0.20),1)</x:f>
        <x:v>72.3</x:v>
      </x:c>
      <x:c r="AO311" s="37" t="n">
        <x:f>ROUND(MAX(0,MIN(100,(X311*0.35)+(W311/45*100*0.20)+((5-O311)/4*100*0.15)+((5-P311)/4*100*0.10)+((6-Y311)/5*100*0.10)+((100-Z311)*0.10))),1)</x:f>
        <x:v>50.2</x:v>
      </x:c>
      <x:c r="AP311" s="37" t="str">
        <x:f>IF(AO311&gt;=70,"High",IF(AO311&gt;=40,"Moderate","Low"))</x:f>
        <x:v>Moderate</x:v>
      </x:c>
      <x:c r="AQ311" s="37" t="n">
        <x:f>ROUND(MAX(0,MIN(100,(O311/4*100*0.25)+(P311/4*100*0.20)+(Q311/4*100*0.15)+(Y311/5*100*0.20)+(100-AO311)*0.20)),1)</x:f>
        <x:v>69.7</x:v>
      </x:c>
      <x:c r="AR311" s="37" t="n">
        <x:f>ROUND((AI311*0.20+AJ311*0.15+AN311*0.18+AG311*0.12+Z311*0.15+AQ311*0.20),1)</x:f>
        <x:v>84.9</x:v>
      </x:c>
      <x:c r="AS311" s="39" t="n">
        <x:f>ROUND((AC311*AF311*120)+(AH311*350)+(MAX(0,AI311-75)*220)+(MAX(0,AQ311-60)*100),0)</x:f>
        <x:v>38606</x:v>
      </x:c>
    </x:row>
    <x:row r="312">
      <x:c r="A312" s="35" t="n">
        <x:v>311</x:v>
      </x:c>
      <x:c r="B312" s="35" t="n">
        <x:v>25</x:v>
      </x:c>
      <x:c r="C312" s="35" t="str">
        <x:v>Female</x:v>
      </x:c>
      <x:c r="D312" s="35" t="str">
        <x:v>Operations</x:v>
      </x:c>
      <x:c r="E312" s="35" t="str">
        <x:v>Quality Specialist</x:v>
      </x:c>
      <x:c r="F312" s="35" t="str">
        <x:v>Computer Science</x:v>
      </x:c>
      <x:c r="G312" s="35" t="str">
        <x:v>Single</x:v>
      </x:c>
      <x:c r="H312" s="35" t="n">
        <x:v>1</x:v>
      </x:c>
      <x:c r="I312" s="36" t="n">
        <x:v>6170</x:v>
      </x:c>
      <x:c r="J312" s="35" t="n">
        <x:v>2</x:v>
      </x:c>
      <x:c r="K312" s="35" t="n">
        <x:v>1</x:v>
      </x:c>
      <x:c r="L312" s="35" t="n">
        <x:v>1</x:v>
      </x:c>
      <x:c r="M312" s="35" t="n">
        <x:v>15</x:v>
      </x:c>
      <x:c r="N312" s="35" t="str">
        <x:v>Yes</x:v>
      </x:c>
      <x:c r="O312" s="35" t="n">
        <x:v>3</x:v>
      </x:c>
      <x:c r="P312" s="35" t="n">
        <x:v>2</x:v>
      </x:c>
      <x:c r="Q312" s="35" t="n">
        <x:v>2</x:v>
      </x:c>
      <x:c r="R312" s="35" t="n">
        <x:v>3</x:v>
      </x:c>
      <x:c r="S312" s="35" t="n">
        <x:v>3</x:v>
      </x:c>
      <x:c r="T312" s="35" t="n">
        <x:v>4</x:v>
      </x:c>
      <x:c r="U312" s="35" t="n">
        <x:v>1</x:v>
      </x:c>
      <x:c r="V312" s="35" t="n">
        <x:v>6</x:v>
      </x:c>
      <x:c r="W312" s="35" t="n">
        <x:v>26</x:v>
      </x:c>
      <x:c r="X312" s="35" t="n">
        <x:v>81</x:v>
      </x:c>
      <x:c r="Y312" s="35" t="n">
        <x:v>4</x:v>
      </x:c>
      <x:c r="Z312" s="35" t="n">
        <x:v>98</x:v>
      </x:c>
      <x:c r="AA312" s="35" t="n">
        <x:v>12</x:v>
      </x:c>
      <x:c r="AB312" s="35" t="n">
        <x:v>10</x:v>
      </x:c>
      <x:c r="AC312" s="35" t="n">
        <x:v>10</x:v>
      </x:c>
      <x:c r="AD312" s="35" t="n">
        <x:v>85</x:v>
      </x:c>
      <x:c r="AE312" s="35" t="n">
        <x:v>100</x:v>
      </x:c>
      <x:c r="AF312" s="35" t="n">
        <x:v>100</x:v>
      </x:c>
      <x:c r="AG312" s="35" t="n">
        <x:v>87</x:v>
      </x:c>
      <x:c r="AH312" s="35" t="n">
        <x:v>12</x:v>
      </x:c>
      <x:c r="AI312" s="37" t="n">
        <x:v>92.6</x:v>
      </x:c>
      <x:c r="AJ312" s="37" t="n">
        <x:v>93.3</x:v>
      </x:c>
      <x:c r="AK312" s="35" t="str">
        <x:v>No</x:v>
      </x:c>
      <x:c r="AL312" s="38" t="n">
        <x:f>IF(AA312=0,0,AB312/AA312)</x:f>
        <x:v>0.8333333333333334</x:v>
      </x:c>
      <x:c r="AM312" s="38" t="n">
        <x:f>IF(AB312=0,0,AC312/AB312)</x:f>
        <x:v>1</x:v>
      </x:c>
      <x:c r="AN312" s="37" t="n">
        <x:f>ROUND((AD312*0.20+AE312*0.20+AF312*0.25+AG312*0.15+MIN(100,AC312*12)*0.20),1)</x:f>
        <x:v>95.1</x:v>
      </x:c>
      <x:c r="AO312" s="37" t="n">
        <x:f>ROUND(MAX(0,MIN(100,(X312*0.35)+(W312/45*100*0.20)+((5-O312)/4*100*0.15)+((5-P312)/4*100*0.10)+((6-Y312)/5*100*0.10)+((100-Z312)*0.10))),1)</x:f>
        <x:v>59.1</x:v>
      </x:c>
      <x:c r="AP312" s="37" t="str">
        <x:f>IF(AO312&gt;=70,"High",IF(AO312&gt;=40,"Moderate","Low"))</x:f>
        <x:v>Moderate</x:v>
      </x:c>
      <x:c r="AQ312" s="37" t="n">
        <x:f>ROUND(MAX(0,MIN(100,(O312/4*100*0.25)+(P312/4*100*0.20)+(Q312/4*100*0.15)+(Y312/5*100*0.20)+(100-AO312)*0.20)),1)</x:f>
        <x:v>60.4</x:v>
      </x:c>
      <x:c r="AR312" s="37" t="n">
        <x:f>ROUND((AI312*0.20+AJ312*0.15+AN312*0.18+AG312*0.12+Z312*0.15+AQ312*0.20),1)</x:f>
        <x:v>86.9</x:v>
      </x:c>
      <x:c r="AS312" s="39" t="n">
        <x:f>ROUND((AC312*AF312*120)+(AH312*350)+(MAX(0,AI312-75)*220)+(MAX(0,AQ312-60)*100),0)</x:f>
        <x:v>128112</x:v>
      </x:c>
    </x:row>
    <x:row r="313">
      <x:c r="A313" s="35" t="n">
        <x:v>312</x:v>
      </x:c>
      <x:c r="B313" s="35" t="n">
        <x:v>40</x:v>
      </x:c>
      <x:c r="C313" s="35" t="str">
        <x:v>Female</x:v>
      </x:c>
      <x:c r="D313" s="35" t="str">
        <x:v>Sales</x:v>
      </x:c>
      <x:c r="E313" s="35" t="str">
        <x:v>Sales Representative</x:v>
      </x:c>
      <x:c r="F313" s="35" t="str">
        <x:v>Life Sciences</x:v>
      </x:c>
      <x:c r="G313" s="35" t="str">
        <x:v>Single</x:v>
      </x:c>
      <x:c r="H313" s="35" t="n">
        <x:v>3</x:v>
      </x:c>
      <x:c r="I313" s="36" t="n">
        <x:v>14320</x:v>
      </x:c>
      <x:c r="J313" s="35" t="n">
        <x:v>17</x:v>
      </x:c>
      <x:c r="K313" s="35" t="n">
        <x:v>13</x:v>
      </x:c>
      <x:c r="L313" s="35" t="n">
        <x:v>9</x:v>
      </x:c>
      <x:c r="M313" s="35" t="n">
        <x:v>3</x:v>
      </x:c>
      <x:c r="N313" s="35" t="str">
        <x:v>Yes</x:v>
      </x:c>
      <x:c r="O313" s="35" t="n">
        <x:v>3</x:v>
      </x:c>
      <x:c r="P313" s="35" t="n">
        <x:v>2</x:v>
      </x:c>
      <x:c r="Q313" s="35" t="n">
        <x:v>3</x:v>
      </x:c>
      <x:c r="R313" s="35" t="n">
        <x:v>3</x:v>
      </x:c>
      <x:c r="S313" s="35" t="n">
        <x:v>3</x:v>
      </x:c>
      <x:c r="T313" s="35" t="n">
        <x:v>4</x:v>
      </x:c>
      <x:c r="U313" s="35" t="n">
        <x:v>1</x:v>
      </x:c>
      <x:c r="V313" s="35" t="n">
        <x:v>5</x:v>
      </x:c>
      <x:c r="W313" s="35" t="n">
        <x:v>14</x:v>
      </x:c>
      <x:c r="X313" s="35" t="n">
        <x:v>89</x:v>
      </x:c>
      <x:c r="Y313" s="35" t="n">
        <x:v>4</x:v>
      </x:c>
      <x:c r="Z313" s="35" t="n">
        <x:v>90</x:v>
      </x:c>
      <x:c r="AA313" s="35" t="n">
        <x:v>5</x:v>
      </x:c>
      <x:c r="AB313" s="35" t="n">
        <x:v>5</x:v>
      </x:c>
      <x:c r="AC313" s="35" t="n">
        <x:v>3</x:v>
      </x:c>
      <x:c r="AD313" s="35" t="n">
        <x:v>100</x:v>
      </x:c>
      <x:c r="AE313" s="35" t="n">
        <x:v>78</x:v>
      </x:c>
      <x:c r="AF313" s="35" t="n">
        <x:v>79</x:v>
      </x:c>
      <x:c r="AG313" s="35" t="n">
        <x:v>97</x:v>
      </x:c>
      <x:c r="AH313" s="35" t="n">
        <x:v>5</x:v>
      </x:c>
      <x:c r="AI313" s="37" t="n">
        <x:v>95.5</x:v>
      </x:c>
      <x:c r="AJ313" s="37" t="n">
        <x:v>90.3</x:v>
      </x:c>
      <x:c r="AK313" s="35" t="str">
        <x:v>Yes</x:v>
      </x:c>
      <x:c r="AL313" s="38" t="n">
        <x:f>IF(AA313=0,0,AB313/AA313)</x:f>
        <x:v>1</x:v>
      </x:c>
      <x:c r="AM313" s="38" t="n">
        <x:f>IF(AB313=0,0,AC313/AB313)</x:f>
        <x:v>0.6</x:v>
      </x:c>
      <x:c r="AN313" s="37" t="n">
        <x:f>ROUND((AD313*0.20+AE313*0.20+AF313*0.25+AG313*0.15+MIN(100,AC313*12)*0.20),1)</x:f>
        <x:v>77.1</x:v>
      </x:c>
      <x:c r="AO313" s="37" t="n">
        <x:f>ROUND(MAX(0,MIN(100,(X313*0.35)+(W313/45*100*0.20)+((5-O313)/4*100*0.15)+((5-P313)/4*100*0.10)+((6-Y313)/5*100*0.10)+((100-Z313)*0.10))),1)</x:f>
        <x:v>57.4</x:v>
      </x:c>
      <x:c r="AP313" s="37" t="str">
        <x:f>IF(AO313&gt;=70,"High",IF(AO313&gt;=40,"Moderate","Low"))</x:f>
        <x:v>Moderate</x:v>
      </x:c>
      <x:c r="AQ313" s="37" t="n">
        <x:f>ROUND(MAX(0,MIN(100,(O313/4*100*0.25)+(P313/4*100*0.20)+(Q313/4*100*0.15)+(Y313/5*100*0.20)+(100-AO313)*0.20)),1)</x:f>
        <x:v>64.5</x:v>
      </x:c>
      <x:c r="AR313" s="37" t="n">
        <x:f>ROUND((AI313*0.20+AJ313*0.15+AN313*0.18+AG313*0.12+Z313*0.15+AQ313*0.20),1)</x:f>
        <x:v>84.6</x:v>
      </x:c>
      <x:c r="AS313" s="39" t="n">
        <x:f>ROUND((AC313*AF313*120)+(AH313*350)+(MAX(0,AI313-75)*220)+(MAX(0,AQ313-60)*100),0)</x:f>
        <x:v>35150</x:v>
      </x:c>
    </x:row>
    <x:row r="314">
      <x:c r="A314" s="35" t="n">
        <x:v>313</x:v>
      </x:c>
      <x:c r="B314" s="35" t="n">
        <x:v>37</x:v>
      </x:c>
      <x:c r="C314" s="35" t="str">
        <x:v>Male</x:v>
      </x:c>
      <x:c r="D314" s="35" t="str">
        <x:v>Information Technology</x:v>
      </x:c>
      <x:c r="E314" s="35" t="str">
        <x:v>IT Support</x:v>
      </x:c>
      <x:c r="F314" s="35" t="str">
        <x:v>Medical</x:v>
      </x:c>
      <x:c r="G314" s="35" t="str">
        <x:v>Divorced</x:v>
      </x:c>
      <x:c r="H314" s="35" t="n">
        <x:v>3</x:v>
      </x:c>
      <x:c r="I314" s="36" t="n">
        <x:v>12510</x:v>
      </x:c>
      <x:c r="J314" s="35" t="n">
        <x:v>11</x:v>
      </x:c>
      <x:c r="K314" s="35" t="n">
        <x:v>6</x:v>
      </x:c>
      <x:c r="L314" s="35" t="n">
        <x:v>4</x:v>
      </x:c>
      <x:c r="M314" s="35" t="n">
        <x:v>18</x:v>
      </x:c>
      <x:c r="N314" s="35" t="str">
        <x:v>Yes</x:v>
      </x:c>
      <x:c r="O314" s="35" t="n">
        <x:v>2</x:v>
      </x:c>
      <x:c r="P314" s="35" t="n">
        <x:v>3</x:v>
      </x:c>
      <x:c r="Q314" s="35" t="n">
        <x:v>2</x:v>
      </x:c>
      <x:c r="R314" s="35" t="n">
        <x:v>3</x:v>
      </x:c>
      <x:c r="S314" s="35" t="n">
        <x:v>3</x:v>
      </x:c>
      <x:c r="T314" s="35" t="n">
        <x:v>2</x:v>
      </x:c>
      <x:c r="U314" s="35" t="n">
        <x:v>3</x:v>
      </x:c>
      <x:c r="V314" s="35" t="n">
        <x:v>2</x:v>
      </x:c>
      <x:c r="W314" s="35" t="n">
        <x:v>14</x:v>
      </x:c>
      <x:c r="X314" s="35" t="n">
        <x:v>82</x:v>
      </x:c>
      <x:c r="Y314" s="35" t="n">
        <x:v>3</x:v>
      </x:c>
      <x:c r="Z314" s="35" t="n">
        <x:v>100</x:v>
      </x:c>
      <x:c r="AA314" s="35" t="n">
        <x:v>3</x:v>
      </x:c>
      <x:c r="AB314" s="35" t="n">
        <x:v>2</x:v>
      </x:c>
      <x:c r="AC314" s="35" t="n">
        <x:v>2</x:v>
      </x:c>
      <x:c r="AD314" s="35" t="n">
        <x:v>85</x:v>
      </x:c>
      <x:c r="AE314" s="35" t="n">
        <x:v>81</x:v>
      </x:c>
      <x:c r="AF314" s="35" t="n">
        <x:v>81</x:v>
      </x:c>
      <x:c r="AG314" s="35" t="n">
        <x:v>91</x:v>
      </x:c>
      <x:c r="AH314" s="35" t="n">
        <x:v>3</x:v>
      </x:c>
      <x:c r="AI314" s="37" t="n">
        <x:v>91</x:v>
      </x:c>
      <x:c r="AJ314" s="37" t="n">
        <x:v>100</x:v>
      </x:c>
      <x:c r="AK314" s="35" t="str">
        <x:v>No</x:v>
      </x:c>
      <x:c r="AL314" s="38" t="n">
        <x:f>IF(AA314=0,0,AB314/AA314)</x:f>
        <x:v>0.6666666666666666</x:v>
      </x:c>
      <x:c r="AM314" s="38" t="n">
        <x:f>IF(AB314=0,0,AC314/AB314)</x:f>
        <x:v>1</x:v>
      </x:c>
      <x:c r="AN314" s="37" t="n">
        <x:f>ROUND((AD314*0.20+AE314*0.20+AF314*0.25+AG314*0.15+MIN(100,AC314*12)*0.20),1)</x:f>
        <x:v>71.9</x:v>
      </x:c>
      <x:c r="AO314" s="37" t="n">
        <x:f>ROUND(MAX(0,MIN(100,(X314*0.35)+(W314/45*100*0.20)+((5-O314)/4*100*0.15)+((5-P314)/4*100*0.10)+((6-Y314)/5*100*0.10)+((100-Z314)*0.10))),1)</x:f>
        <x:v>57.2</x:v>
      </x:c>
      <x:c r="AP314" s="37" t="str">
        <x:f>IF(AO314&gt;=70,"High",IF(AO314&gt;=40,"Moderate","Low"))</x:f>
        <x:v>Moderate</x:v>
      </x:c>
      <x:c r="AQ314" s="37" t="n">
        <x:f>ROUND(MAX(0,MIN(100,(O314/4*100*0.25)+(P314/4*100*0.20)+(Q314/4*100*0.15)+(Y314/5*100*0.20)+(100-AO314)*0.20)),1)</x:f>
        <x:v>55.6</x:v>
      </x:c>
      <x:c r="AR314" s="37" t="n">
        <x:f>ROUND((AI314*0.20+AJ314*0.15+AN314*0.18+AG314*0.12+Z314*0.15+AQ314*0.20),1)</x:f>
        <x:v>83.2</x:v>
      </x:c>
      <x:c r="AS314" s="39" t="n">
        <x:f>ROUND((AC314*AF314*120)+(AH314*350)+(MAX(0,AI314-75)*220)+(MAX(0,AQ314-60)*100),0)</x:f>
        <x:v>24010</x:v>
      </x:c>
    </x:row>
    <x:row r="315">
      <x:c r="A315" s="35" t="n">
        <x:v>314</x:v>
      </x:c>
      <x:c r="B315" s="35" t="n">
        <x:v>30</x:v>
      </x:c>
      <x:c r="C315" s="35" t="str">
        <x:v>Female</x:v>
      </x:c>
      <x:c r="D315" s="35" t="str">
        <x:v>Sales</x:v>
      </x:c>
      <x:c r="E315" s="35" t="str">
        <x:v>Sales Representative</x:v>
      </x:c>
      <x:c r="F315" s="35" t="str">
        <x:v>Medical</x:v>
      </x:c>
      <x:c r="G315" s="35" t="str">
        <x:v>Married</x:v>
      </x:c>
      <x:c r="H315" s="35" t="n">
        <x:v>1</x:v>
      </x:c>
      <x:c r="I315" s="36" t="n">
        <x:v>5110</x:v>
      </x:c>
      <x:c r="J315" s="35" t="n">
        <x:v>6</x:v>
      </x:c>
      <x:c r="K315" s="35" t="n">
        <x:v>4</x:v>
      </x:c>
      <x:c r="L315" s="35" t="n">
        <x:v>2</x:v>
      </x:c>
      <x:c r="M315" s="35" t="n">
        <x:v>21</x:v>
      </x:c>
      <x:c r="N315" s="35" t="str">
        <x:v>No</x:v>
      </x:c>
      <x:c r="O315" s="35" t="n">
        <x:v>3</x:v>
      </x:c>
      <x:c r="P315" s="35" t="n">
        <x:v>2</x:v>
      </x:c>
      <x:c r="Q315" s="35" t="n">
        <x:v>2</x:v>
      </x:c>
      <x:c r="R315" s="35" t="n">
        <x:v>4</x:v>
      </x:c>
      <x:c r="S315" s="35" t="n">
        <x:v>3</x:v>
      </x:c>
      <x:c r="T315" s="35" t="n">
        <x:v>4</x:v>
      </x:c>
      <x:c r="U315" s="35" t="n">
        <x:v>1</x:v>
      </x:c>
      <x:c r="V315" s="35" t="n">
        <x:v>9</x:v>
      </x:c>
      <x:c r="W315" s="35" t="n">
        <x:v>3</x:v>
      </x:c>
      <x:c r="X315" s="35" t="n">
        <x:v>66</x:v>
      </x:c>
      <x:c r="Y315" s="35" t="n">
        <x:v>4</x:v>
      </x:c>
      <x:c r="Z315" s="35" t="n">
        <x:v>100</x:v>
      </x:c>
      <x:c r="AA315" s="35" t="n">
        <x:v>5</x:v>
      </x:c>
      <x:c r="AB315" s="35" t="n">
        <x:v>2</x:v>
      </x:c>
      <x:c r="AC315" s="35" t="n">
        <x:v>2</x:v>
      </x:c>
      <x:c r="AD315" s="35" t="n">
        <x:v>70</x:v>
      </x:c>
      <x:c r="AE315" s="35" t="n">
        <x:v>57</x:v>
      </x:c>
      <x:c r="AF315" s="35" t="n">
        <x:v>82</x:v>
      </x:c>
      <x:c r="AG315" s="35" t="n">
        <x:v>94</x:v>
      </x:c>
      <x:c r="AH315" s="35" t="n">
        <x:v>5</x:v>
      </x:c>
      <x:c r="AI315" s="37" t="n">
        <x:v>100</x:v>
      </x:c>
      <x:c r="AJ315" s="37" t="n">
        <x:v>100</x:v>
      </x:c>
      <x:c r="AK315" s="35" t="str">
        <x:v>No</x:v>
      </x:c>
      <x:c r="AL315" s="38" t="n">
        <x:f>IF(AA315=0,0,AB315/AA315)</x:f>
        <x:v>0.4</x:v>
      </x:c>
      <x:c r="AM315" s="38" t="n">
        <x:f>IF(AB315=0,0,AC315/AB315)</x:f>
        <x:v>1</x:v>
      </x:c>
      <x:c r="AN315" s="37" t="n">
        <x:f>ROUND((AD315*0.20+AE315*0.20+AF315*0.25+AG315*0.15+MIN(100,AC315*12)*0.20),1)</x:f>
        <x:v>64.8</x:v>
      </x:c>
      <x:c r="AO315" s="37" t="n">
        <x:f>ROUND(MAX(0,MIN(100,(X315*0.35)+(W315/45*100*0.20)+((5-O315)/4*100*0.15)+((5-P315)/4*100*0.10)+((6-Y315)/5*100*0.10)+((100-Z315)*0.10))),1)</x:f>
        <x:v>43.4</x:v>
      </x:c>
      <x:c r="AP315" s="37" t="str">
        <x:f>IF(AO315&gt;=70,"High",IF(AO315&gt;=40,"Moderate","Low"))</x:f>
        <x:v>Moderate</x:v>
      </x:c>
      <x:c r="AQ315" s="37" t="n">
        <x:f>ROUND(MAX(0,MIN(100,(O315/4*100*0.25)+(P315/4*100*0.20)+(Q315/4*100*0.15)+(Y315/5*100*0.20)+(100-AO315)*0.20)),1)</x:f>
        <x:v>63.6</x:v>
      </x:c>
      <x:c r="AR315" s="37" t="n">
        <x:f>ROUND((AI315*0.20+AJ315*0.15+AN315*0.18+AG315*0.12+Z315*0.15+AQ315*0.20),1)</x:f>
        <x:v>85.7</x:v>
      </x:c>
      <x:c r="AS315" s="39" t="n">
        <x:f>ROUND((AC315*AF315*120)+(AH315*350)+(MAX(0,AI315-75)*220)+(MAX(0,AQ315-60)*100),0)</x:f>
        <x:v>27290</x:v>
      </x:c>
    </x:row>
    <x:row r="316">
      <x:c r="A316" s="35" t="n">
        <x:v>315</x:v>
      </x:c>
      <x:c r="B316" s="35" t="n">
        <x:v>30</x:v>
      </x:c>
      <x:c r="C316" s="35" t="str">
        <x:v>Female</x:v>
      </x:c>
      <x:c r="D316" s="35" t="str">
        <x:v>Research &amp; Development</x:v>
      </x:c>
      <x:c r="E316" s="35" t="str">
        <x:v>Laboratory Technician</x:v>
      </x:c>
      <x:c r="F316" s="35" t="str">
        <x:v>Computer Science</x:v>
      </x:c>
      <x:c r="G316" s="35" t="str">
        <x:v>Single</x:v>
      </x:c>
      <x:c r="H316" s="35" t="n">
        <x:v>1</x:v>
      </x:c>
      <x:c r="I316" s="36" t="n">
        <x:v>4760</x:v>
      </x:c>
      <x:c r="J316" s="35" t="n">
        <x:v>8</x:v>
      </x:c>
      <x:c r="K316" s="35" t="n">
        <x:v>5</x:v>
      </x:c>
      <x:c r="L316" s="35" t="n">
        <x:v>1</x:v>
      </x:c>
      <x:c r="M316" s="35" t="n">
        <x:v>13</x:v>
      </x:c>
      <x:c r="N316" s="35" t="str">
        <x:v>No</x:v>
      </x:c>
      <x:c r="O316" s="35" t="n">
        <x:v>2</x:v>
      </x:c>
      <x:c r="P316" s="35" t="n">
        <x:v>2</x:v>
      </x:c>
      <x:c r="Q316" s="35" t="n">
        <x:v>3</x:v>
      </x:c>
      <x:c r="R316" s="35" t="n">
        <x:v>4</x:v>
      </x:c>
      <x:c r="S316" s="35" t="n">
        <x:v>3</x:v>
      </x:c>
      <x:c r="T316" s="35" t="n">
        <x:v>3</x:v>
      </x:c>
      <x:c r="U316" s="35" t="n">
        <x:v>0</x:v>
      </x:c>
      <x:c r="V316" s="35" t="n">
        <x:v>10</x:v>
      </x:c>
      <x:c r="W316" s="35" t="n">
        <x:v>1</x:v>
      </x:c>
      <x:c r="X316" s="35" t="n">
        <x:v>56</x:v>
      </x:c>
      <x:c r="Y316" s="35" t="n">
        <x:v>5</x:v>
      </x:c>
      <x:c r="Z316" s="35" t="n">
        <x:v>100</x:v>
      </x:c>
      <x:c r="AA316" s="35" t="n">
        <x:v>7</x:v>
      </x:c>
      <x:c r="AB316" s="35" t="n">
        <x:v>5</x:v>
      </x:c>
      <x:c r="AC316" s="35" t="n">
        <x:v>4</x:v>
      </x:c>
      <x:c r="AD316" s="35" t="n">
        <x:v>85</x:v>
      </x:c>
      <x:c r="AE316" s="35" t="n">
        <x:v>78</x:v>
      </x:c>
      <x:c r="AF316" s="35" t="n">
        <x:v>86</x:v>
      </x:c>
      <x:c r="AG316" s="35" t="n">
        <x:v>100</x:v>
      </x:c>
      <x:c r="AH316" s="35" t="n">
        <x:v>6</x:v>
      </x:c>
      <x:c r="AI316" s="37" t="n">
        <x:v>100</x:v>
      </x:c>
      <x:c r="AJ316" s="37" t="n">
        <x:v>100</x:v>
      </x:c>
      <x:c r="AK316" s="35" t="str">
        <x:v>Yes</x:v>
      </x:c>
      <x:c r="AL316" s="38" t="n">
        <x:f>IF(AA316=0,0,AB316/AA316)</x:f>
        <x:v>0.7142857142857143</x:v>
      </x:c>
      <x:c r="AM316" s="38" t="n">
        <x:f>IF(AB316=0,0,AC316/AB316)</x:f>
        <x:v>0.8</x:v>
      </x:c>
      <x:c r="AN316" s="37" t="n">
        <x:f>ROUND((AD316*0.20+AE316*0.20+AF316*0.25+AG316*0.15+MIN(100,AC316*12)*0.20),1)</x:f>
        <x:v>78.7</x:v>
      </x:c>
      <x:c r="AO316" s="37" t="n">
        <x:f>ROUND(MAX(0,MIN(100,(X316*0.35)+(W316/45*100*0.20)+((5-O316)/4*100*0.15)+((5-P316)/4*100*0.10)+((6-Y316)/5*100*0.10)+((100-Z316)*0.10))),1)</x:f>
        <x:v>40.8</x:v>
      </x:c>
      <x:c r="AP316" s="37" t="str">
        <x:f>IF(AO316&gt;=70,"High",IF(AO316&gt;=40,"Moderate","Low"))</x:f>
        <x:v>Moderate</x:v>
      </x:c>
      <x:c r="AQ316" s="37" t="n">
        <x:f>ROUND(MAX(0,MIN(100,(O316/4*100*0.25)+(P316/4*100*0.20)+(Q316/4*100*0.15)+(Y316/5*100*0.20)+(100-AO316)*0.20)),1)</x:f>
        <x:v>65.6</x:v>
      </x:c>
      <x:c r="AR316" s="37" t="n">
        <x:f>ROUND((AI316*0.20+AJ316*0.15+AN316*0.18+AG316*0.12+Z316*0.15+AQ316*0.20),1)</x:f>
        <x:v>89.3</x:v>
      </x:c>
      <x:c r="AS316" s="39" t="n">
        <x:f>ROUND((AC316*AF316*120)+(AH316*350)+(MAX(0,AI316-75)*220)+(MAX(0,AQ316-60)*100),0)</x:f>
        <x:v>49440</x:v>
      </x:c>
    </x:row>
    <x:row r="317">
      <x:c r="A317" s="35" t="n">
        <x:v>316</x:v>
      </x:c>
      <x:c r="B317" s="35" t="n">
        <x:v>49</x:v>
      </x:c>
      <x:c r="C317" s="35" t="str">
        <x:v>Male</x:v>
      </x:c>
      <x:c r="D317" s="35" t="str">
        <x:v>Sales</x:v>
      </x:c>
      <x:c r="E317" s="35" t="str">
        <x:v>Sales Executive</x:v>
      </x:c>
      <x:c r="F317" s="35" t="str">
        <x:v>Marketing</x:v>
      </x:c>
      <x:c r="G317" s="35" t="str">
        <x:v>Married</x:v>
      </x:c>
      <x:c r="H317" s="35" t="n">
        <x:v>3</x:v>
      </x:c>
      <x:c r="I317" s="36" t="n">
        <x:v>14770</x:v>
      </x:c>
      <x:c r="J317" s="35" t="n">
        <x:v>23</x:v>
      </x:c>
      <x:c r="K317" s="35" t="n">
        <x:v>7</x:v>
      </x:c>
      <x:c r="L317" s="35" t="n">
        <x:v>3</x:v>
      </x:c>
      <x:c r="M317" s="35" t="n">
        <x:v>33</x:v>
      </x:c>
      <x:c r="N317" s="35" t="str">
        <x:v>No</x:v>
      </x:c>
      <x:c r="O317" s="35" t="n">
        <x:v>2</x:v>
      </x:c>
      <x:c r="P317" s="35" t="n">
        <x:v>3</x:v>
      </x:c>
      <x:c r="Q317" s="35" t="n">
        <x:v>3</x:v>
      </x:c>
      <x:c r="R317" s="35" t="n">
        <x:v>3</x:v>
      </x:c>
      <x:c r="S317" s="35" t="n">
        <x:v>3</x:v>
      </x:c>
      <x:c r="T317" s="35" t="n">
        <x:v>0</x:v>
      </x:c>
      <x:c r="U317" s="35" t="n">
        <x:v>0</x:v>
      </x:c>
      <x:c r="V317" s="35" t="n">
        <x:v>2</x:v>
      </x:c>
      <x:c r="W317" s="35" t="n">
        <x:v>4</x:v>
      </x:c>
      <x:c r="X317" s="35" t="n">
        <x:v>57</x:v>
      </x:c>
      <x:c r="Y317" s="35" t="n">
        <x:v>5</x:v>
      </x:c>
      <x:c r="Z317" s="35" t="n">
        <x:v>100</x:v>
      </x:c>
      <x:c r="AA317" s="35" t="n">
        <x:v>2</x:v>
      </x:c>
      <x:c r="AB317" s="35" t="n">
        <x:v>1</x:v>
      </x:c>
      <x:c r="AC317" s="35" t="n">
        <x:v>1</x:v>
      </x:c>
      <x:c r="AD317" s="35" t="n">
        <x:v>61</x:v>
      </x:c>
      <x:c r="AE317" s="35" t="n">
        <x:v>83</x:v>
      </x:c>
      <x:c r="AF317" s="35" t="n">
        <x:v>90</x:v>
      </x:c>
      <x:c r="AG317" s="35" t="n">
        <x:v>100</x:v>
      </x:c>
      <x:c r="AH317" s="35" t="n">
        <x:v>8</x:v>
      </x:c>
      <x:c r="AI317" s="37" t="n">
        <x:v>90.5</x:v>
      </x:c>
      <x:c r="AJ317" s="37" t="n">
        <x:v>100</x:v>
      </x:c>
      <x:c r="AK317" s="35" t="str">
        <x:v>No</x:v>
      </x:c>
      <x:c r="AL317" s="38" t="n">
        <x:f>IF(AA317=0,0,AB317/AA317)</x:f>
        <x:v>0.5</x:v>
      </x:c>
      <x:c r="AM317" s="38" t="n">
        <x:f>IF(AB317=0,0,AC317/AB317)</x:f>
        <x:v>1</x:v>
      </x:c>
      <x:c r="AN317" s="37" t="n">
        <x:f>ROUND((AD317*0.20+AE317*0.20+AF317*0.25+AG317*0.15+MIN(100,AC317*12)*0.20),1)</x:f>
        <x:v>68.7</x:v>
      </x:c>
      <x:c r="AO317" s="37" t="n">
        <x:f>ROUND(MAX(0,MIN(100,(X317*0.35)+(W317/45*100*0.20)+((5-O317)/4*100*0.15)+((5-P317)/4*100*0.10)+((6-Y317)/5*100*0.10)+((100-Z317)*0.10))),1)</x:f>
        <x:v>40</x:v>
      </x:c>
      <x:c r="AP317" s="37" t="str">
        <x:f>IF(AO317&gt;=70,"High",IF(AO317&gt;=40,"Moderate","Low"))</x:f>
        <x:v>Moderate</x:v>
      </x:c>
      <x:c r="AQ317" s="37" t="n">
        <x:f>ROUND(MAX(0,MIN(100,(O317/4*100*0.25)+(P317/4*100*0.20)+(Q317/4*100*0.15)+(Y317/5*100*0.20)+(100-AO317)*0.20)),1)</x:f>
        <x:v>70.8</x:v>
      </x:c>
      <x:c r="AR317" s="37" t="n">
        <x:f>ROUND((AI317*0.20+AJ317*0.15+AN317*0.18+AG317*0.12+Z317*0.15+AQ317*0.20),1)</x:f>
        <x:v>86.6</x:v>
      </x:c>
      <x:c r="AS317" s="39" t="n">
        <x:f>ROUND((AC317*AF317*120)+(AH317*350)+(MAX(0,AI317-75)*220)+(MAX(0,AQ317-60)*100),0)</x:f>
        <x:v>18090</x:v>
      </x:c>
    </x:row>
    <x:row r="318">
      <x:c r="A318" s="35" t="n">
        <x:v>317</x:v>
      </x:c>
      <x:c r="B318" s="35" t="n">
        <x:v>38</x:v>
      </x:c>
      <x:c r="C318" s="35" t="str">
        <x:v>Male</x:v>
      </x:c>
      <x:c r="D318" s="35" t="str">
        <x:v>Marketing</x:v>
      </x:c>
      <x:c r="E318" s="35" t="str">
        <x:v>Marketing Manager</x:v>
      </x:c>
      <x:c r="F318" s="35" t="str">
        <x:v>Technical Degree</x:v>
      </x:c>
      <x:c r="G318" s="35" t="str">
        <x:v>Married</x:v>
      </x:c>
      <x:c r="H318" s="35" t="n">
        <x:v>1</x:v>
      </x:c>
      <x:c r="I318" s="36" t="n">
        <x:v>4000</x:v>
      </x:c>
      <x:c r="J318" s="35" t="n">
        <x:v>12</x:v>
      </x:c>
      <x:c r="K318" s="35" t="n">
        <x:v>6</x:v>
      </x:c>
      <x:c r="L318" s="35" t="n">
        <x:v>2</x:v>
      </x:c>
      <x:c r="M318" s="35" t="n">
        <x:v>2</x:v>
      </x:c>
      <x:c r="N318" s="35" t="str">
        <x:v>No</x:v>
      </x:c>
      <x:c r="O318" s="35" t="n">
        <x:v>2</x:v>
      </x:c>
      <x:c r="P318" s="35" t="n">
        <x:v>2</x:v>
      </x:c>
      <x:c r="Q318" s="35" t="n">
        <x:v>3</x:v>
      </x:c>
      <x:c r="R318" s="35" t="n">
        <x:v>3</x:v>
      </x:c>
      <x:c r="S318" s="35" t="n">
        <x:v>3</x:v>
      </x:c>
      <x:c r="T318" s="35" t="n">
        <x:v>4</x:v>
      </x:c>
      <x:c r="U318" s="35" t="n">
        <x:v>1</x:v>
      </x:c>
      <x:c r="V318" s="35" t="n">
        <x:v>10</x:v>
      </x:c>
      <x:c r="W318" s="35" t="n">
        <x:v>22</x:v>
      </x:c>
      <x:c r="X318" s="35" t="n">
        <x:v>70</x:v>
      </x:c>
      <x:c r="Y318" s="35" t="n">
        <x:v>4</x:v>
      </x:c>
      <x:c r="Z318" s="35" t="n">
        <x:v>91</x:v>
      </x:c>
      <x:c r="AA318" s="35" t="n">
        <x:v>11</x:v>
      </x:c>
      <x:c r="AB318" s="35" t="n">
        <x:v>8</x:v>
      </x:c>
      <x:c r="AC318" s="35" t="n">
        <x:v>5</x:v>
      </x:c>
      <x:c r="AD318" s="35" t="n">
        <x:v>69</x:v>
      </x:c>
      <x:c r="AE318" s="35" t="n">
        <x:v>84</x:v>
      </x:c>
      <x:c r="AF318" s="35" t="n">
        <x:v>74</x:v>
      </x:c>
      <x:c r="AG318" s="35" t="n">
        <x:v>76</x:v>
      </x:c>
      <x:c r="AH318" s="35" t="n">
        <x:v>2</x:v>
      </x:c>
      <x:c r="AI318" s="37" t="n">
        <x:v>96.8</x:v>
      </x:c>
      <x:c r="AJ318" s="37" t="n">
        <x:v>100</x:v>
      </x:c>
      <x:c r="AK318" s="35" t="str">
        <x:v>No</x:v>
      </x:c>
      <x:c r="AL318" s="38" t="n">
        <x:f>IF(AA318=0,0,AB318/AA318)</x:f>
        <x:v>0.7272727272727273</x:v>
      </x:c>
      <x:c r="AM318" s="38" t="n">
        <x:f>IF(AB318=0,0,AC318/AB318)</x:f>
        <x:v>0.625</x:v>
      </x:c>
      <x:c r="AN318" s="37" t="n">
        <x:f>ROUND((AD318*0.20+AE318*0.20+AF318*0.25+AG318*0.15+MIN(100,AC318*12)*0.20),1)</x:f>
        <x:v>72.5</x:v>
      </x:c>
      <x:c r="AO318" s="37" t="n">
        <x:f>ROUND(MAX(0,MIN(100,(X318*0.35)+(W318/45*100*0.20)+((5-O318)/4*100*0.15)+((5-P318)/4*100*0.10)+((6-Y318)/5*100*0.10)+((100-Z318)*0.10))),1)</x:f>
        <x:v>57.9</x:v>
      </x:c>
      <x:c r="AP318" s="37" t="str">
        <x:f>IF(AO318&gt;=70,"High",IF(AO318&gt;=40,"Moderate","Low"))</x:f>
        <x:v>Moderate</x:v>
      </x:c>
      <x:c r="AQ318" s="37" t="n">
        <x:f>ROUND(MAX(0,MIN(100,(O318/4*100*0.25)+(P318/4*100*0.20)+(Q318/4*100*0.15)+(Y318/5*100*0.20)+(100-AO318)*0.20)),1)</x:f>
        <x:v>58.2</x:v>
      </x:c>
      <x:c r="AR318" s="37" t="n">
        <x:f>ROUND((AI318*0.20+AJ318*0.15+AN318*0.18+AG318*0.12+Z318*0.15+AQ318*0.20),1)</x:f>
        <x:v>81.8</x:v>
      </x:c>
      <x:c r="AS318" s="39" t="n">
        <x:f>ROUND((AC318*AF318*120)+(AH318*350)+(MAX(0,AI318-75)*220)+(MAX(0,AQ318-60)*100),0)</x:f>
        <x:v>49896</x:v>
      </x:c>
    </x:row>
    <x:row r="319">
      <x:c r="A319" s="35" t="n">
        <x:v>318</x:v>
      </x:c>
      <x:c r="B319" s="35" t="n">
        <x:v>46</x:v>
      </x:c>
      <x:c r="C319" s="35" t="str">
        <x:v>Male</x:v>
      </x:c>
      <x:c r="D319" s="35" t="str">
        <x:v>Information Technology</x:v>
      </x:c>
      <x:c r="E319" s="35" t="str">
        <x:v>IT Support</x:v>
      </x:c>
      <x:c r="F319" s="35" t="str">
        <x:v>Medical</x:v>
      </x:c>
      <x:c r="G319" s="35" t="str">
        <x:v>Divorced</x:v>
      </x:c>
      <x:c r="H319" s="35" t="n">
        <x:v>2</x:v>
      </x:c>
      <x:c r="I319" s="36" t="n">
        <x:v>10970</x:v>
      </x:c>
      <x:c r="J319" s="35" t="n">
        <x:v>22</x:v>
      </x:c>
      <x:c r="K319" s="35" t="n">
        <x:v>13</x:v>
      </x:c>
      <x:c r="L319" s="35" t="n">
        <x:v>9</x:v>
      </x:c>
      <x:c r="M319" s="35" t="n">
        <x:v>5</x:v>
      </x:c>
      <x:c r="N319" s="35" t="str">
        <x:v>Yes</x:v>
      </x:c>
      <x:c r="O319" s="35" t="n">
        <x:v>3</x:v>
      </x:c>
      <x:c r="P319" s="35" t="n">
        <x:v>3</x:v>
      </x:c>
      <x:c r="Q319" s="35" t="n">
        <x:v>2</x:v>
      </x:c>
      <x:c r="R319" s="35" t="n">
        <x:v>3</x:v>
      </x:c>
      <x:c r="S319" s="35" t="n">
        <x:v>3</x:v>
      </x:c>
      <x:c r="T319" s="35" t="n">
        <x:v>4</x:v>
      </x:c>
      <x:c r="U319" s="35" t="n">
        <x:v>1</x:v>
      </x:c>
      <x:c r="V319" s="35" t="n">
        <x:v>9</x:v>
      </x:c>
      <x:c r="W319" s="35" t="n">
        <x:v>13</x:v>
      </x:c>
      <x:c r="X319" s="35" t="n">
        <x:v>78</x:v>
      </x:c>
      <x:c r="Y319" s="35" t="n">
        <x:v>4</x:v>
      </x:c>
      <x:c r="Z319" s="35" t="n">
        <x:v>100</x:v>
      </x:c>
      <x:c r="AA319" s="35" t="n">
        <x:v>4</x:v>
      </x:c>
      <x:c r="AB319" s="35" t="n">
        <x:v>4</x:v>
      </x:c>
      <x:c r="AC319" s="35" t="n">
        <x:v>3</x:v>
      </x:c>
      <x:c r="AD319" s="35" t="n">
        <x:v>82</x:v>
      </x:c>
      <x:c r="AE319" s="35" t="n">
        <x:v>88</x:v>
      </x:c>
      <x:c r="AF319" s="35" t="n">
        <x:v>56</x:v>
      </x:c>
      <x:c r="AG319" s="35" t="n">
        <x:v>100</x:v>
      </x:c>
      <x:c r="AH319" s="35" t="n">
        <x:v>8</x:v>
      </x:c>
      <x:c r="AI319" s="37" t="n">
        <x:v>95.2</x:v>
      </x:c>
      <x:c r="AJ319" s="37" t="n">
        <x:v>95.3</x:v>
      </x:c>
      <x:c r="AK319" s="35" t="str">
        <x:v>Yes</x:v>
      </x:c>
      <x:c r="AL319" s="38" t="n">
        <x:f>IF(AA319=0,0,AB319/AA319)</x:f>
        <x:v>1</x:v>
      </x:c>
      <x:c r="AM319" s="38" t="n">
        <x:f>IF(AB319=0,0,AC319/AB319)</x:f>
        <x:v>0.75</x:v>
      </x:c>
      <x:c r="AN319" s="37" t="n">
        <x:f>ROUND((AD319*0.20+AE319*0.20+AF319*0.25+AG319*0.15+MIN(100,AC319*12)*0.20),1)</x:f>
        <x:v>70.2</x:v>
      </x:c>
      <x:c r="AO319" s="37" t="n">
        <x:f>ROUND(MAX(0,MIN(100,(X319*0.35)+(W319/45*100*0.20)+((5-O319)/4*100*0.15)+((5-P319)/4*100*0.10)+((6-Y319)/5*100*0.10)+((100-Z319)*0.10))),1)</x:f>
        <x:v>49.6</x:v>
      </x:c>
      <x:c r="AP319" s="37" t="str">
        <x:f>IF(AO319&gt;=70,"High",IF(AO319&gt;=40,"Moderate","Low"))</x:f>
        <x:v>Moderate</x:v>
      </x:c>
      <x:c r="AQ319" s="37" t="n">
        <x:f>ROUND(MAX(0,MIN(100,(O319/4*100*0.25)+(P319/4*100*0.20)+(Q319/4*100*0.15)+(Y319/5*100*0.20)+(100-AO319)*0.20)),1)</x:f>
        <x:v>67.3</x:v>
      </x:c>
      <x:c r="AR319" s="37" t="n">
        <x:f>ROUND((AI319*0.20+AJ319*0.15+AN319*0.18+AG319*0.12+Z319*0.15+AQ319*0.20),1)</x:f>
        <x:v>86.4</x:v>
      </x:c>
      <x:c r="AS319" s="39" t="n">
        <x:f>ROUND((AC319*AF319*120)+(AH319*350)+(MAX(0,AI319-75)*220)+(MAX(0,AQ319-60)*100),0)</x:f>
        <x:v>28134</x:v>
      </x:c>
    </x:row>
    <x:row r="320">
      <x:c r="A320" s="35" t="n">
        <x:v>319</x:v>
      </x:c>
      <x:c r="B320" s="35" t="n">
        <x:v>40</x:v>
      </x:c>
      <x:c r="C320" s="35" t="str">
        <x:v>Female</x:v>
      </x:c>
      <x:c r="D320" s="35" t="str">
        <x:v>Finance</x:v>
      </x:c>
      <x:c r="E320" s="35" t="str">
        <x:v>Financial Analyst</x:v>
      </x:c>
      <x:c r="F320" s="35" t="str">
        <x:v>Technical Degree</x:v>
      </x:c>
      <x:c r="G320" s="35" t="str">
        <x:v>Single</x:v>
      </x:c>
      <x:c r="H320" s="35" t="n">
        <x:v>3</x:v>
      </x:c>
      <x:c r="I320" s="36" t="n">
        <x:v>11690</x:v>
      </x:c>
      <x:c r="J320" s="35" t="n">
        <x:v>12</x:v>
      </x:c>
      <x:c r="K320" s="35" t="n">
        <x:v>6</x:v>
      </x:c>
      <x:c r="L320" s="35" t="n">
        <x:v>4</x:v>
      </x:c>
      <x:c r="M320" s="35" t="n">
        <x:v>33</x:v>
      </x:c>
      <x:c r="N320" s="35" t="str">
        <x:v>Yes</x:v>
      </x:c>
      <x:c r="O320" s="35" t="n">
        <x:v>2</x:v>
      </x:c>
      <x:c r="P320" s="35" t="n">
        <x:v>3</x:v>
      </x:c>
      <x:c r="Q320" s="35" t="n">
        <x:v>4</x:v>
      </x:c>
      <x:c r="R320" s="35" t="n">
        <x:v>3</x:v>
      </x:c>
      <x:c r="S320" s="35" t="n">
        <x:v>3</x:v>
      </x:c>
      <x:c r="T320" s="35" t="n">
        <x:v>3</x:v>
      </x:c>
      <x:c r="U320" s="35" t="n">
        <x:v>1</x:v>
      </x:c>
      <x:c r="V320" s="35" t="n">
        <x:v>5</x:v>
      </x:c>
      <x:c r="W320" s="35" t="n">
        <x:v>36</x:v>
      </x:c>
      <x:c r="X320" s="35" t="n">
        <x:v>78</x:v>
      </x:c>
      <x:c r="Y320" s="35" t="n">
        <x:v>3</x:v>
      </x:c>
      <x:c r="Z320" s="35" t="n">
        <x:v>100</x:v>
      </x:c>
      <x:c r="AA320" s="35" t="n">
        <x:v>3</x:v>
      </x:c>
      <x:c r="AB320" s="35" t="n">
        <x:v>3</x:v>
      </x:c>
      <x:c r="AC320" s="35" t="n">
        <x:v>2</x:v>
      </x:c>
      <x:c r="AD320" s="35" t="n">
        <x:v>48</x:v>
      </x:c>
      <x:c r="AE320" s="35" t="n">
        <x:v>69</x:v>
      </x:c>
      <x:c r="AF320" s="35" t="n">
        <x:v>70</x:v>
      </x:c>
      <x:c r="AG320" s="35" t="n">
        <x:v>100</x:v>
      </x:c>
      <x:c r="AH320" s="35" t="n">
        <x:v>3</x:v>
      </x:c>
      <x:c r="AI320" s="37" t="n">
        <x:v>97.3</x:v>
      </x:c>
      <x:c r="AJ320" s="37" t="n">
        <x:v>94.6</x:v>
      </x:c>
      <x:c r="AK320" s="35" t="str">
        <x:v>No</x:v>
      </x:c>
      <x:c r="AL320" s="38" t="n">
        <x:f>IF(AA320=0,0,AB320/AA320)</x:f>
        <x:v>1</x:v>
      </x:c>
      <x:c r="AM320" s="38" t="n">
        <x:f>IF(AB320=0,0,AC320/AB320)</x:f>
        <x:v>0.6666666666666666</x:v>
      </x:c>
      <x:c r="AN320" s="37" t="n">
        <x:f>ROUND((AD320*0.20+AE320*0.20+AF320*0.25+AG320*0.15+MIN(100,AC320*12)*0.20),1)</x:f>
        <x:v>60.7</x:v>
      </x:c>
      <x:c r="AO320" s="37" t="n">
        <x:f>ROUND(MAX(0,MIN(100,(X320*0.35)+(W320/45*100*0.20)+((5-O320)/4*100*0.15)+((5-P320)/4*100*0.10)+((6-Y320)/5*100*0.10)+((100-Z320)*0.10))),1)</x:f>
        <x:v>65.6</x:v>
      </x:c>
      <x:c r="AP320" s="37" t="str">
        <x:f>IF(AO320&gt;=70,"High",IF(AO320&gt;=40,"Moderate","Low"))</x:f>
        <x:v>Moderate</x:v>
      </x:c>
      <x:c r="AQ320" s="37" t="n">
        <x:f>ROUND(MAX(0,MIN(100,(O320/4*100*0.25)+(P320/4*100*0.20)+(Q320/4*100*0.15)+(Y320/5*100*0.20)+(100-AO320)*0.20)),1)</x:f>
        <x:v>61.4</x:v>
      </x:c>
      <x:c r="AR320" s="37" t="n">
        <x:f>ROUND((AI320*0.20+AJ320*0.15+AN320*0.18+AG320*0.12+Z320*0.15+AQ320*0.20),1)</x:f>
        <x:v>83.9</x:v>
      </x:c>
      <x:c r="AS320" s="39" t="n">
        <x:f>ROUND((AC320*AF320*120)+(AH320*350)+(MAX(0,AI320-75)*220)+(MAX(0,AQ320-60)*100),0)</x:f>
        <x:v>22896</x:v>
      </x:c>
    </x:row>
    <x:row r="321">
      <x:c r="A321" s="35" t="n">
        <x:v>320</x:v>
      </x:c>
      <x:c r="B321" s="35" t="n">
        <x:v>23</x:v>
      </x:c>
      <x:c r="C321" s="35" t="str">
        <x:v>Female</x:v>
      </x:c>
      <x:c r="D321" s="35" t="str">
        <x:v>Information Technology</x:v>
      </x:c>
      <x:c r="E321" s="35" t="str">
        <x:v>Software Engineer</x:v>
      </x:c>
      <x:c r="F321" s="35" t="str">
        <x:v>Business</x:v>
      </x:c>
      <x:c r="G321" s="35" t="str">
        <x:v>Married</x:v>
      </x:c>
      <x:c r="H321" s="35" t="n">
        <x:v>1</x:v>
      </x:c>
      <x:c r="I321" s="36" t="n">
        <x:v>4900</x:v>
      </x:c>
      <x:c r="J321" s="35" t="n">
        <x:v>1</x:v>
      </x:c>
      <x:c r="K321" s="35" t="n">
        <x:v>1</x:v>
      </x:c>
      <x:c r="L321" s="35" t="n">
        <x:v>1</x:v>
      </x:c>
      <x:c r="M321" s="35" t="n">
        <x:v>15</x:v>
      </x:c>
      <x:c r="N321" s="35" t="str">
        <x:v>Yes</x:v>
      </x:c>
      <x:c r="O321" s="35" t="n">
        <x:v>3</x:v>
      </x:c>
      <x:c r="P321" s="35" t="n">
        <x:v>3</x:v>
      </x:c>
      <x:c r="Q321" s="35" t="n">
        <x:v>1</x:v>
      </x:c>
      <x:c r="R321" s="35" t="n">
        <x:v>2</x:v>
      </x:c>
      <x:c r="S321" s="35" t="n">
        <x:v>4</x:v>
      </x:c>
      <x:c r="T321" s="35" t="n">
        <x:v>3</x:v>
      </x:c>
      <x:c r="U321" s="35" t="n">
        <x:v>1</x:v>
      </x:c>
      <x:c r="V321" s="35" t="n">
        <x:v>6</x:v>
      </x:c>
      <x:c r="W321" s="35" t="n">
        <x:v>19</x:v>
      </x:c>
      <x:c r="X321" s="35" t="n">
        <x:v>87</x:v>
      </x:c>
      <x:c r="Y321" s="35" t="n">
        <x:v>4</x:v>
      </x:c>
      <x:c r="Z321" s="35" t="n">
        <x:v>84</x:v>
      </x:c>
      <x:c r="AA321" s="35" t="n">
        <x:v>6</x:v>
      </x:c>
      <x:c r="AB321" s="35" t="n">
        <x:v>5</x:v>
      </x:c>
      <x:c r="AC321" s="35" t="n">
        <x:v>4</x:v>
      </x:c>
      <x:c r="AD321" s="35" t="n">
        <x:v>58</x:v>
      </x:c>
      <x:c r="AE321" s="35" t="n">
        <x:v>99</x:v>
      </x:c>
      <x:c r="AF321" s="35" t="n">
        <x:v>84</x:v>
      </x:c>
      <x:c r="AG321" s="35" t="n">
        <x:v>83</x:v>
      </x:c>
      <x:c r="AH321" s="35" t="n">
        <x:v>9</x:v>
      </x:c>
      <x:c r="AI321" s="37" t="n">
        <x:v>99.4</x:v>
      </x:c>
      <x:c r="AJ321" s="37" t="n">
        <x:v>95</x:v>
      </x:c>
      <x:c r="AK321" s="35" t="str">
        <x:v>No</x:v>
      </x:c>
      <x:c r="AL321" s="38" t="n">
        <x:f>IF(AA321=0,0,AB321/AA321)</x:f>
        <x:v>0.8333333333333334</x:v>
      </x:c>
      <x:c r="AM321" s="38" t="n">
        <x:f>IF(AB321=0,0,AC321/AB321)</x:f>
        <x:v>0.8</x:v>
      </x:c>
      <x:c r="AN321" s="37" t="n">
        <x:f>ROUND((AD321*0.20+AE321*0.20+AF321*0.25+AG321*0.15+MIN(100,AC321*12)*0.20),1)</x:f>
        <x:v>74.5</x:v>
      </x:c>
      <x:c r="AO321" s="37" t="n">
        <x:f>ROUND(MAX(0,MIN(100,(X321*0.35)+(W321/45*100*0.20)+((5-O321)/4*100*0.15)+((5-P321)/4*100*0.10)+((6-Y321)/5*100*0.10)+((100-Z321)*0.10))),1)</x:f>
        <x:v>57</x:v>
      </x:c>
      <x:c r="AP321" s="37" t="str">
        <x:f>IF(AO321&gt;=70,"High",IF(AO321&gt;=40,"Moderate","Low"))</x:f>
        <x:v>Moderate</x:v>
      </x:c>
      <x:c r="AQ321" s="37" t="n">
        <x:f>ROUND(MAX(0,MIN(100,(O321/4*100*0.25)+(P321/4*100*0.20)+(Q321/4*100*0.15)+(Y321/5*100*0.20)+(100-AO321)*0.20)),1)</x:f>
        <x:v>62.1</x:v>
      </x:c>
      <x:c r="AR321" s="37" t="n">
        <x:f>ROUND((AI321*0.20+AJ321*0.15+AN321*0.18+AG321*0.12+Z321*0.15+AQ321*0.20),1)</x:f>
        <x:v>82.5</x:v>
      </x:c>
      <x:c r="AS321" s="39" t="n">
        <x:f>ROUND((AC321*AF321*120)+(AH321*350)+(MAX(0,AI321-75)*220)+(MAX(0,AQ321-60)*100),0)</x:f>
        <x:v>49048</x:v>
      </x:c>
    </x:row>
    <x:row r="322">
      <x:c r="A322" s="35" t="n">
        <x:v>321</x:v>
      </x:c>
      <x:c r="B322" s="35" t="n">
        <x:v>31</x:v>
      </x:c>
      <x:c r="C322" s="35" t="str">
        <x:v>Female</x:v>
      </x:c>
      <x:c r="D322" s="35" t="str">
        <x:v>Sales</x:v>
      </x:c>
      <x:c r="E322" s="35" t="str">
        <x:v>Sales Representative</x:v>
      </x:c>
      <x:c r="F322" s="35" t="str">
        <x:v>Life Sciences</x:v>
      </x:c>
      <x:c r="G322" s="35" t="str">
        <x:v>Single</x:v>
      </x:c>
      <x:c r="H322" s="35" t="n">
        <x:v>2</x:v>
      </x:c>
      <x:c r="I322" s="36" t="n">
        <x:v>8070</x:v>
      </x:c>
      <x:c r="J322" s="35" t="n">
        <x:v>6</x:v>
      </x:c>
      <x:c r="K322" s="35" t="n">
        <x:v>4</x:v>
      </x:c>
      <x:c r="L322" s="35" t="n">
        <x:v>2</x:v>
      </x:c>
      <x:c r="M322" s="35" t="n">
        <x:v>12</x:v>
      </x:c>
      <x:c r="N322" s="35" t="str">
        <x:v>No</x:v>
      </x:c>
      <x:c r="O322" s="35" t="n">
        <x:v>3</x:v>
      </x:c>
      <x:c r="P322" s="35" t="n">
        <x:v>4</x:v>
      </x:c>
      <x:c r="Q322" s="35" t="n">
        <x:v>4</x:v>
      </x:c>
      <x:c r="R322" s="35" t="n">
        <x:v>3</x:v>
      </x:c>
      <x:c r="S322" s="35" t="n">
        <x:v>3</x:v>
      </x:c>
      <x:c r="T322" s="35" t="n">
        <x:v>4</x:v>
      </x:c>
      <x:c r="U322" s="35" t="n">
        <x:v>2</x:v>
      </x:c>
      <x:c r="V322" s="35" t="n">
        <x:v>0</x:v>
      </x:c>
      <x:c r="W322" s="35" t="n">
        <x:v>1</x:v>
      </x:c>
      <x:c r="X322" s="35" t="n">
        <x:v>55</x:v>
      </x:c>
      <x:c r="Y322" s="35" t="n">
        <x:v>5</x:v>
      </x:c>
      <x:c r="Z322" s="35" t="n">
        <x:v>100</x:v>
      </x:c>
      <x:c r="AA322" s="35" t="n">
        <x:v>7</x:v>
      </x:c>
      <x:c r="AB322" s="35" t="n">
        <x:v>5</x:v>
      </x:c>
      <x:c r="AC322" s="35" t="n">
        <x:v>4</x:v>
      </x:c>
      <x:c r="AD322" s="35" t="n">
        <x:v>76</x:v>
      </x:c>
      <x:c r="AE322" s="35" t="n">
        <x:v>85</x:v>
      </x:c>
      <x:c r="AF322" s="35" t="n">
        <x:v>88</x:v>
      </x:c>
      <x:c r="AG322" s="35" t="n">
        <x:v>74</x:v>
      </x:c>
      <x:c r="AH322" s="35" t="n">
        <x:v>6</x:v>
      </x:c>
      <x:c r="AI322" s="37" t="n">
        <x:v>93.9</x:v>
      </x:c>
      <x:c r="AJ322" s="37" t="n">
        <x:v>92.4</x:v>
      </x:c>
      <x:c r="AK322" s="35" t="str">
        <x:v>No</x:v>
      </x:c>
      <x:c r="AL322" s="38" t="n">
        <x:f>IF(AA322=0,0,AB322/AA322)</x:f>
        <x:v>0.7142857142857143</x:v>
      </x:c>
      <x:c r="AM322" s="38" t="n">
        <x:f>IF(AB322=0,0,AC322/AB322)</x:f>
        <x:v>0.8</x:v>
      </x:c>
      <x:c r="AN322" s="37" t="n">
        <x:f>ROUND((AD322*0.20+AE322*0.20+AF322*0.25+AG322*0.15+MIN(100,AC322*12)*0.20),1)</x:f>
        <x:v>74.9</x:v>
      </x:c>
      <x:c r="AO322" s="37" t="n">
        <x:f>ROUND(MAX(0,MIN(100,(X322*0.35)+(W322/45*100*0.20)+((5-O322)/4*100*0.15)+((5-P322)/4*100*0.10)+((6-Y322)/5*100*0.10)+((100-Z322)*0.10))),1)</x:f>
        <x:v>31.7</x:v>
      </x:c>
      <x:c r="AP322" s="37" t="str">
        <x:f>IF(AO322&gt;=70,"High",IF(AO322&gt;=40,"Moderate","Low"))</x:f>
        <x:v>Low</x:v>
      </x:c>
      <x:c r="AQ322" s="37" t="n">
        <x:f>ROUND(MAX(0,MIN(100,(O322/4*100*0.25)+(P322/4*100*0.20)+(Q322/4*100*0.15)+(Y322/5*100*0.20)+(100-AO322)*0.20)),1)</x:f>
        <x:v>87.4</x:v>
      </x:c>
      <x:c r="AR322" s="37" t="n">
        <x:f>ROUND((AI322*0.20+AJ322*0.15+AN322*0.18+AG322*0.12+Z322*0.15+AQ322*0.20),1)</x:f>
        <x:v>87.5</x:v>
      </x:c>
      <x:c r="AS322" s="39" t="n">
        <x:f>ROUND((AC322*AF322*120)+(AH322*350)+(MAX(0,AI322-75)*220)+(MAX(0,AQ322-60)*100),0)</x:f>
        <x:v>51238</x:v>
      </x:c>
    </x:row>
    <x:row r="323">
      <x:c r="A323" s="35" t="n">
        <x:v>322</x:v>
      </x:c>
      <x:c r="B323" s="35" t="n">
        <x:v>33</x:v>
      </x:c>
      <x:c r="C323" s="35" t="str">
        <x:v>Female</x:v>
      </x:c>
      <x:c r="D323" s="35" t="str">
        <x:v>Sales</x:v>
      </x:c>
      <x:c r="E323" s="35" t="str">
        <x:v>Sales Executive</x:v>
      </x:c>
      <x:c r="F323" s="35" t="str">
        <x:v>Computer Science</x:v>
      </x:c>
      <x:c r="G323" s="35" t="str">
        <x:v>Married</x:v>
      </x:c>
      <x:c r="H323" s="35" t="n">
        <x:v>2</x:v>
      </x:c>
      <x:c r="I323" s="36" t="n">
        <x:v>8290</x:v>
      </x:c>
      <x:c r="J323" s="35" t="n">
        <x:v>10</x:v>
      </x:c>
      <x:c r="K323" s="35" t="n">
        <x:v>6</x:v>
      </x:c>
      <x:c r="L323" s="35" t="n">
        <x:v>3</x:v>
      </x:c>
      <x:c r="M323" s="35" t="n">
        <x:v>9</x:v>
      </x:c>
      <x:c r="N323" s="35" t="str">
        <x:v>Yes</x:v>
      </x:c>
      <x:c r="O323" s="35" t="n">
        <x:v>2</x:v>
      </x:c>
      <x:c r="P323" s="35" t="n">
        <x:v>2</x:v>
      </x:c>
      <x:c r="Q323" s="35" t="n">
        <x:v>3</x:v>
      </x:c>
      <x:c r="R323" s="35" t="n">
        <x:v>2</x:v>
      </x:c>
      <x:c r="S323" s="35" t="n">
        <x:v>3</x:v>
      </x:c>
      <x:c r="T323" s="35" t="n">
        <x:v>0</x:v>
      </x:c>
      <x:c r="U323" s="35" t="n">
        <x:v>0</x:v>
      </x:c>
      <x:c r="V323" s="35" t="n">
        <x:v>5</x:v>
      </x:c>
      <x:c r="W323" s="35" t="n">
        <x:v>19</x:v>
      </x:c>
      <x:c r="X323" s="35" t="n">
        <x:v>67</x:v>
      </x:c>
      <x:c r="Y323" s="35" t="n">
        <x:v>3</x:v>
      </x:c>
      <x:c r="Z323" s="35" t="n">
        <x:v>75</x:v>
      </x:c>
      <x:c r="AA323" s="35" t="n">
        <x:v>3</x:v>
      </x:c>
      <x:c r="AB323" s="35" t="n">
        <x:v>2</x:v>
      </x:c>
      <x:c r="AC323" s="35" t="n">
        <x:v>1</x:v>
      </x:c>
      <x:c r="AD323" s="35" t="n">
        <x:v>53</x:v>
      </x:c>
      <x:c r="AE323" s="35" t="n">
        <x:v>80</x:v>
      </x:c>
      <x:c r="AF323" s="35" t="n">
        <x:v>48</x:v>
      </x:c>
      <x:c r="AG323" s="35" t="n">
        <x:v>81</x:v>
      </x:c>
      <x:c r="AH323" s="35" t="n">
        <x:v>4</x:v>
      </x:c>
      <x:c r="AI323" s="37" t="n">
        <x:v>98</x:v>
      </x:c>
      <x:c r="AJ323" s="37" t="n">
        <x:v>96.3</x:v>
      </x:c>
      <x:c r="AK323" s="35" t="str">
        <x:v>No</x:v>
      </x:c>
      <x:c r="AL323" s="38" t="n">
        <x:f>IF(AA323=0,0,AB323/AA323)</x:f>
        <x:v>0.6666666666666666</x:v>
      </x:c>
      <x:c r="AM323" s="38" t="n">
        <x:f>IF(AB323=0,0,AC323/AB323)</x:f>
        <x:v>0.5</x:v>
      </x:c>
      <x:c r="AN323" s="37" t="n">
        <x:f>ROUND((AD323*0.20+AE323*0.20+AF323*0.25+AG323*0.15+MIN(100,AC323*12)*0.20),1)</x:f>
        <x:v>53.2</x:v>
      </x:c>
      <x:c r="AO323" s="37" t="n">
        <x:f>ROUND(MAX(0,MIN(100,(X323*0.35)+(W323/45*100*0.20)+((5-O323)/4*100*0.15)+((5-P323)/4*100*0.10)+((6-Y323)/5*100*0.10)+((100-Z323)*0.10))),1)</x:f>
        <x:v>59.1</x:v>
      </x:c>
      <x:c r="AP323" s="37" t="str">
        <x:f>IF(AO323&gt;=70,"High",IF(AO323&gt;=40,"Moderate","Low"))</x:f>
        <x:v>Moderate</x:v>
      </x:c>
      <x:c r="AQ323" s="37" t="n">
        <x:f>ROUND(MAX(0,MIN(100,(O323/4*100*0.25)+(P323/4*100*0.20)+(Q323/4*100*0.15)+(Y323/5*100*0.20)+(100-AO323)*0.20)),1)</x:f>
        <x:v>53.9</x:v>
      </x:c>
      <x:c r="AR323" s="37" t="n">
        <x:f>ROUND((AI323*0.20+AJ323*0.15+AN323*0.18+AG323*0.12+Z323*0.15+AQ323*0.20),1)</x:f>
        <x:v>75.4</x:v>
      </x:c>
      <x:c r="AS323" s="39" t="n">
        <x:f>ROUND((AC323*AF323*120)+(AH323*350)+(MAX(0,AI323-75)*220)+(MAX(0,AQ323-60)*100),0)</x:f>
        <x:v>12220</x:v>
      </x:c>
    </x:row>
    <x:row r="324">
      <x:c r="A324" s="35" t="n">
        <x:v>323</x:v>
      </x:c>
      <x:c r="B324" s="35" t="n">
        <x:v>34</x:v>
      </x:c>
      <x:c r="C324" s="35" t="str">
        <x:v>Female</x:v>
      </x:c>
      <x:c r="D324" s="35" t="str">
        <x:v>Research &amp; Development</x:v>
      </x:c>
      <x:c r="E324" s="35" t="str">
        <x:v>Research Scientist</x:v>
      </x:c>
      <x:c r="F324" s="35" t="str">
        <x:v>Business</x:v>
      </x:c>
      <x:c r="G324" s="35" t="str">
        <x:v>Married</x:v>
      </x:c>
      <x:c r="H324" s="35" t="n">
        <x:v>3</x:v>
      </x:c>
      <x:c r="I324" s="36" t="n">
        <x:v>13570</x:v>
      </x:c>
      <x:c r="J324" s="35" t="n">
        <x:v>11</x:v>
      </x:c>
      <x:c r="K324" s="35" t="n">
        <x:v>7</x:v>
      </x:c>
      <x:c r="L324" s="35" t="n">
        <x:v>2</x:v>
      </x:c>
      <x:c r="M324" s="35" t="n">
        <x:v>7</x:v>
      </x:c>
      <x:c r="N324" s="35" t="str">
        <x:v>Yes</x:v>
      </x:c>
      <x:c r="O324" s="35" t="n">
        <x:v>3</x:v>
      </x:c>
      <x:c r="P324" s="35" t="n">
        <x:v>3</x:v>
      </x:c>
      <x:c r="Q324" s="35" t="n">
        <x:v>3</x:v>
      </x:c>
      <x:c r="R324" s="35" t="n">
        <x:v>3</x:v>
      </x:c>
      <x:c r="S324" s="35" t="n">
        <x:v>3</x:v>
      </x:c>
      <x:c r="T324" s="35" t="n">
        <x:v>4</x:v>
      </x:c>
      <x:c r="U324" s="35" t="n">
        <x:v>1</x:v>
      </x:c>
      <x:c r="V324" s="35" t="n">
        <x:v>8</x:v>
      </x:c>
      <x:c r="W324" s="35" t="n">
        <x:v>10</x:v>
      </x:c>
      <x:c r="X324" s="35" t="n">
        <x:v>69</x:v>
      </x:c>
      <x:c r="Y324" s="35" t="n">
        <x:v>4</x:v>
      </x:c>
      <x:c r="Z324" s="35" t="n">
        <x:v>95</x:v>
      </x:c>
      <x:c r="AA324" s="35" t="n">
        <x:v>6</x:v>
      </x:c>
      <x:c r="AB324" s="35" t="n">
        <x:v>6</x:v>
      </x:c>
      <x:c r="AC324" s="35" t="n">
        <x:v>6</x:v>
      </x:c>
      <x:c r="AD324" s="35" t="n">
        <x:v>82</x:v>
      </x:c>
      <x:c r="AE324" s="35" t="n">
        <x:v>97</x:v>
      </x:c>
      <x:c r="AF324" s="35" t="n">
        <x:v>92</x:v>
      </x:c>
      <x:c r="AG324" s="35" t="n">
        <x:v>100</x:v>
      </x:c>
      <x:c r="AH324" s="35" t="n">
        <x:v>10</x:v>
      </x:c>
      <x:c r="AI324" s="37" t="n">
        <x:v>91.8</x:v>
      </x:c>
      <x:c r="AJ324" s="37" t="n">
        <x:v>100</x:v>
      </x:c>
      <x:c r="AK324" s="35" t="str">
        <x:v>No</x:v>
      </x:c>
      <x:c r="AL324" s="38" t="n">
        <x:f>IF(AA324=0,0,AB324/AA324)</x:f>
        <x:v>1</x:v>
      </x:c>
      <x:c r="AM324" s="38" t="n">
        <x:f>IF(AB324=0,0,AC324/AB324)</x:f>
        <x:v>1</x:v>
      </x:c>
      <x:c r="AN324" s="37" t="n">
        <x:f>ROUND((AD324*0.20+AE324*0.20+AF324*0.25+AG324*0.15+MIN(100,AC324*12)*0.20),1)</x:f>
        <x:v>88.2</x:v>
      </x:c>
      <x:c r="AO324" s="37" t="n">
        <x:f>ROUND(MAX(0,MIN(100,(X324*0.35)+(W324/45*100*0.20)+((5-O324)/4*100*0.15)+((5-P324)/4*100*0.10)+((6-Y324)/5*100*0.10)+((100-Z324)*0.10))),1)</x:f>
        <x:v>45.6</x:v>
      </x:c>
      <x:c r="AP324" s="37" t="str">
        <x:f>IF(AO324&gt;=70,"High",IF(AO324&gt;=40,"Moderate","Low"))</x:f>
        <x:v>Moderate</x:v>
      </x:c>
      <x:c r="AQ324" s="37" t="n">
        <x:f>ROUND(MAX(0,MIN(100,(O324/4*100*0.25)+(P324/4*100*0.20)+(Q324/4*100*0.15)+(Y324/5*100*0.20)+(100-AO324)*0.20)),1)</x:f>
        <x:v>71.9</x:v>
      </x:c>
      <x:c r="AR324" s="37" t="n">
        <x:f>ROUND((AI324*0.20+AJ324*0.15+AN324*0.18+AG324*0.12+Z324*0.15+AQ324*0.20),1)</x:f>
        <x:v>89.9</x:v>
      </x:c>
      <x:c r="AS324" s="39" t="n">
        <x:f>ROUND((AC324*AF324*120)+(AH324*350)+(MAX(0,AI324-75)*220)+(MAX(0,AQ324-60)*100),0)</x:f>
        <x:v>74626</x:v>
      </x:c>
    </x:row>
    <x:row r="325">
      <x:c r="A325" s="35" t="n">
        <x:v>324</x:v>
      </x:c>
      <x:c r="B325" s="35" t="n">
        <x:v>44</x:v>
      </x:c>
      <x:c r="C325" s="35" t="str">
        <x:v>Female</x:v>
      </x:c>
      <x:c r="D325" s="35" t="str">
        <x:v>Operations</x:v>
      </x:c>
      <x:c r="E325" s="35" t="str">
        <x:v>Operations Specialist</x:v>
      </x:c>
      <x:c r="F325" s="35" t="str">
        <x:v>Business</x:v>
      </x:c>
      <x:c r="G325" s="35" t="str">
        <x:v>Married</x:v>
      </x:c>
      <x:c r="H325" s="35" t="n">
        <x:v>3</x:v>
      </x:c>
      <x:c r="I325" s="36" t="n">
        <x:v>13370</x:v>
      </x:c>
      <x:c r="J325" s="35" t="n">
        <x:v>12</x:v>
      </x:c>
      <x:c r="K325" s="35" t="n">
        <x:v>3</x:v>
      </x:c>
      <x:c r="L325" s="35" t="n">
        <x:v>1</x:v>
      </x:c>
      <x:c r="M325" s="35" t="n">
        <x:v>7</x:v>
      </x:c>
      <x:c r="N325" s="35" t="str">
        <x:v>No</x:v>
      </x:c>
      <x:c r="O325" s="35" t="n">
        <x:v>2</x:v>
      </x:c>
      <x:c r="P325" s="35" t="n">
        <x:v>3</x:v>
      </x:c>
      <x:c r="Q325" s="35" t="n">
        <x:v>2</x:v>
      </x:c>
      <x:c r="R325" s="35" t="n">
        <x:v>4</x:v>
      </x:c>
      <x:c r="S325" s="35" t="n">
        <x:v>4</x:v>
      </x:c>
      <x:c r="T325" s="35" t="n">
        <x:v>2</x:v>
      </x:c>
      <x:c r="U325" s="35" t="n">
        <x:v>0</x:v>
      </x:c>
      <x:c r="V325" s="35" t="n">
        <x:v>8</x:v>
      </x:c>
      <x:c r="W325" s="35" t="n">
        <x:v>22</x:v>
      </x:c>
      <x:c r="X325" s="35" t="n">
        <x:v>75</x:v>
      </x:c>
      <x:c r="Y325" s="35" t="n">
        <x:v>5</x:v>
      </x:c>
      <x:c r="Z325" s="35" t="n">
        <x:v>100</x:v>
      </x:c>
      <x:c r="AA325" s="35" t="n">
        <x:v>4</x:v>
      </x:c>
      <x:c r="AB325" s="35" t="n">
        <x:v>4</x:v>
      </x:c>
      <x:c r="AC325" s="35" t="n">
        <x:v>4</x:v>
      </x:c>
      <x:c r="AD325" s="35" t="n">
        <x:v>88</x:v>
      </x:c>
      <x:c r="AE325" s="35" t="n">
        <x:v>81</x:v>
      </x:c>
      <x:c r="AF325" s="35" t="n">
        <x:v>79</x:v>
      </x:c>
      <x:c r="AG325" s="35" t="n">
        <x:v>97</x:v>
      </x:c>
      <x:c r="AH325" s="35" t="n">
        <x:v>11</x:v>
      </x:c>
      <x:c r="AI325" s="37" t="n">
        <x:v>95.2</x:v>
      </x:c>
      <x:c r="AJ325" s="37" t="n">
        <x:v>100</x:v>
      </x:c>
      <x:c r="AK325" s="35" t="str">
        <x:v>Yes</x:v>
      </x:c>
      <x:c r="AL325" s="38" t="n">
        <x:f>IF(AA325=0,0,AB325/AA325)</x:f>
        <x:v>1</x:v>
      </x:c>
      <x:c r="AM325" s="38" t="n">
        <x:f>IF(AB325=0,0,AC325/AB325)</x:f>
        <x:v>1</x:v>
      </x:c>
      <x:c r="AN325" s="37" t="n">
        <x:f>ROUND((AD325*0.20+AE325*0.20+AF325*0.25+AG325*0.15+MIN(100,AC325*12)*0.20),1)</x:f>
        <x:v>77.7</x:v>
      </x:c>
      <x:c r="AO325" s="37" t="n">
        <x:f>ROUND(MAX(0,MIN(100,(X325*0.35)+(W325/45*100*0.20)+((5-O325)/4*100*0.15)+((5-P325)/4*100*0.10)+((6-Y325)/5*100*0.10)+((100-Z325)*0.10))),1)</x:f>
        <x:v>54.3</x:v>
      </x:c>
      <x:c r="AP325" s="37" t="str">
        <x:f>IF(AO325&gt;=70,"High",IF(AO325&gt;=40,"Moderate","Low"))</x:f>
        <x:v>Moderate</x:v>
      </x:c>
      <x:c r="AQ325" s="37" t="n">
        <x:f>ROUND(MAX(0,MIN(100,(O325/4*100*0.25)+(P325/4*100*0.20)+(Q325/4*100*0.15)+(Y325/5*100*0.20)+(100-AO325)*0.20)),1)</x:f>
        <x:v>64.1</x:v>
      </x:c>
      <x:c r="AR325" s="37" t="n">
        <x:f>ROUND((AI325*0.20+AJ325*0.15+AN325*0.18+AG325*0.12+Z325*0.15+AQ325*0.20),1)</x:f>
        <x:v>87.5</x:v>
      </x:c>
      <x:c r="AS325" s="39" t="n">
        <x:f>ROUND((AC325*AF325*120)+(AH325*350)+(MAX(0,AI325-75)*220)+(MAX(0,AQ325-60)*100),0)</x:f>
        <x:v>46624</x:v>
      </x:c>
    </x:row>
    <x:row r="326">
      <x:c r="A326" s="35" t="n">
        <x:v>325</x:v>
      </x:c>
      <x:c r="B326" s="35" t="n">
        <x:v>39</x:v>
      </x:c>
      <x:c r="C326" s="35" t="str">
        <x:v>Male</x:v>
      </x:c>
      <x:c r="D326" s="35" t="str">
        <x:v>Research &amp; Development</x:v>
      </x:c>
      <x:c r="E326" s="35" t="str">
        <x:v>R&amp;D Manager</x:v>
      </x:c>
      <x:c r="F326" s="35" t="str">
        <x:v>Medical</x:v>
      </x:c>
      <x:c r="G326" s="35" t="str">
        <x:v>Divorced</x:v>
      </x:c>
      <x:c r="H326" s="35" t="n">
        <x:v>3</x:v>
      </x:c>
      <x:c r="I326" s="36" t="n">
        <x:v>12590</x:v>
      </x:c>
      <x:c r="J326" s="35" t="n">
        <x:v>9</x:v>
      </x:c>
      <x:c r="K326" s="35" t="n">
        <x:v>7</x:v>
      </x:c>
      <x:c r="L326" s="35" t="n">
        <x:v>3</x:v>
      </x:c>
      <x:c r="M326" s="35" t="n">
        <x:v>1</x:v>
      </x:c>
      <x:c r="N326" s="35" t="str">
        <x:v>No</x:v>
      </x:c>
      <x:c r="O326" s="35" t="n">
        <x:v>4</x:v>
      </x:c>
      <x:c r="P326" s="35" t="n">
        <x:v>3</x:v>
      </x:c>
      <x:c r="Q326" s="35" t="n">
        <x:v>2</x:v>
      </x:c>
      <x:c r="R326" s="35" t="n">
        <x:v>2</x:v>
      </x:c>
      <x:c r="S326" s="35" t="n">
        <x:v>3</x:v>
      </x:c>
      <x:c r="T326" s="35" t="n">
        <x:v>3</x:v>
      </x:c>
      <x:c r="U326" s="35" t="n">
        <x:v>0</x:v>
      </x:c>
      <x:c r="V326" s="35" t="n">
        <x:v>3</x:v>
      </x:c>
      <x:c r="W326" s="35" t="n">
        <x:v>6</x:v>
      </x:c>
      <x:c r="X326" s="35" t="n">
        <x:v>53</x:v>
      </x:c>
      <x:c r="Y326" s="35" t="n">
        <x:v>4</x:v>
      </x:c>
      <x:c r="Z326" s="35" t="n">
        <x:v>91</x:v>
      </x:c>
      <x:c r="AA326" s="35" t="n">
        <x:v>10</x:v>
      </x:c>
      <x:c r="AB326" s="35" t="n">
        <x:v>9</x:v>
      </x:c>
      <x:c r="AC326" s="35" t="n">
        <x:v>9</x:v>
      </x:c>
      <x:c r="AD326" s="35" t="n">
        <x:v>64</x:v>
      </x:c>
      <x:c r="AE326" s="35" t="n">
        <x:v>73</x:v>
      </x:c>
      <x:c r="AF326" s="35" t="n">
        <x:v>100</x:v>
      </x:c>
      <x:c r="AG326" s="35" t="n">
        <x:v>92</x:v>
      </x:c>
      <x:c r="AH326" s="35" t="n">
        <x:v>10</x:v>
      </x:c>
      <x:c r="AI326" s="37" t="n">
        <x:v>95.3</x:v>
      </x:c>
      <x:c r="AJ326" s="37" t="n">
        <x:v>93.2</x:v>
      </x:c>
      <x:c r="AK326" s="35" t="str">
        <x:v>No</x:v>
      </x:c>
      <x:c r="AL326" s="38" t="n">
        <x:f>IF(AA326=0,0,AB326/AA326)</x:f>
        <x:v>0.9</x:v>
      </x:c>
      <x:c r="AM326" s="38" t="n">
        <x:f>IF(AB326=0,0,AC326/AB326)</x:f>
        <x:v>1</x:v>
      </x:c>
      <x:c r="AN326" s="37" t="n">
        <x:f>ROUND((AD326*0.20+AE326*0.20+AF326*0.25+AG326*0.15+MIN(100,AC326*12)*0.20),1)</x:f>
        <x:v>86.2</x:v>
      </x:c>
      <x:c r="AO326" s="37" t="n">
        <x:f>ROUND(MAX(0,MIN(100,(X326*0.35)+(W326/45*100*0.20)+((5-O326)/4*100*0.15)+((5-P326)/4*100*0.10)+((6-Y326)/5*100*0.10)+((100-Z326)*0.10))),1)</x:f>
        <x:v>34.9</x:v>
      </x:c>
      <x:c r="AP326" s="37" t="str">
        <x:f>IF(AO326&gt;=70,"High",IF(AO326&gt;=40,"Moderate","Low"))</x:f>
        <x:v>Low</x:v>
      </x:c>
      <x:c r="AQ326" s="37" t="n">
        <x:f>ROUND(MAX(0,MIN(100,(O326/4*100*0.25)+(P326/4*100*0.20)+(Q326/4*100*0.15)+(Y326/5*100*0.20)+(100-AO326)*0.20)),1)</x:f>
        <x:v>76.5</x:v>
      </x:c>
      <x:c r="AR326" s="37" t="n">
        <x:f>ROUND((AI326*0.20+AJ326*0.15+AN326*0.18+AG326*0.12+Z326*0.15+AQ326*0.20),1)</x:f>
        <x:v>88.5</x:v>
      </x:c>
      <x:c r="AS326" s="39" t="n">
        <x:f>ROUND((AC326*AF326*120)+(AH326*350)+(MAX(0,AI326-75)*220)+(MAX(0,AQ326-60)*100),0)</x:f>
        <x:v>117616</x:v>
      </x:c>
    </x:row>
    <x:row r="327">
      <x:c r="A327" s="35" t="n">
        <x:v>326</x:v>
      </x:c>
      <x:c r="B327" s="35" t="n">
        <x:v>31</x:v>
      </x:c>
      <x:c r="C327" s="35" t="str">
        <x:v>Female</x:v>
      </x:c>
      <x:c r="D327" s="35" t="str">
        <x:v>Sales</x:v>
      </x:c>
      <x:c r="E327" s="35" t="str">
        <x:v>Sales Representative</x:v>
      </x:c>
      <x:c r="F327" s="35" t="str">
        <x:v>Technical Degree</x:v>
      </x:c>
      <x:c r="G327" s="35" t="str">
        <x:v>Married</x:v>
      </x:c>
      <x:c r="H327" s="35" t="n">
        <x:v>2</x:v>
      </x:c>
      <x:c r="I327" s="36" t="n">
        <x:v>10080</x:v>
      </x:c>
      <x:c r="J327" s="35" t="n">
        <x:v>8</x:v>
      </x:c>
      <x:c r="K327" s="35" t="n">
        <x:v>2</x:v>
      </x:c>
      <x:c r="L327" s="35" t="n">
        <x:v>1</x:v>
      </x:c>
      <x:c r="M327" s="35" t="n">
        <x:v>8</x:v>
      </x:c>
      <x:c r="N327" s="35" t="str">
        <x:v>No</x:v>
      </x:c>
      <x:c r="O327" s="35" t="n">
        <x:v>3</x:v>
      </x:c>
      <x:c r="P327" s="35" t="n">
        <x:v>3</x:v>
      </x:c>
      <x:c r="Q327" s="35" t="n">
        <x:v>2</x:v>
      </x:c>
      <x:c r="R327" s="35" t="n">
        <x:v>3</x:v>
      </x:c>
      <x:c r="S327" s="35" t="n">
        <x:v>4</x:v>
      </x:c>
      <x:c r="T327" s="35" t="n">
        <x:v>0</x:v>
      </x:c>
      <x:c r="U327" s="35" t="n">
        <x:v>3</x:v>
      </x:c>
      <x:c r="V327" s="35" t="n">
        <x:v>6</x:v>
      </x:c>
      <x:c r="W327" s="35" t="n">
        <x:v>7</x:v>
      </x:c>
      <x:c r="X327" s="35" t="n">
        <x:v>53</x:v>
      </x:c>
      <x:c r="Y327" s="35" t="n">
        <x:v>4</x:v>
      </x:c>
      <x:c r="Z327" s="35" t="n">
        <x:v>100</x:v>
      </x:c>
      <x:c r="AA327" s="35" t="n">
        <x:v>7</x:v>
      </x:c>
      <x:c r="AB327" s="35" t="n">
        <x:v>3</x:v>
      </x:c>
      <x:c r="AC327" s="35" t="n">
        <x:v>1</x:v>
      </x:c>
      <x:c r="AD327" s="35" t="n">
        <x:v>82</x:v>
      </x:c>
      <x:c r="AE327" s="35" t="n">
        <x:v>70</x:v>
      </x:c>
      <x:c r="AF327" s="35" t="n">
        <x:v>89</x:v>
      </x:c>
      <x:c r="AG327" s="35" t="n">
        <x:v>94</x:v>
      </x:c>
      <x:c r="AH327" s="35" t="n">
        <x:v>6</x:v>
      </x:c>
      <x:c r="AI327" s="37" t="n">
        <x:v>100</x:v>
      </x:c>
      <x:c r="AJ327" s="37" t="n">
        <x:v>99.2</x:v>
      </x:c>
      <x:c r="AK327" s="35" t="str">
        <x:v>No</x:v>
      </x:c>
      <x:c r="AL327" s="38" t="n">
        <x:f>IF(AA327=0,0,AB327/AA327)</x:f>
        <x:v>0.42857142857142855</x:v>
      </x:c>
      <x:c r="AM327" s="38" t="n">
        <x:f>IF(AB327=0,0,AC327/AB327)</x:f>
        <x:v>0.3333333333333333</x:v>
      </x:c>
      <x:c r="AN327" s="37" t="n">
        <x:f>ROUND((AD327*0.20+AE327*0.20+AF327*0.25+AG327*0.15+MIN(100,AC327*12)*0.20),1)</x:f>
        <x:v>69.2</x:v>
      </x:c>
      <x:c r="AO327" s="37" t="n">
        <x:f>ROUND(MAX(0,MIN(100,(X327*0.35)+(W327/45*100*0.20)+((5-O327)/4*100*0.15)+((5-P327)/4*100*0.10)+((6-Y327)/5*100*0.10)+((100-Z327)*0.10))),1)</x:f>
        <x:v>38.2</x:v>
      </x:c>
      <x:c r="AP327" s="37" t="str">
        <x:f>IF(AO327&gt;=70,"High",IF(AO327&gt;=40,"Moderate","Low"))</x:f>
        <x:v>Low</x:v>
      </x:c>
      <x:c r="AQ327" s="37" t="n">
        <x:f>ROUND(MAX(0,MIN(100,(O327/4*100*0.25)+(P327/4*100*0.20)+(Q327/4*100*0.15)+(Y327/5*100*0.20)+(100-AO327)*0.20)),1)</x:f>
        <x:v>69.6</x:v>
      </x:c>
      <x:c r="AR327" s="37" t="n">
        <x:f>ROUND((AI327*0.20+AJ327*0.15+AN327*0.18+AG327*0.12+Z327*0.15+AQ327*0.20),1)</x:f>
        <x:v>87.5</x:v>
      </x:c>
      <x:c r="AS327" s="39" t="n">
        <x:f>ROUND((AC327*AF327*120)+(AH327*350)+(MAX(0,AI327-75)*220)+(MAX(0,AQ327-60)*100),0)</x:f>
        <x:v>19240</x:v>
      </x:c>
    </x:row>
    <x:row r="328">
      <x:c r="A328" s="35" t="n">
        <x:v>327</x:v>
      </x:c>
      <x:c r="B328" s="35" t="n">
        <x:v>37</x:v>
      </x:c>
      <x:c r="C328" s="35" t="str">
        <x:v>Male</x:v>
      </x:c>
      <x:c r="D328" s="35" t="str">
        <x:v>Human Resources</x:v>
      </x:c>
      <x:c r="E328" s="35" t="str">
        <x:v>Talent Development Specialist</x:v>
      </x:c>
      <x:c r="F328" s="35" t="str">
        <x:v>Human Resources</x:v>
      </x:c>
      <x:c r="G328" s="35" t="str">
        <x:v>Married</x:v>
      </x:c>
      <x:c r="H328" s="35" t="n">
        <x:v>2</x:v>
      </x:c>
      <x:c r="I328" s="36" t="n">
        <x:v>6400</x:v>
      </x:c>
      <x:c r="J328" s="35" t="n">
        <x:v>13</x:v>
      </x:c>
      <x:c r="K328" s="35" t="n">
        <x:v>9</x:v>
      </x:c>
      <x:c r="L328" s="35" t="n">
        <x:v>4</x:v>
      </x:c>
      <x:c r="M328" s="35" t="n">
        <x:v>12</x:v>
      </x:c>
      <x:c r="N328" s="35" t="str">
        <x:v>No</x:v>
      </x:c>
      <x:c r="O328" s="35" t="n">
        <x:v>3</x:v>
      </x:c>
      <x:c r="P328" s="35" t="n">
        <x:v>3</x:v>
      </x:c>
      <x:c r="Q328" s="35" t="n">
        <x:v>3</x:v>
      </x:c>
      <x:c r="R328" s="35" t="n">
        <x:v>3</x:v>
      </x:c>
      <x:c r="S328" s="35" t="n">
        <x:v>3</x:v>
      </x:c>
      <x:c r="T328" s="35" t="n">
        <x:v>1</x:v>
      </x:c>
      <x:c r="U328" s="35" t="n">
        <x:v>3</x:v>
      </x:c>
      <x:c r="V328" s="35" t="n">
        <x:v>6</x:v>
      </x:c>
      <x:c r="W328" s="35" t="n">
        <x:v>23</x:v>
      </x:c>
      <x:c r="X328" s="35" t="n">
        <x:v>62</x:v>
      </x:c>
      <x:c r="Y328" s="35" t="n">
        <x:v>5</x:v>
      </x:c>
      <x:c r="Z328" s="35" t="n">
        <x:v>100</x:v>
      </x:c>
      <x:c r="AA328" s="35" t="n">
        <x:v>6</x:v>
      </x:c>
      <x:c r="AB328" s="35" t="n">
        <x:v>5</x:v>
      </x:c>
      <x:c r="AC328" s="35" t="n">
        <x:v>4</x:v>
      </x:c>
      <x:c r="AD328" s="35" t="n">
        <x:v>69</x:v>
      </x:c>
      <x:c r="AE328" s="35" t="n">
        <x:v>73</x:v>
      </x:c>
      <x:c r="AF328" s="35" t="n">
        <x:v>77</x:v>
      </x:c>
      <x:c r="AG328" s="35" t="n">
        <x:v>87</x:v>
      </x:c>
      <x:c r="AH328" s="35" t="n">
        <x:v>7</x:v>
      </x:c>
      <x:c r="AI328" s="37" t="n">
        <x:v>100</x:v>
      </x:c>
      <x:c r="AJ328" s="37" t="n">
        <x:v>84.2</x:v>
      </x:c>
      <x:c r="AK328" s="35" t="str">
        <x:v>No</x:v>
      </x:c>
      <x:c r="AL328" s="38" t="n">
        <x:f>IF(AA328=0,0,AB328/AA328)</x:f>
        <x:v>0.8333333333333334</x:v>
      </x:c>
      <x:c r="AM328" s="38" t="n">
        <x:f>IF(AB328=0,0,AC328/AB328)</x:f>
        <x:v>0.8</x:v>
      </x:c>
      <x:c r="AN328" s="37" t="n">
        <x:f>ROUND((AD328*0.20+AE328*0.20+AF328*0.25+AG328*0.15+MIN(100,AC328*12)*0.20),1)</x:f>
        <x:v>70.3</x:v>
      </x:c>
      <x:c r="AO328" s="37" t="n">
        <x:f>ROUND(MAX(0,MIN(100,(X328*0.35)+(W328/45*100*0.20)+((5-O328)/4*100*0.15)+((5-P328)/4*100*0.10)+((6-Y328)/5*100*0.10)+((100-Z328)*0.10))),1)</x:f>
        <x:v>46.4</x:v>
      </x:c>
      <x:c r="AP328" s="37" t="str">
        <x:f>IF(AO328&gt;=70,"High",IF(AO328&gt;=40,"Moderate","Low"))</x:f>
        <x:v>Moderate</x:v>
      </x:c>
      <x:c r="AQ328" s="37" t="n">
        <x:f>ROUND(MAX(0,MIN(100,(O328/4*100*0.25)+(P328/4*100*0.20)+(Q328/4*100*0.15)+(Y328/5*100*0.20)+(100-AO328)*0.20)),1)</x:f>
        <x:v>75.7</x:v>
      </x:c>
      <x:c r="AR328" s="37" t="n">
        <x:f>ROUND((AI328*0.20+AJ328*0.15+AN328*0.18+AG328*0.12+Z328*0.15+AQ328*0.20),1)</x:f>
        <x:v>85.9</x:v>
      </x:c>
      <x:c r="AS328" s="39" t="n">
        <x:f>ROUND((AC328*AF328*120)+(AH328*350)+(MAX(0,AI328-75)*220)+(MAX(0,AQ328-60)*100),0)</x:f>
        <x:v>46480</x:v>
      </x:c>
    </x:row>
    <x:row r="329">
      <x:c r="A329" s="35" t="n">
        <x:v>328</x:v>
      </x:c>
      <x:c r="B329" s="35" t="n">
        <x:v>36</x:v>
      </x:c>
      <x:c r="C329" s="35" t="str">
        <x:v>Male</x:v>
      </x:c>
      <x:c r="D329" s="35" t="str">
        <x:v>Information Technology</x:v>
      </x:c>
      <x:c r="E329" s="35" t="str">
        <x:v>Software Engineer</x:v>
      </x:c>
      <x:c r="F329" s="35" t="str">
        <x:v>Human Resources</x:v>
      </x:c>
      <x:c r="G329" s="35" t="str">
        <x:v>Married</x:v>
      </x:c>
      <x:c r="H329" s="35" t="n">
        <x:v>2</x:v>
      </x:c>
      <x:c r="I329" s="36" t="n">
        <x:v>7700</x:v>
      </x:c>
      <x:c r="J329" s="35" t="n">
        <x:v>7</x:v>
      </x:c>
      <x:c r="K329" s="35" t="n">
        <x:v>4</x:v>
      </x:c>
      <x:c r="L329" s="35" t="n">
        <x:v>2</x:v>
      </x:c>
      <x:c r="M329" s="35" t="n">
        <x:v>10</x:v>
      </x:c>
      <x:c r="N329" s="35" t="str">
        <x:v>No</x:v>
      </x:c>
      <x:c r="O329" s="35" t="n">
        <x:v>2</x:v>
      </x:c>
      <x:c r="P329" s="35" t="n">
        <x:v>3</x:v>
      </x:c>
      <x:c r="Q329" s="35" t="n">
        <x:v>3</x:v>
      </x:c>
      <x:c r="R329" s="35" t="n">
        <x:v>4</x:v>
      </x:c>
      <x:c r="S329" s="35" t="n">
        <x:v>3</x:v>
      </x:c>
      <x:c r="T329" s="35" t="n">
        <x:v>5</x:v>
      </x:c>
      <x:c r="U329" s="35" t="n">
        <x:v>1</x:v>
      </x:c>
      <x:c r="V329" s="35" t="n">
        <x:v>5</x:v>
      </x:c>
      <x:c r="W329" s="35" t="n">
        <x:v>6</x:v>
      </x:c>
      <x:c r="X329" s="35" t="n">
        <x:v>67</x:v>
      </x:c>
      <x:c r="Y329" s="35" t="n">
        <x:v>5</x:v>
      </x:c>
      <x:c r="Z329" s="35" t="n">
        <x:v>100</x:v>
      </x:c>
      <x:c r="AA329" s="35" t="n">
        <x:v>4</x:v>
      </x:c>
      <x:c r="AB329" s="35" t="n">
        <x:v>4</x:v>
      </x:c>
      <x:c r="AC329" s="35" t="n">
        <x:v>4</x:v>
      </x:c>
      <x:c r="AD329" s="35" t="n">
        <x:v>83</x:v>
      </x:c>
      <x:c r="AE329" s="35" t="n">
        <x:v>70</x:v>
      </x:c>
      <x:c r="AF329" s="35" t="n">
        <x:v>84</x:v>
      </x:c>
      <x:c r="AG329" s="35" t="n">
        <x:v>98</x:v>
      </x:c>
      <x:c r="AH329" s="35" t="n">
        <x:v>7</x:v>
      </x:c>
      <x:c r="AI329" s="37" t="n">
        <x:v>100</x:v>
      </x:c>
      <x:c r="AJ329" s="37" t="n">
        <x:v>100</x:v>
      </x:c>
      <x:c r="AK329" s="35" t="str">
        <x:v>No</x:v>
      </x:c>
      <x:c r="AL329" s="38" t="n">
        <x:f>IF(AA329=0,0,AB329/AA329)</x:f>
        <x:v>1</x:v>
      </x:c>
      <x:c r="AM329" s="38" t="n">
        <x:f>IF(AB329=0,0,AC329/AB329)</x:f>
        <x:v>1</x:v>
      </x:c>
      <x:c r="AN329" s="37" t="n">
        <x:f>ROUND((AD329*0.20+AE329*0.20+AF329*0.25+AG329*0.15+MIN(100,AC329*12)*0.20),1)</x:f>
        <x:v>75.9</x:v>
      </x:c>
      <x:c r="AO329" s="37" t="n">
        <x:f>ROUND(MAX(0,MIN(100,(X329*0.35)+(W329/45*100*0.20)+((5-O329)/4*100*0.15)+((5-P329)/4*100*0.10)+((6-Y329)/5*100*0.10)+((100-Z329)*0.10))),1)</x:f>
        <x:v>44.4</x:v>
      </x:c>
      <x:c r="AP329" s="37" t="str">
        <x:f>IF(AO329&gt;=70,"High",IF(AO329&gt;=40,"Moderate","Low"))</x:f>
        <x:v>Moderate</x:v>
      </x:c>
      <x:c r="AQ329" s="37" t="n">
        <x:f>ROUND(MAX(0,MIN(100,(O329/4*100*0.25)+(P329/4*100*0.20)+(Q329/4*100*0.15)+(Y329/5*100*0.20)+(100-AO329)*0.20)),1)</x:f>
        <x:v>69.9</x:v>
      </x:c>
      <x:c r="AR329" s="37" t="n">
        <x:f>ROUND((AI329*0.20+AJ329*0.15+AN329*0.18+AG329*0.12+Z329*0.15+AQ329*0.20),1)</x:f>
        <x:v>89.4</x:v>
      </x:c>
      <x:c r="AS329" s="39" t="n">
        <x:f>ROUND((AC329*AF329*120)+(AH329*350)+(MAX(0,AI329-75)*220)+(MAX(0,AQ329-60)*100),0)</x:f>
        <x:v>49260</x:v>
      </x:c>
    </x:row>
    <x:row r="330">
      <x:c r="A330" s="35" t="n">
        <x:v>329</x:v>
      </x:c>
      <x:c r="B330" s="35" t="n">
        <x:v>35</x:v>
      </x:c>
      <x:c r="C330" s="35" t="str">
        <x:v>Female</x:v>
      </x:c>
      <x:c r="D330" s="35" t="str">
        <x:v>Operations</x:v>
      </x:c>
      <x:c r="E330" s="35" t="str">
        <x:v>Quality Specialist</x:v>
      </x:c>
      <x:c r="F330" s="35" t="str">
        <x:v>Technical Degree</x:v>
      </x:c>
      <x:c r="G330" s="35" t="str">
        <x:v>Divorced</x:v>
      </x:c>
      <x:c r="H330" s="35" t="n">
        <x:v>2</x:v>
      </x:c>
      <x:c r="I330" s="36" t="n">
        <x:v>10350</x:v>
      </x:c>
      <x:c r="J330" s="35" t="n">
        <x:v>13</x:v>
      </x:c>
      <x:c r="K330" s="35" t="n">
        <x:v>7</x:v>
      </x:c>
      <x:c r="L330" s="35" t="n">
        <x:v>2</x:v>
      </x:c>
      <x:c r="M330" s="35" t="n">
        <x:v>3</x:v>
      </x:c>
      <x:c r="N330" s="35" t="str">
        <x:v>Yes</x:v>
      </x:c>
      <x:c r="O330" s="35" t="n">
        <x:v>3</x:v>
      </x:c>
      <x:c r="P330" s="35" t="n">
        <x:v>2</x:v>
      </x:c>
      <x:c r="Q330" s="35" t="n">
        <x:v>2</x:v>
      </x:c>
      <x:c r="R330" s="35" t="n">
        <x:v>4</x:v>
      </x:c>
      <x:c r="S330" s="35" t="n">
        <x:v>4</x:v>
      </x:c>
      <x:c r="T330" s="35" t="n">
        <x:v>6</x:v>
      </x:c>
      <x:c r="U330" s="35" t="n">
        <x:v>2</x:v>
      </x:c>
      <x:c r="V330" s="35" t="n">
        <x:v>1</x:v>
      </x:c>
      <x:c r="W330" s="35" t="n">
        <x:v>26</x:v>
      </x:c>
      <x:c r="X330" s="35" t="n">
        <x:v>100</x:v>
      </x:c>
      <x:c r="Y330" s="35" t="n">
        <x:v>3</x:v>
      </x:c>
      <x:c r="Z330" s="35" t="n">
        <x:v>100</x:v>
      </x:c>
      <x:c r="AA330" s="35" t="n">
        <x:v>7</x:v>
      </x:c>
      <x:c r="AB330" s="35" t="n">
        <x:v>3</x:v>
      </x:c>
      <x:c r="AC330" s="35" t="n">
        <x:v>2</x:v>
      </x:c>
      <x:c r="AD330" s="35" t="n">
        <x:v>88</x:v>
      </x:c>
      <x:c r="AE330" s="35" t="n">
        <x:v>88</x:v>
      </x:c>
      <x:c r="AF330" s="35" t="n">
        <x:v>44</x:v>
      </x:c>
      <x:c r="AG330" s="35" t="n">
        <x:v>86</x:v>
      </x:c>
      <x:c r="AH330" s="35" t="n">
        <x:v>6</x:v>
      </x:c>
      <x:c r="AI330" s="37" t="n">
        <x:v>100</x:v>
      </x:c>
      <x:c r="AJ330" s="37" t="n">
        <x:v>100</x:v>
      </x:c>
      <x:c r="AK330" s="35" t="str">
        <x:v>Yes</x:v>
      </x:c>
      <x:c r="AL330" s="38" t="n">
        <x:f>IF(AA330=0,0,AB330/AA330)</x:f>
        <x:v>0.42857142857142855</x:v>
      </x:c>
      <x:c r="AM330" s="38" t="n">
        <x:f>IF(AB330=0,0,AC330/AB330)</x:f>
        <x:v>0.6666666666666666</x:v>
      </x:c>
      <x:c r="AN330" s="37" t="n">
        <x:f>ROUND((AD330*0.20+AE330*0.20+AF330*0.25+AG330*0.15+MIN(100,AC330*12)*0.20),1)</x:f>
        <x:v>63.9</x:v>
      </x:c>
      <x:c r="AO330" s="37" t="n">
        <x:f>ROUND(MAX(0,MIN(100,(X330*0.35)+(W330/45*100*0.20)+((5-O330)/4*100*0.15)+((5-P330)/4*100*0.10)+((6-Y330)/5*100*0.10)+((100-Z330)*0.10))),1)</x:f>
        <x:v>67.6</x:v>
      </x:c>
      <x:c r="AP330" s="37" t="str">
        <x:f>IF(AO330&gt;=70,"High",IF(AO330&gt;=40,"Moderate","Low"))</x:f>
        <x:v>Moderate</x:v>
      </x:c>
      <x:c r="AQ330" s="37" t="n">
        <x:f>ROUND(MAX(0,MIN(100,(O330/4*100*0.25)+(P330/4*100*0.20)+(Q330/4*100*0.15)+(Y330/5*100*0.20)+(100-AO330)*0.20)),1)</x:f>
        <x:v>54.7</x:v>
      </x:c>
      <x:c r="AR330" s="37" t="n">
        <x:f>ROUND((AI330*0.20+AJ330*0.15+AN330*0.18+AG330*0.12+Z330*0.15+AQ330*0.20),1)</x:f>
        <x:v>82.8</x:v>
      </x:c>
      <x:c r="AS330" s="39" t="n">
        <x:f>ROUND((AC330*AF330*120)+(AH330*350)+(MAX(0,AI330-75)*220)+(MAX(0,AQ330-60)*100),0)</x:f>
        <x:v>18160</x:v>
      </x:c>
    </x:row>
    <x:row r="331">
      <x:c r="A331" s="35" t="n">
        <x:v>330</x:v>
      </x:c>
      <x:c r="B331" s="35" t="n">
        <x:v>34</x:v>
      </x:c>
      <x:c r="C331" s="35" t="str">
        <x:v>Male</x:v>
      </x:c>
      <x:c r="D331" s="35" t="str">
        <x:v>Finance</x:v>
      </x:c>
      <x:c r="E331" s="35" t="str">
        <x:v>Finance Manager</x:v>
      </x:c>
      <x:c r="F331" s="35" t="str">
        <x:v>Medical</x:v>
      </x:c>
      <x:c r="G331" s="35" t="str">
        <x:v>Single</x:v>
      </x:c>
      <x:c r="H331" s="35" t="n">
        <x:v>3</x:v>
      </x:c>
      <x:c r="I331" s="36" t="n">
        <x:v>11870</x:v>
      </x:c>
      <x:c r="J331" s="35" t="n">
        <x:v>9</x:v>
      </x:c>
      <x:c r="K331" s="35" t="n">
        <x:v>6</x:v>
      </x:c>
      <x:c r="L331" s="35" t="n">
        <x:v>5</x:v>
      </x:c>
      <x:c r="M331" s="35" t="n">
        <x:v>3</x:v>
      </x:c>
      <x:c r="N331" s="35" t="str">
        <x:v>No</x:v>
      </x:c>
      <x:c r="O331" s="35" t="n">
        <x:v>3</x:v>
      </x:c>
      <x:c r="P331" s="35" t="n">
        <x:v>3</x:v>
      </x:c>
      <x:c r="Q331" s="35" t="n">
        <x:v>3</x:v>
      </x:c>
      <x:c r="R331" s="35" t="n">
        <x:v>3</x:v>
      </x:c>
      <x:c r="S331" s="35" t="n">
        <x:v>3</x:v>
      </x:c>
      <x:c r="T331" s="35" t="n">
        <x:v>1</x:v>
      </x:c>
      <x:c r="U331" s="35" t="n">
        <x:v>1</x:v>
      </x:c>
      <x:c r="V331" s="35" t="n">
        <x:v>5</x:v>
      </x:c>
      <x:c r="W331" s="35" t="n">
        <x:v>7</x:v>
      </x:c>
      <x:c r="X331" s="35" t="n">
        <x:v>60</x:v>
      </x:c>
      <x:c r="Y331" s="35" t="n">
        <x:v>4</x:v>
      </x:c>
      <x:c r="Z331" s="35" t="n">
        <x:v>92</x:v>
      </x:c>
      <x:c r="AA331" s="35" t="n">
        <x:v>5</x:v>
      </x:c>
      <x:c r="AB331" s="35" t="n">
        <x:v>5</x:v>
      </x:c>
      <x:c r="AC331" s="35" t="n">
        <x:v>3</x:v>
      </x:c>
      <x:c r="AD331" s="35" t="n">
        <x:v>75</x:v>
      </x:c>
      <x:c r="AE331" s="35" t="n">
        <x:v>80</x:v>
      </x:c>
      <x:c r="AF331" s="35" t="n">
        <x:v>93</x:v>
      </x:c>
      <x:c r="AG331" s="35" t="n">
        <x:v>86</x:v>
      </x:c>
      <x:c r="AH331" s="35" t="n">
        <x:v>4</x:v>
      </x:c>
      <x:c r="AI331" s="37" t="n">
        <x:v>100</x:v>
      </x:c>
      <x:c r="AJ331" s="37" t="n">
        <x:v>88.4</x:v>
      </x:c>
      <x:c r="AK331" s="35" t="str">
        <x:v>No</x:v>
      </x:c>
      <x:c r="AL331" s="38" t="n">
        <x:f>IF(AA331=0,0,AB331/AA331)</x:f>
        <x:v>1</x:v>
      </x:c>
      <x:c r="AM331" s="38" t="n">
        <x:f>IF(AB331=0,0,AC331/AB331)</x:f>
        <x:v>0.6</x:v>
      </x:c>
      <x:c r="AN331" s="37" t="n">
        <x:f>ROUND((AD331*0.20+AE331*0.20+AF331*0.25+AG331*0.15+MIN(100,AC331*12)*0.20),1)</x:f>
        <x:v>74.4</x:v>
      </x:c>
      <x:c r="AO331" s="37" t="n">
        <x:f>ROUND(MAX(0,MIN(100,(X331*0.35)+(W331/45*100*0.20)+((5-O331)/4*100*0.15)+((5-P331)/4*100*0.10)+((6-Y331)/5*100*0.10)+((100-Z331)*0.10))),1)</x:f>
        <x:v>41.4</x:v>
      </x:c>
      <x:c r="AP331" s="37" t="str">
        <x:f>IF(AO331&gt;=70,"High",IF(AO331&gt;=40,"Moderate","Low"))</x:f>
        <x:v>Moderate</x:v>
      </x:c>
      <x:c r="AQ331" s="37" t="n">
        <x:f>ROUND(MAX(0,MIN(100,(O331/4*100*0.25)+(P331/4*100*0.20)+(Q331/4*100*0.15)+(Y331/5*100*0.20)+(100-AO331)*0.20)),1)</x:f>
        <x:v>72.7</x:v>
      </x:c>
      <x:c r="AR331" s="37" t="n">
        <x:f>ROUND((AI331*0.20+AJ331*0.15+AN331*0.18+AG331*0.12+Z331*0.15+AQ331*0.20),1)</x:f>
        <x:v>85.3</x:v>
      </x:c>
      <x:c r="AS331" s="39" t="n">
        <x:f>ROUND((AC331*AF331*120)+(AH331*350)+(MAX(0,AI331-75)*220)+(MAX(0,AQ331-60)*100),0)</x:f>
        <x:v>41650</x:v>
      </x:c>
    </x:row>
    <x:row r="332">
      <x:c r="A332" s="35" t="n">
        <x:v>331</x:v>
      </x:c>
      <x:c r="B332" s="35" t="n">
        <x:v>37</x:v>
      </x:c>
      <x:c r="C332" s="35" t="str">
        <x:v>Male</x:v>
      </x:c>
      <x:c r="D332" s="35" t="str">
        <x:v>Finance</x:v>
      </x:c>
      <x:c r="E332" s="35" t="str">
        <x:v>Accountant</x:v>
      </x:c>
      <x:c r="F332" s="35" t="str">
        <x:v>Life Sciences</x:v>
      </x:c>
      <x:c r="G332" s="35" t="str">
        <x:v>Single</x:v>
      </x:c>
      <x:c r="H332" s="35" t="n">
        <x:v>2</x:v>
      </x:c>
      <x:c r="I332" s="36" t="n">
        <x:v>7280</x:v>
      </x:c>
      <x:c r="J332" s="35" t="n">
        <x:v>10</x:v>
      </x:c>
      <x:c r="K332" s="35" t="n">
        <x:v>5</x:v>
      </x:c>
      <x:c r="L332" s="35" t="n">
        <x:v>2</x:v>
      </x:c>
      <x:c r="M332" s="35" t="n">
        <x:v>10</x:v>
      </x:c>
      <x:c r="N332" s="35" t="str">
        <x:v>No</x:v>
      </x:c>
      <x:c r="O332" s="35" t="n">
        <x:v>2</x:v>
      </x:c>
      <x:c r="P332" s="35" t="n">
        <x:v>3</x:v>
      </x:c>
      <x:c r="Q332" s="35" t="n">
        <x:v>4</x:v>
      </x:c>
      <x:c r="R332" s="35" t="n">
        <x:v>4</x:v>
      </x:c>
      <x:c r="S332" s="35" t="n">
        <x:v>3</x:v>
      </x:c>
      <x:c r="T332" s="35" t="n">
        <x:v>3</x:v>
      </x:c>
      <x:c r="U332" s="35" t="n">
        <x:v>3</x:v>
      </x:c>
      <x:c r="V332" s="35" t="n">
        <x:v>14</x:v>
      </x:c>
      <x:c r="W332" s="35" t="n">
        <x:v>0</x:v>
      </x:c>
      <x:c r="X332" s="35" t="n">
        <x:v>43</x:v>
      </x:c>
      <x:c r="Y332" s="35" t="n">
        <x:v>5</x:v>
      </x:c>
      <x:c r="Z332" s="35" t="n">
        <x:v>100</x:v>
      </x:c>
      <x:c r="AA332" s="35" t="n">
        <x:v>5</x:v>
      </x:c>
      <x:c r="AB332" s="35" t="n">
        <x:v>3</x:v>
      </x:c>
      <x:c r="AC332" s="35" t="n">
        <x:v>2</x:v>
      </x:c>
      <x:c r="AD332" s="35" t="n">
        <x:v>78</x:v>
      </x:c>
      <x:c r="AE332" s="35" t="n">
        <x:v>74</x:v>
      </x:c>
      <x:c r="AF332" s="35" t="n">
        <x:v>56</x:v>
      </x:c>
      <x:c r="AG332" s="35" t="n">
        <x:v>95</x:v>
      </x:c>
      <x:c r="AH332" s="35" t="n">
        <x:v>6</x:v>
      </x:c>
      <x:c r="AI332" s="37" t="n">
        <x:v>100</x:v>
      </x:c>
      <x:c r="AJ332" s="37" t="n">
        <x:v>91.6</x:v>
      </x:c>
      <x:c r="AK332" s="35" t="str">
        <x:v>No</x:v>
      </x:c>
      <x:c r="AL332" s="38" t="n">
        <x:f>IF(AA332=0,0,AB332/AA332)</x:f>
        <x:v>0.6</x:v>
      </x:c>
      <x:c r="AM332" s="38" t="n">
        <x:f>IF(AB332=0,0,AC332/AB332)</x:f>
        <x:v>0.6666666666666666</x:v>
      </x:c>
      <x:c r="AN332" s="37" t="n">
        <x:f>ROUND((AD332*0.20+AE332*0.20+AF332*0.25+AG332*0.15+MIN(100,AC332*12)*0.20),1)</x:f>
        <x:v>63.5</x:v>
      </x:c>
      <x:c r="AO332" s="37" t="n">
        <x:f>ROUND(MAX(0,MIN(100,(X332*0.35)+(W332/45*100*0.20)+((5-O332)/4*100*0.15)+((5-P332)/4*100*0.10)+((6-Y332)/5*100*0.10)+((100-Z332)*0.10))),1)</x:f>
        <x:v>33.3</x:v>
      </x:c>
      <x:c r="AP332" s="37" t="str">
        <x:f>IF(AO332&gt;=70,"High",IF(AO332&gt;=40,"Moderate","Low"))</x:f>
        <x:v>Low</x:v>
      </x:c>
      <x:c r="AQ332" s="37" t="n">
        <x:f>ROUND(MAX(0,MIN(100,(O332/4*100*0.25)+(P332/4*100*0.20)+(Q332/4*100*0.15)+(Y332/5*100*0.20)+(100-AO332)*0.20)),1)</x:f>
        <x:v>75.8</x:v>
      </x:c>
      <x:c r="AR332" s="37" t="n">
        <x:f>ROUND((AI332*0.20+AJ332*0.15+AN332*0.18+AG332*0.12+Z332*0.15+AQ332*0.20),1)</x:f>
        <x:v>86.7</x:v>
      </x:c>
      <x:c r="AS332" s="39" t="n">
        <x:f>ROUND((AC332*AF332*120)+(AH332*350)+(MAX(0,AI332-75)*220)+(MAX(0,AQ332-60)*100),0)</x:f>
        <x:v>22620</x:v>
      </x:c>
    </x:row>
    <x:row r="333">
      <x:c r="A333" s="35" t="n">
        <x:v>332</x:v>
      </x:c>
      <x:c r="B333" s="35" t="n">
        <x:v>43</x:v>
      </x:c>
      <x:c r="C333" s="35" t="str">
        <x:v>Female</x:v>
      </x:c>
      <x:c r="D333" s="35" t="str">
        <x:v>Research &amp; Development</x:v>
      </x:c>
      <x:c r="E333" s="35" t="str">
        <x:v>R&amp;D Manager</x:v>
      </x:c>
      <x:c r="F333" s="35" t="str">
        <x:v>Marketing</x:v>
      </x:c>
      <x:c r="G333" s="35" t="str">
        <x:v>Single</x:v>
      </x:c>
      <x:c r="H333" s="35" t="n">
        <x:v>3</x:v>
      </x:c>
      <x:c r="I333" s="36" t="n">
        <x:v>17740</x:v>
      </x:c>
      <x:c r="J333" s="35" t="n">
        <x:v>16</x:v>
      </x:c>
      <x:c r="K333" s="35" t="n">
        <x:v>8</x:v>
      </x:c>
      <x:c r="L333" s="35" t="n">
        <x:v>4</x:v>
      </x:c>
      <x:c r="M333" s="35" t="n">
        <x:v>6</x:v>
      </x:c>
      <x:c r="N333" s="35" t="str">
        <x:v>Yes</x:v>
      </x:c>
      <x:c r="O333" s="35" t="n">
        <x:v>2</x:v>
      </x:c>
      <x:c r="P333" s="35" t="n">
        <x:v>4</x:v>
      </x:c>
      <x:c r="Q333" s="35" t="n">
        <x:v>4</x:v>
      </x:c>
      <x:c r="R333" s="35" t="n">
        <x:v>4</x:v>
      </x:c>
      <x:c r="S333" s="35" t="n">
        <x:v>3</x:v>
      </x:c>
      <x:c r="T333" s="35" t="n">
        <x:v>3</x:v>
      </x:c>
      <x:c r="U333" s="35" t="n">
        <x:v>1</x:v>
      </x:c>
      <x:c r="V333" s="35" t="n">
        <x:v>5</x:v>
      </x:c>
      <x:c r="W333" s="35" t="n">
        <x:v>24</x:v>
      </x:c>
      <x:c r="X333" s="35" t="n">
        <x:v>73</x:v>
      </x:c>
      <x:c r="Y333" s="35" t="n">
        <x:v>3</x:v>
      </x:c>
      <x:c r="Z333" s="35" t="n">
        <x:v>100</x:v>
      </x:c>
      <x:c r="AA333" s="35" t="n">
        <x:v>6</x:v>
      </x:c>
      <x:c r="AB333" s="35" t="n">
        <x:v>3</x:v>
      </x:c>
      <x:c r="AC333" s="35" t="n">
        <x:v>2</x:v>
      </x:c>
      <x:c r="AD333" s="35" t="n">
        <x:v>97</x:v>
      </x:c>
      <x:c r="AE333" s="35" t="n">
        <x:v>96</x:v>
      </x:c>
      <x:c r="AF333" s="35" t="n">
        <x:v>72</x:v>
      </x:c>
      <x:c r="AG333" s="35" t="n">
        <x:v>100</x:v>
      </x:c>
      <x:c r="AH333" s="35" t="n">
        <x:v>3</x:v>
      </x:c>
      <x:c r="AI333" s="37" t="n">
        <x:v>100</x:v>
      </x:c>
      <x:c r="AJ333" s="37" t="n">
        <x:v>100</x:v>
      </x:c>
      <x:c r="AK333" s="35" t="str">
        <x:v>Yes</x:v>
      </x:c>
      <x:c r="AL333" s="38" t="n">
        <x:f>IF(AA333=0,0,AB333/AA333)</x:f>
        <x:v>0.5</x:v>
      </x:c>
      <x:c r="AM333" s="38" t="n">
        <x:f>IF(AB333=0,0,AC333/AB333)</x:f>
        <x:v>0.6666666666666666</x:v>
      </x:c>
      <x:c r="AN333" s="37" t="n">
        <x:f>ROUND((AD333*0.20+AE333*0.20+AF333*0.25+AG333*0.15+MIN(100,AC333*12)*0.20),1)</x:f>
        <x:v>76.4</x:v>
      </x:c>
      <x:c r="AO333" s="37" t="n">
        <x:f>ROUND(MAX(0,MIN(100,(X333*0.35)+(W333/45*100*0.20)+((5-O333)/4*100*0.15)+((5-P333)/4*100*0.10)+((6-Y333)/5*100*0.10)+((100-Z333)*0.10))),1)</x:f>
        <x:v>56</x:v>
      </x:c>
      <x:c r="AP333" s="37" t="str">
        <x:f>IF(AO333&gt;=70,"High",IF(AO333&gt;=40,"Moderate","Low"))</x:f>
        <x:v>Moderate</x:v>
      </x:c>
      <x:c r="AQ333" s="37" t="n">
        <x:f>ROUND(MAX(0,MIN(100,(O333/4*100*0.25)+(P333/4*100*0.20)+(Q333/4*100*0.15)+(Y333/5*100*0.20)+(100-AO333)*0.20)),1)</x:f>
        <x:v>68.3</x:v>
      </x:c>
      <x:c r="AR333" s="37" t="n">
        <x:f>ROUND((AI333*0.20+AJ333*0.15+AN333*0.18+AG333*0.12+Z333*0.15+AQ333*0.20),1)</x:f>
        <x:v>89.4</x:v>
      </x:c>
      <x:c r="AS333" s="39" t="n">
        <x:f>ROUND((AC333*AF333*120)+(AH333*350)+(MAX(0,AI333-75)*220)+(MAX(0,AQ333-60)*100),0)</x:f>
        <x:v>24660</x:v>
      </x:c>
    </x:row>
    <x:row r="334">
      <x:c r="A334" s="35" t="n">
        <x:v>333</x:v>
      </x:c>
      <x:c r="B334" s="35" t="n">
        <x:v>23</x:v>
      </x:c>
      <x:c r="C334" s="35" t="str">
        <x:v>Male</x:v>
      </x:c>
      <x:c r="D334" s="35" t="str">
        <x:v>Sales</x:v>
      </x:c>
      <x:c r="E334" s="35" t="str">
        <x:v>Sales Executive</x:v>
      </x:c>
      <x:c r="F334" s="35" t="str">
        <x:v>Life Sciences</x:v>
      </x:c>
      <x:c r="G334" s="35" t="str">
        <x:v>Divorced</x:v>
      </x:c>
      <x:c r="H334" s="35" t="n">
        <x:v>1</x:v>
      </x:c>
      <x:c r="I334" s="36" t="n">
        <x:v>5260</x:v>
      </x:c>
      <x:c r="J334" s="35" t="n">
        <x:v>1</x:v>
      </x:c>
      <x:c r="K334" s="35" t="n">
        <x:v>1</x:v>
      </x:c>
      <x:c r="L334" s="35" t="n">
        <x:v>1</x:v>
      </x:c>
      <x:c r="M334" s="35" t="n">
        <x:v>12</x:v>
      </x:c>
      <x:c r="N334" s="35" t="str">
        <x:v>No</x:v>
      </x:c>
      <x:c r="O334" s="35" t="n">
        <x:v>2</x:v>
      </x:c>
      <x:c r="P334" s="35" t="n">
        <x:v>2</x:v>
      </x:c>
      <x:c r="Q334" s="35" t="n">
        <x:v>3</x:v>
      </x:c>
      <x:c r="R334" s="35" t="n">
        <x:v>2</x:v>
      </x:c>
      <x:c r="S334" s="35" t="n">
        <x:v>4</x:v>
      </x:c>
      <x:c r="T334" s="35" t="n">
        <x:v>4</x:v>
      </x:c>
      <x:c r="U334" s="35" t="n">
        <x:v>1</x:v>
      </x:c>
      <x:c r="V334" s="35" t="n">
        <x:v>11</x:v>
      </x:c>
      <x:c r="W334" s="35" t="n">
        <x:v>0</x:v>
      </x:c>
      <x:c r="X334" s="35" t="n">
        <x:v>90</x:v>
      </x:c>
      <x:c r="Y334" s="35" t="n">
        <x:v>4</x:v>
      </x:c>
      <x:c r="Z334" s="35" t="n">
        <x:v>83</x:v>
      </x:c>
      <x:c r="AA334" s="35" t="n">
        <x:v>12</x:v>
      </x:c>
      <x:c r="AB334" s="35" t="n">
        <x:v>9</x:v>
      </x:c>
      <x:c r="AC334" s="35" t="n">
        <x:v>8</x:v>
      </x:c>
      <x:c r="AD334" s="35" t="n">
        <x:v>94</x:v>
      </x:c>
      <x:c r="AE334" s="35" t="n">
        <x:v>82</x:v>
      </x:c>
      <x:c r="AF334" s="35" t="n">
        <x:v>94</x:v>
      </x:c>
      <x:c r="AG334" s="35" t="n">
        <x:v>65</x:v>
      </x:c>
      <x:c r="AH334" s="35" t="n">
        <x:v>10</x:v>
      </x:c>
      <x:c r="AI334" s="37" t="n">
        <x:v>100</x:v>
      </x:c>
      <x:c r="AJ334" s="37" t="n">
        <x:v>90.9</x:v>
      </x:c>
      <x:c r="AK334" s="35" t="str">
        <x:v>No</x:v>
      </x:c>
      <x:c r="AL334" s="38" t="n">
        <x:f>IF(AA334=0,0,AB334/AA334)</x:f>
        <x:v>0.75</x:v>
      </x:c>
      <x:c r="AM334" s="38" t="n">
        <x:f>IF(AB334=0,0,AC334/AB334)</x:f>
        <x:v>0.8888888888888888</x:v>
      </x:c>
      <x:c r="AN334" s="37" t="n">
        <x:f>ROUND((AD334*0.20+AE334*0.20+AF334*0.25+AG334*0.15+MIN(100,AC334*12)*0.20),1)</x:f>
        <x:v>87.7</x:v>
      </x:c>
      <x:c r="AO334" s="37" t="n">
        <x:f>ROUND(MAX(0,MIN(100,(X334*0.35)+(W334/45*100*0.20)+((5-O334)/4*100*0.15)+((5-P334)/4*100*0.10)+((6-Y334)/5*100*0.10)+((100-Z334)*0.10))),1)</x:f>
        <x:v>56</x:v>
      </x:c>
      <x:c r="AP334" s="37" t="str">
        <x:f>IF(AO334&gt;=70,"High",IF(AO334&gt;=40,"Moderate","Low"))</x:f>
        <x:v>Moderate</x:v>
      </x:c>
      <x:c r="AQ334" s="37" t="n">
        <x:f>ROUND(MAX(0,MIN(100,(O334/4*100*0.25)+(P334/4*100*0.20)+(Q334/4*100*0.15)+(Y334/5*100*0.20)+(100-AO334)*0.20)),1)</x:f>
        <x:v>58.6</x:v>
      </x:c>
      <x:c r="AR334" s="37" t="n">
        <x:f>ROUND((AI334*0.20+AJ334*0.15+AN334*0.18+AG334*0.12+Z334*0.15+AQ334*0.20),1)</x:f>
        <x:v>81.4</x:v>
      </x:c>
      <x:c r="AS334" s="39" t="n">
        <x:f>ROUND((AC334*AF334*120)+(AH334*350)+(MAX(0,AI334-75)*220)+(MAX(0,AQ334-60)*100),0)</x:f>
        <x:v>99240</x:v>
      </x:c>
    </x:row>
    <x:row r="335">
      <x:c r="A335" s="35" t="n">
        <x:v>334</x:v>
      </x:c>
      <x:c r="B335" s="35" t="n">
        <x:v>35</x:v>
      </x:c>
      <x:c r="C335" s="35" t="str">
        <x:v>Male</x:v>
      </x:c>
      <x:c r="D335" s="35" t="str">
        <x:v>Research &amp; Development</x:v>
      </x:c>
      <x:c r="E335" s="35" t="str">
        <x:v>R&amp;D Manager</x:v>
      </x:c>
      <x:c r="F335" s="35" t="str">
        <x:v>Human Resources</x:v>
      </x:c>
      <x:c r="G335" s="35" t="str">
        <x:v>Married</x:v>
      </x:c>
      <x:c r="H335" s="35" t="n">
        <x:v>2</x:v>
      </x:c>
      <x:c r="I335" s="36" t="n">
        <x:v>7700</x:v>
      </x:c>
      <x:c r="J335" s="35" t="n">
        <x:v>9</x:v>
      </x:c>
      <x:c r="K335" s="35" t="n">
        <x:v>4</x:v>
      </x:c>
      <x:c r="L335" s="35" t="n">
        <x:v>1</x:v>
      </x:c>
      <x:c r="M335" s="35" t="n">
        <x:v>6</x:v>
      </x:c>
      <x:c r="N335" s="35" t="str">
        <x:v>No</x:v>
      </x:c>
      <x:c r="O335" s="35" t="n">
        <x:v>3</x:v>
      </x:c>
      <x:c r="P335" s="35" t="n">
        <x:v>2</x:v>
      </x:c>
      <x:c r="Q335" s="35" t="n">
        <x:v>2</x:v>
      </x:c>
      <x:c r="R335" s="35" t="n">
        <x:v>3</x:v>
      </x:c>
      <x:c r="S335" s="35" t="n">
        <x:v>3</x:v>
      </x:c>
      <x:c r="T335" s="35" t="n">
        <x:v>4</x:v>
      </x:c>
      <x:c r="U335" s="35" t="n">
        <x:v>2</x:v>
      </x:c>
      <x:c r="V335" s="35" t="n">
        <x:v>8</x:v>
      </x:c>
      <x:c r="W335" s="35" t="n">
        <x:v>1</x:v>
      </x:c>
      <x:c r="X335" s="35" t="n">
        <x:v>62</x:v>
      </x:c>
      <x:c r="Y335" s="35" t="n">
        <x:v>4</x:v>
      </x:c>
      <x:c r="Z335" s="35" t="n">
        <x:v>93</x:v>
      </x:c>
      <x:c r="AA335" s="35" t="n">
        <x:v>6</x:v>
      </x:c>
      <x:c r="AB335" s="35" t="n">
        <x:v>6</x:v>
      </x:c>
      <x:c r="AC335" s="35" t="n">
        <x:v>6</x:v>
      </x:c>
      <x:c r="AD335" s="35" t="n">
        <x:v>74</x:v>
      </x:c>
      <x:c r="AE335" s="35" t="n">
        <x:v>86</x:v>
      </x:c>
      <x:c r="AF335" s="35" t="n">
        <x:v>71</x:v>
      </x:c>
      <x:c r="AG335" s="35" t="n">
        <x:v>72</x:v>
      </x:c>
      <x:c r="AH335" s="35" t="n">
        <x:v>8</x:v>
      </x:c>
      <x:c r="AI335" s="37" t="n">
        <x:v>94.4</x:v>
      </x:c>
      <x:c r="AJ335" s="37" t="n">
        <x:v>91.8</x:v>
      </x:c>
      <x:c r="AK335" s="35" t="str">
        <x:v>No</x:v>
      </x:c>
      <x:c r="AL335" s="38" t="n">
        <x:f>IF(AA335=0,0,AB335/AA335)</x:f>
        <x:v>1</x:v>
      </x:c>
      <x:c r="AM335" s="38" t="n">
        <x:f>IF(AB335=0,0,AC335/AB335)</x:f>
        <x:v>1</x:v>
      </x:c>
      <x:c r="AN335" s="37" t="n">
        <x:f>ROUND((AD335*0.20+AE335*0.20+AF335*0.25+AG335*0.15+MIN(100,AC335*12)*0.20),1)</x:f>
        <x:v>75</x:v>
      </x:c>
      <x:c r="AO335" s="37" t="n">
        <x:f>ROUND(MAX(0,MIN(100,(X335*0.35)+(W335/45*100*0.20)+((5-O335)/4*100*0.15)+((5-P335)/4*100*0.10)+((6-Y335)/5*100*0.10)+((100-Z335)*0.10))),1)</x:f>
        <x:v>41.8</x:v>
      </x:c>
      <x:c r="AP335" s="37" t="str">
        <x:f>IF(AO335&gt;=70,"High",IF(AO335&gt;=40,"Moderate","Low"))</x:f>
        <x:v>Moderate</x:v>
      </x:c>
      <x:c r="AQ335" s="37" t="n">
        <x:f>ROUND(MAX(0,MIN(100,(O335/4*100*0.25)+(P335/4*100*0.20)+(Q335/4*100*0.15)+(Y335/5*100*0.20)+(100-AO335)*0.20)),1)</x:f>
        <x:v>63.9</x:v>
      </x:c>
      <x:c r="AR335" s="37" t="n">
        <x:f>ROUND((AI335*0.20+AJ335*0.15+AN335*0.18+AG335*0.12+Z335*0.15+AQ335*0.20),1)</x:f>
        <x:v>81.5</x:v>
      </x:c>
      <x:c r="AS335" s="39" t="n">
        <x:f>ROUND((AC335*AF335*120)+(AH335*350)+(MAX(0,AI335-75)*220)+(MAX(0,AQ335-60)*100),0)</x:f>
        <x:v>58578</x:v>
      </x:c>
    </x:row>
    <x:row r="336">
      <x:c r="A336" s="35" t="n">
        <x:v>335</x:v>
      </x:c>
      <x:c r="B336" s="35" t="n">
        <x:v>24</x:v>
      </x:c>
      <x:c r="C336" s="35" t="str">
        <x:v>Female</x:v>
      </x:c>
      <x:c r="D336" s="35" t="str">
        <x:v>Research &amp; Development</x:v>
      </x:c>
      <x:c r="E336" s="35" t="str">
        <x:v>Data Scientist</x:v>
      </x:c>
      <x:c r="F336" s="35" t="str">
        <x:v>Computer Science</x:v>
      </x:c>
      <x:c r="G336" s="35" t="str">
        <x:v>Single</x:v>
      </x:c>
      <x:c r="H336" s="35" t="n">
        <x:v>1</x:v>
      </x:c>
      <x:c r="I336" s="36" t="n">
        <x:v>5060</x:v>
      </x:c>
      <x:c r="J336" s="35" t="n">
        <x:v>2</x:v>
      </x:c>
      <x:c r="K336" s="35" t="n">
        <x:v>2</x:v>
      </x:c>
      <x:c r="L336" s="35" t="n">
        <x:v>1</x:v>
      </x:c>
      <x:c r="M336" s="35" t="n">
        <x:v>5</x:v>
      </x:c>
      <x:c r="N336" s="35" t="str">
        <x:v>No</x:v>
      </x:c>
      <x:c r="O336" s="35" t="n">
        <x:v>4</x:v>
      </x:c>
      <x:c r="P336" s="35" t="n">
        <x:v>3</x:v>
      </x:c>
      <x:c r="Q336" s="35" t="n">
        <x:v>4</x:v>
      </x:c>
      <x:c r="R336" s="35" t="n">
        <x:v>3</x:v>
      </x:c>
      <x:c r="S336" s="35" t="n">
        <x:v>3</x:v>
      </x:c>
      <x:c r="T336" s="35" t="n">
        <x:v>4</x:v>
      </x:c>
      <x:c r="U336" s="35" t="n">
        <x:v>1</x:v>
      </x:c>
      <x:c r="V336" s="35" t="n">
        <x:v>8</x:v>
      </x:c>
      <x:c r="W336" s="35" t="n">
        <x:v>1</x:v>
      </x:c>
      <x:c r="X336" s="35" t="n">
        <x:v>64</x:v>
      </x:c>
      <x:c r="Y336" s="35" t="n">
        <x:v>5</x:v>
      </x:c>
      <x:c r="Z336" s="35" t="n">
        <x:v>100</x:v>
      </x:c>
      <x:c r="AA336" s="35" t="n">
        <x:v>3</x:v>
      </x:c>
      <x:c r="AB336" s="35" t="n">
        <x:v>3</x:v>
      </x:c>
      <x:c r="AC336" s="35" t="n">
        <x:v>3</x:v>
      </x:c>
      <x:c r="AD336" s="35" t="n">
        <x:v>68</x:v>
      </x:c>
      <x:c r="AE336" s="35" t="n">
        <x:v>86</x:v>
      </x:c>
      <x:c r="AF336" s="35" t="n">
        <x:v>73</x:v>
      </x:c>
      <x:c r="AG336" s="35" t="n">
        <x:v>83</x:v>
      </x:c>
      <x:c r="AH336" s="35" t="n">
        <x:v>6</x:v>
      </x:c>
      <x:c r="AI336" s="37" t="n">
        <x:v>98.2</x:v>
      </x:c>
      <x:c r="AJ336" s="37" t="n">
        <x:v>89.5</x:v>
      </x:c>
      <x:c r="AK336" s="35" t="str">
        <x:v>No</x:v>
      </x:c>
      <x:c r="AL336" s="38" t="n">
        <x:f>IF(AA336=0,0,AB336/AA336)</x:f>
        <x:v>1</x:v>
      </x:c>
      <x:c r="AM336" s="38" t="n">
        <x:f>IF(AB336=0,0,AC336/AB336)</x:f>
        <x:v>1</x:v>
      </x:c>
      <x:c r="AN336" s="37" t="n">
        <x:f>ROUND((AD336*0.20+AE336*0.20+AF336*0.25+AG336*0.15+MIN(100,AC336*12)*0.20),1)</x:f>
        <x:v>68.7</x:v>
      </x:c>
      <x:c r="AO336" s="37" t="n">
        <x:f>ROUND(MAX(0,MIN(100,(X336*0.35)+(W336/45*100*0.20)+((5-O336)/4*100*0.15)+((5-P336)/4*100*0.10)+((6-Y336)/5*100*0.10)+((100-Z336)*0.10))),1)</x:f>
        <x:v>33.6</x:v>
      </x:c>
      <x:c r="AP336" s="37" t="str">
        <x:f>IF(AO336&gt;=70,"High",IF(AO336&gt;=40,"Moderate","Low"))</x:f>
        <x:v>Low</x:v>
      </x:c>
      <x:c r="AQ336" s="37" t="n">
        <x:f>ROUND(MAX(0,MIN(100,(O336/4*100*0.25)+(P336/4*100*0.20)+(Q336/4*100*0.15)+(Y336/5*100*0.20)+(100-AO336)*0.20)),1)</x:f>
        <x:v>88.3</x:v>
      </x:c>
      <x:c r="AR336" s="37" t="n">
        <x:f>ROUND((AI336*0.20+AJ336*0.15+AN336*0.18+AG336*0.12+Z336*0.15+AQ336*0.20),1)</x:f>
        <x:v>88.1</x:v>
      </x:c>
      <x:c r="AS336" s="39" t="n">
        <x:f>ROUND((AC336*AF336*120)+(AH336*350)+(MAX(0,AI336-75)*220)+(MAX(0,AQ336-60)*100),0)</x:f>
        <x:v>36314</x:v>
      </x:c>
    </x:row>
    <x:row r="337">
      <x:c r="A337" s="35" t="n">
        <x:v>336</x:v>
      </x:c>
      <x:c r="B337" s="35" t="n">
        <x:v>49</x:v>
      </x:c>
      <x:c r="C337" s="35" t="str">
        <x:v>Female</x:v>
      </x:c>
      <x:c r="D337" s="35" t="str">
        <x:v>Marketing</x:v>
      </x:c>
      <x:c r="E337" s="35" t="str">
        <x:v>Digital Marketing Analyst</x:v>
      </x:c>
      <x:c r="F337" s="35" t="str">
        <x:v>Human Resources</x:v>
      </x:c>
      <x:c r="G337" s="35" t="str">
        <x:v>Married</x:v>
      </x:c>
      <x:c r="H337" s="35" t="n">
        <x:v>4</x:v>
      </x:c>
      <x:c r="I337" s="36" t="n">
        <x:v>22160</x:v>
      </x:c>
      <x:c r="J337" s="35" t="n">
        <x:v>14</x:v>
      </x:c>
      <x:c r="K337" s="35" t="n">
        <x:v>5</x:v>
      </x:c>
      <x:c r="L337" s="35" t="n">
        <x:v>3</x:v>
      </x:c>
      <x:c r="M337" s="35" t="n">
        <x:v>13</x:v>
      </x:c>
      <x:c r="N337" s="35" t="str">
        <x:v>Yes</x:v>
      </x:c>
      <x:c r="O337" s="35" t="n">
        <x:v>3</x:v>
      </x:c>
      <x:c r="P337" s="35" t="n">
        <x:v>2</x:v>
      </x:c>
      <x:c r="Q337" s="35" t="n">
        <x:v>3</x:v>
      </x:c>
      <x:c r="R337" s="35" t="n">
        <x:v>4</x:v>
      </x:c>
      <x:c r="S337" s="35" t="n">
        <x:v>4</x:v>
      </x:c>
      <x:c r="T337" s="35" t="n">
        <x:v>6</x:v>
      </x:c>
      <x:c r="U337" s="35" t="n">
        <x:v>1</x:v>
      </x:c>
      <x:c r="V337" s="35" t="n">
        <x:v>0</x:v>
      </x:c>
      <x:c r="W337" s="35" t="n">
        <x:v>17</x:v>
      </x:c>
      <x:c r="X337" s="35" t="n">
        <x:v>68</x:v>
      </x:c>
      <x:c r="Y337" s="35" t="n">
        <x:v>4</x:v>
      </x:c>
      <x:c r="Z337" s="35" t="n">
        <x:v>99</x:v>
      </x:c>
      <x:c r="AA337" s="35" t="n">
        <x:v>2</x:v>
      </x:c>
      <x:c r="AB337" s="35" t="n">
        <x:v>2</x:v>
      </x:c>
      <x:c r="AC337" s="35" t="n">
        <x:v>2</x:v>
      </x:c>
      <x:c r="AD337" s="35" t="n">
        <x:v>58</x:v>
      </x:c>
      <x:c r="AE337" s="35" t="n">
        <x:v>96</x:v>
      </x:c>
      <x:c r="AF337" s="35" t="n">
        <x:v>84</x:v>
      </x:c>
      <x:c r="AG337" s="35" t="n">
        <x:v>90</x:v>
      </x:c>
      <x:c r="AH337" s="35" t="n">
        <x:v>11</x:v>
      </x:c>
      <x:c r="AI337" s="37" t="n">
        <x:v>100</x:v>
      </x:c>
      <x:c r="AJ337" s="37" t="n">
        <x:v>100</x:v>
      </x:c>
      <x:c r="AK337" s="35" t="str">
        <x:v>Yes</x:v>
      </x:c>
      <x:c r="AL337" s="38" t="n">
        <x:f>IF(AA337=0,0,AB337/AA337)</x:f>
        <x:v>1</x:v>
      </x:c>
      <x:c r="AM337" s="38" t="n">
        <x:f>IF(AB337=0,0,AC337/AB337)</x:f>
        <x:v>1</x:v>
      </x:c>
      <x:c r="AN337" s="37" t="n">
        <x:f>ROUND((AD337*0.20+AE337*0.20+AF337*0.25+AG337*0.15+MIN(100,AC337*12)*0.20),1)</x:f>
        <x:v>70.1</x:v>
      </x:c>
      <x:c r="AO337" s="37" t="n">
        <x:f>ROUND(MAX(0,MIN(100,(X337*0.35)+(W337/45*100*0.20)+((5-O337)/4*100*0.15)+((5-P337)/4*100*0.10)+((6-Y337)/5*100*0.10)+((100-Z337)*0.10))),1)</x:f>
        <x:v>50.5</x:v>
      </x:c>
      <x:c r="AP337" s="37" t="str">
        <x:f>IF(AO337&gt;=70,"High",IF(AO337&gt;=40,"Moderate","Low"))</x:f>
        <x:v>Moderate</x:v>
      </x:c>
      <x:c r="AQ337" s="37" t="n">
        <x:f>ROUND(MAX(0,MIN(100,(O337/4*100*0.25)+(P337/4*100*0.20)+(Q337/4*100*0.15)+(Y337/5*100*0.20)+(100-AO337)*0.20)),1)</x:f>
        <x:v>65.9</x:v>
      </x:c>
      <x:c r="AR337" s="37" t="n">
        <x:f>ROUND((AI337*0.20+AJ337*0.15+AN337*0.18+AG337*0.12+Z337*0.15+AQ337*0.20),1)</x:f>
        <x:v>86.4</x:v>
      </x:c>
      <x:c r="AS337" s="39" t="n">
        <x:f>ROUND((AC337*AF337*120)+(AH337*350)+(MAX(0,AI337-75)*220)+(MAX(0,AQ337-60)*100),0)</x:f>
        <x:v>30100</x:v>
      </x:c>
    </x:row>
    <x:row r="338">
      <x:c r="A338" s="35" t="n">
        <x:v>337</x:v>
      </x:c>
      <x:c r="B338" s="35" t="n">
        <x:v>41</x:v>
      </x:c>
      <x:c r="C338" s="35" t="str">
        <x:v>Male</x:v>
      </x:c>
      <x:c r="D338" s="35" t="str">
        <x:v>Information Technology</x:v>
      </x:c>
      <x:c r="E338" s="35" t="str">
        <x:v>IT Manager</x:v>
      </x:c>
      <x:c r="F338" s="35" t="str">
        <x:v>Technical Degree</x:v>
      </x:c>
      <x:c r="G338" s="35" t="str">
        <x:v>Divorced</x:v>
      </x:c>
      <x:c r="H338" s="35" t="n">
        <x:v>3</x:v>
      </x:c>
      <x:c r="I338" s="36" t="n">
        <x:v>16850</x:v>
      </x:c>
      <x:c r="J338" s="35" t="n">
        <x:v>13</x:v>
      </x:c>
      <x:c r="K338" s="35" t="n">
        <x:v>7</x:v>
      </x:c>
      <x:c r="L338" s="35" t="n">
        <x:v>4</x:v>
      </x:c>
      <x:c r="M338" s="35" t="n">
        <x:v>10</x:v>
      </x:c>
      <x:c r="N338" s="35" t="str">
        <x:v>Yes</x:v>
      </x:c>
      <x:c r="O338" s="35" t="n">
        <x:v>2</x:v>
      </x:c>
      <x:c r="P338" s="35" t="n">
        <x:v>3</x:v>
      </x:c>
      <x:c r="Q338" s="35" t="n">
        <x:v>4</x:v>
      </x:c>
      <x:c r="R338" s="35" t="n">
        <x:v>3</x:v>
      </x:c>
      <x:c r="S338" s="35" t="n">
        <x:v>3</x:v>
      </x:c>
      <x:c r="T338" s="35" t="n">
        <x:v>2</x:v>
      </x:c>
      <x:c r="U338" s="35" t="n">
        <x:v>0</x:v>
      </x:c>
      <x:c r="V338" s="35" t="n">
        <x:v>14</x:v>
      </x:c>
      <x:c r="W338" s="35" t="n">
        <x:v>31</x:v>
      </x:c>
      <x:c r="X338" s="35" t="n">
        <x:v>79</x:v>
      </x:c>
      <x:c r="Y338" s="35" t="n">
        <x:v>4</x:v>
      </x:c>
      <x:c r="Z338" s="35" t="n">
        <x:v>100</x:v>
      </x:c>
      <x:c r="AA338" s="35" t="n">
        <x:v>4</x:v>
      </x:c>
      <x:c r="AB338" s="35" t="n">
        <x:v>2</x:v>
      </x:c>
      <x:c r="AC338" s="35" t="n">
        <x:v>2</x:v>
      </x:c>
      <x:c r="AD338" s="35" t="n">
        <x:v>80</x:v>
      </x:c>
      <x:c r="AE338" s="35" t="n">
        <x:v>72</x:v>
      </x:c>
      <x:c r="AF338" s="35" t="n">
        <x:v>71</x:v>
      </x:c>
      <x:c r="AG338" s="35" t="n">
        <x:v>92</x:v>
      </x:c>
      <x:c r="AH338" s="35" t="n">
        <x:v>7</x:v>
      </x:c>
      <x:c r="AI338" s="37" t="n">
        <x:v>93.3</x:v>
      </x:c>
      <x:c r="AJ338" s="37" t="n">
        <x:v>100</x:v>
      </x:c>
      <x:c r="AK338" s="35" t="str">
        <x:v>No</x:v>
      </x:c>
      <x:c r="AL338" s="38" t="n">
        <x:f>IF(AA338=0,0,AB338/AA338)</x:f>
        <x:v>0.5</x:v>
      </x:c>
      <x:c r="AM338" s="38" t="n">
        <x:f>IF(AB338=0,0,AC338/AB338)</x:f>
        <x:v>1</x:v>
      </x:c>
      <x:c r="AN338" s="37" t="n">
        <x:f>ROUND((AD338*0.20+AE338*0.20+AF338*0.25+AG338*0.15+MIN(100,AC338*12)*0.20),1)</x:f>
        <x:v>66.8</x:v>
      </x:c>
      <x:c r="AO338" s="37" t="n">
        <x:f>ROUND(MAX(0,MIN(100,(X338*0.35)+(W338/45*100*0.20)+((5-O338)/4*100*0.15)+((5-P338)/4*100*0.10)+((6-Y338)/5*100*0.10)+((100-Z338)*0.10))),1)</x:f>
        <x:v>61.7</x:v>
      </x:c>
      <x:c r="AP338" s="37" t="str">
        <x:f>IF(AO338&gt;=70,"High",IF(AO338&gt;=40,"Moderate","Low"))</x:f>
        <x:v>Moderate</x:v>
      </x:c>
      <x:c r="AQ338" s="37" t="n">
        <x:f>ROUND(MAX(0,MIN(100,(O338/4*100*0.25)+(P338/4*100*0.20)+(Q338/4*100*0.15)+(Y338/5*100*0.20)+(100-AO338)*0.20)),1)</x:f>
        <x:v>66.2</x:v>
      </x:c>
      <x:c r="AR338" s="37" t="n">
        <x:f>ROUND((AI338*0.20+AJ338*0.15+AN338*0.18+AG338*0.12+Z338*0.15+AQ338*0.20),1)</x:f>
        <x:v>85</x:v>
      </x:c>
      <x:c r="AS338" s="39" t="n">
        <x:f>ROUND((AC338*AF338*120)+(AH338*350)+(MAX(0,AI338-75)*220)+(MAX(0,AQ338-60)*100),0)</x:f>
        <x:v>24136</x:v>
      </x:c>
    </x:row>
    <x:row r="339">
      <x:c r="A339" s="35" t="n">
        <x:v>338</x:v>
      </x:c>
      <x:c r="B339" s="35" t="n">
        <x:v>42</x:v>
      </x:c>
      <x:c r="C339" s="35" t="str">
        <x:v>Female</x:v>
      </x:c>
      <x:c r="D339" s="35" t="str">
        <x:v>Research &amp; Development</x:v>
      </x:c>
      <x:c r="E339" s="35" t="str">
        <x:v>R&amp;D Manager</x:v>
      </x:c>
      <x:c r="F339" s="35" t="str">
        <x:v>Business</x:v>
      </x:c>
      <x:c r="G339" s="35" t="str">
        <x:v>Married</x:v>
      </x:c>
      <x:c r="H339" s="35" t="n">
        <x:v>4</x:v>
      </x:c>
      <x:c r="I339" s="36" t="n">
        <x:v>19090</x:v>
      </x:c>
      <x:c r="J339" s="35" t="n">
        <x:v>15</x:v>
      </x:c>
      <x:c r="K339" s="35" t="n">
        <x:v>10</x:v>
      </x:c>
      <x:c r="L339" s="35" t="n">
        <x:v>4</x:v>
      </x:c>
      <x:c r="M339" s="35" t="n">
        <x:v>9</x:v>
      </x:c>
      <x:c r="N339" s="35" t="str">
        <x:v>Yes</x:v>
      </x:c>
      <x:c r="O339" s="35" t="n">
        <x:v>2</x:v>
      </x:c>
      <x:c r="P339" s="35" t="n">
        <x:v>3</x:v>
      </x:c>
      <x:c r="Q339" s="35" t="n">
        <x:v>2</x:v>
      </x:c>
      <x:c r="R339" s="35" t="n">
        <x:v>3</x:v>
      </x:c>
      <x:c r="S339" s="35" t="n">
        <x:v>3</x:v>
      </x:c>
      <x:c r="T339" s="35" t="n">
        <x:v>4</x:v>
      </x:c>
      <x:c r="U339" s="35" t="n">
        <x:v>2</x:v>
      </x:c>
      <x:c r="V339" s="35" t="n">
        <x:v>5</x:v>
      </x:c>
      <x:c r="W339" s="35" t="n">
        <x:v>28</x:v>
      </x:c>
      <x:c r="X339" s="35" t="n">
        <x:v>69</x:v>
      </x:c>
      <x:c r="Y339" s="35" t="n">
        <x:v>4</x:v>
      </x:c>
      <x:c r="Z339" s="35" t="n">
        <x:v>94</x:v>
      </x:c>
      <x:c r="AA339" s="35" t="n">
        <x:v>10</x:v>
      </x:c>
      <x:c r="AB339" s="35" t="n">
        <x:v>7</x:v>
      </x:c>
      <x:c r="AC339" s="35" t="n">
        <x:v>6</x:v>
      </x:c>
      <x:c r="AD339" s="35" t="n">
        <x:v>81</x:v>
      </x:c>
      <x:c r="AE339" s="35" t="n">
        <x:v>85</x:v>
      </x:c>
      <x:c r="AF339" s="35" t="n">
        <x:v>100</x:v>
      </x:c>
      <x:c r="AG339" s="35" t="n">
        <x:v>100</x:v>
      </x:c>
      <x:c r="AH339" s="35" t="n">
        <x:v>10</x:v>
      </x:c>
      <x:c r="AI339" s="37" t="n">
        <x:v>99.3</x:v>
      </x:c>
      <x:c r="AJ339" s="37" t="n">
        <x:v>91.7</x:v>
      </x:c>
      <x:c r="AK339" s="35" t="str">
        <x:v>No</x:v>
      </x:c>
      <x:c r="AL339" s="38" t="n">
        <x:f>IF(AA339=0,0,AB339/AA339)</x:f>
        <x:v>0.7</x:v>
      </x:c>
      <x:c r="AM339" s="38" t="n">
        <x:f>IF(AB339=0,0,AC339/AB339)</x:f>
        <x:v>0.8571428571428571</x:v>
      </x:c>
      <x:c r="AN339" s="37" t="n">
        <x:f>ROUND((AD339*0.20+AE339*0.20+AF339*0.25+AG339*0.15+MIN(100,AC339*12)*0.20),1)</x:f>
        <x:v>87.6</x:v>
      </x:c>
      <x:c r="AO339" s="37" t="n">
        <x:f>ROUND(MAX(0,MIN(100,(X339*0.35)+(W339/45*100*0.20)+((5-O339)/4*100*0.15)+((5-P339)/4*100*0.10)+((6-Y339)/5*100*0.10)+((100-Z339)*0.10))),1)</x:f>
        <x:v>57.4</x:v>
      </x:c>
      <x:c r="AP339" s="37" t="str">
        <x:f>IF(AO339&gt;=70,"High",IF(AO339&gt;=40,"Moderate","Low"))</x:f>
        <x:v>Moderate</x:v>
      </x:c>
      <x:c r="AQ339" s="37" t="n">
        <x:f>ROUND(MAX(0,MIN(100,(O339/4*100*0.25)+(P339/4*100*0.20)+(Q339/4*100*0.15)+(Y339/5*100*0.20)+(100-AO339)*0.20)),1)</x:f>
        <x:v>59.5</x:v>
      </x:c>
      <x:c r="AR339" s="37" t="n">
        <x:f>ROUND((AI339*0.20+AJ339*0.15+AN339*0.18+AG339*0.12+Z339*0.15+AQ339*0.20),1)</x:f>
        <x:v>87.4</x:v>
      </x:c>
      <x:c r="AS339" s="39" t="n">
        <x:f>ROUND((AC339*AF339*120)+(AH339*350)+(MAX(0,AI339-75)*220)+(MAX(0,AQ339-60)*100),0)</x:f>
        <x:v>80846</x:v>
      </x:c>
    </x:row>
    <x:row r="340">
      <x:c r="A340" s="35" t="n">
        <x:v>339</x:v>
      </x:c>
      <x:c r="B340" s="35" t="n">
        <x:v>31</x:v>
      </x:c>
      <x:c r="C340" s="35" t="str">
        <x:v>Female</x:v>
      </x:c>
      <x:c r="D340" s="35" t="str">
        <x:v>Research &amp; Development</x:v>
      </x:c>
      <x:c r="E340" s="35" t="str">
        <x:v>R&amp;D Manager</x:v>
      </x:c>
      <x:c r="F340" s="35" t="str">
        <x:v>Human Resources</x:v>
      </x:c>
      <x:c r="G340" s="35" t="str">
        <x:v>Single</x:v>
      </x:c>
      <x:c r="H340" s="35" t="n">
        <x:v>2</x:v>
      </x:c>
      <x:c r="I340" s="36" t="n">
        <x:v>7290</x:v>
      </x:c>
      <x:c r="J340" s="35" t="n">
        <x:v>5</x:v>
      </x:c>
      <x:c r="K340" s="35" t="n">
        <x:v>2</x:v>
      </x:c>
      <x:c r="L340" s="35" t="n">
        <x:v>1</x:v>
      </x:c>
      <x:c r="M340" s="35" t="n">
        <x:v>4</x:v>
      </x:c>
      <x:c r="N340" s="35" t="str">
        <x:v>Yes</x:v>
      </x:c>
      <x:c r="O340" s="35" t="n">
        <x:v>2</x:v>
      </x:c>
      <x:c r="P340" s="35" t="n">
        <x:v>4</x:v>
      </x:c>
      <x:c r="Q340" s="35" t="n">
        <x:v>3</x:v>
      </x:c>
      <x:c r="R340" s="35" t="n">
        <x:v>3</x:v>
      </x:c>
      <x:c r="S340" s="35" t="n">
        <x:v>4</x:v>
      </x:c>
      <x:c r="T340" s="35" t="n">
        <x:v>2</x:v>
      </x:c>
      <x:c r="U340" s="35" t="n">
        <x:v>0</x:v>
      </x:c>
      <x:c r="V340" s="35" t="n">
        <x:v>2</x:v>
      </x:c>
      <x:c r="W340" s="35" t="n">
        <x:v>10</x:v>
      </x:c>
      <x:c r="X340" s="35" t="n">
        <x:v>85</x:v>
      </x:c>
      <x:c r="Y340" s="35" t="n">
        <x:v>5</x:v>
      </x:c>
      <x:c r="Z340" s="35" t="n">
        <x:v>100</x:v>
      </x:c>
      <x:c r="AA340" s="35" t="n">
        <x:v>8</x:v>
      </x:c>
      <x:c r="AB340" s="35" t="n">
        <x:v>7</x:v>
      </x:c>
      <x:c r="AC340" s="35" t="n">
        <x:v>6</x:v>
      </x:c>
      <x:c r="AD340" s="35" t="n">
        <x:v>88</x:v>
      </x:c>
      <x:c r="AE340" s="35" t="n">
        <x:v>100</x:v>
      </x:c>
      <x:c r="AF340" s="35" t="n">
        <x:v>88</x:v>
      </x:c>
      <x:c r="AG340" s="35" t="n">
        <x:v>98</x:v>
      </x:c>
      <x:c r="AH340" s="35" t="n">
        <x:v>7</x:v>
      </x:c>
      <x:c r="AI340" s="37" t="n">
        <x:v>100</x:v>
      </x:c>
      <x:c r="AJ340" s="37" t="n">
        <x:v>100</x:v>
      </x:c>
      <x:c r="AK340" s="35" t="str">
        <x:v>No</x:v>
      </x:c>
      <x:c r="AL340" s="38" t="n">
        <x:f>IF(AA340=0,0,AB340/AA340)</x:f>
        <x:v>0.875</x:v>
      </x:c>
      <x:c r="AM340" s="38" t="n">
        <x:f>IF(AB340=0,0,AC340/AB340)</x:f>
        <x:v>0.8571428571428571</x:v>
      </x:c>
      <x:c r="AN340" s="37" t="n">
        <x:f>ROUND((AD340*0.20+AE340*0.20+AF340*0.25+AG340*0.15+MIN(100,AC340*12)*0.20),1)</x:f>
        <x:v>88.7</x:v>
      </x:c>
      <x:c r="AO340" s="37" t="n">
        <x:f>ROUND(MAX(0,MIN(100,(X340*0.35)+(W340/45*100*0.20)+((5-O340)/4*100*0.15)+((5-P340)/4*100*0.10)+((6-Y340)/5*100*0.10)+((100-Z340)*0.10))),1)</x:f>
        <x:v>49.9</x:v>
      </x:c>
      <x:c r="AP340" s="37" t="str">
        <x:f>IF(AO340&gt;=70,"High",IF(AO340&gt;=40,"Moderate","Low"))</x:f>
        <x:v>Moderate</x:v>
      </x:c>
      <x:c r="AQ340" s="37" t="n">
        <x:f>ROUND(MAX(0,MIN(100,(O340/4*100*0.25)+(P340/4*100*0.20)+(Q340/4*100*0.15)+(Y340/5*100*0.20)+(100-AO340)*0.20)),1)</x:f>
        <x:v>73.8</x:v>
      </x:c>
      <x:c r="AR340" s="37" t="n">
        <x:f>ROUND((AI340*0.20+AJ340*0.15+AN340*0.18+AG340*0.12+Z340*0.15+AQ340*0.20),1)</x:f>
        <x:v>92.5</x:v>
      </x:c>
      <x:c r="AS340" s="39" t="n">
        <x:f>ROUND((AC340*AF340*120)+(AH340*350)+(MAX(0,AI340-75)*220)+(MAX(0,AQ340-60)*100),0)</x:f>
        <x:v>72690</x:v>
      </x:c>
    </x:row>
    <x:row r="341">
      <x:c r="A341" s="35" t="n">
        <x:v>340</x:v>
      </x:c>
      <x:c r="B341" s="35" t="n">
        <x:v>29</x:v>
      </x:c>
      <x:c r="C341" s="35" t="str">
        <x:v>Male</x:v>
      </x:c>
      <x:c r="D341" s="35" t="str">
        <x:v>Research &amp; Development</x:v>
      </x:c>
      <x:c r="E341" s="35" t="str">
        <x:v>Research Scientist</x:v>
      </x:c>
      <x:c r="F341" s="35" t="str">
        <x:v>Medical</x:v>
      </x:c>
      <x:c r="G341" s="35" t="str">
        <x:v>Divorced</x:v>
      </x:c>
      <x:c r="H341" s="35" t="n">
        <x:v>1</x:v>
      </x:c>
      <x:c r="I341" s="36" t="n">
        <x:v>6400</x:v>
      </x:c>
      <x:c r="J341" s="35" t="n">
        <x:v>6</x:v>
      </x:c>
      <x:c r="K341" s="35" t="n">
        <x:v>3</x:v>
      </x:c>
      <x:c r="L341" s="35" t="n">
        <x:v>1</x:v>
      </x:c>
      <x:c r="M341" s="35" t="n">
        <x:v>15</x:v>
      </x:c>
      <x:c r="N341" s="35" t="str">
        <x:v>No</x:v>
      </x:c>
      <x:c r="O341" s="35" t="n">
        <x:v>2</x:v>
      </x:c>
      <x:c r="P341" s="35" t="n">
        <x:v>3</x:v>
      </x:c>
      <x:c r="Q341" s="35" t="n">
        <x:v>2</x:v>
      </x:c>
      <x:c r="R341" s="35" t="n">
        <x:v>2</x:v>
      </x:c>
      <x:c r="S341" s="35" t="n">
        <x:v>3</x:v>
      </x:c>
      <x:c r="T341" s="35" t="n">
        <x:v>3</x:v>
      </x:c>
      <x:c r="U341" s="35" t="n">
        <x:v>0</x:v>
      </x:c>
      <x:c r="V341" s="35" t="n">
        <x:v>0</x:v>
      </x:c>
      <x:c r="W341" s="35" t="n">
        <x:v>0</x:v>
      </x:c>
      <x:c r="X341" s="35" t="n">
        <x:v>59</x:v>
      </x:c>
      <x:c r="Y341" s="35" t="n">
        <x:v>5</x:v>
      </x:c>
      <x:c r="Z341" s="35" t="n">
        <x:v>86</x:v>
      </x:c>
      <x:c r="AA341" s="35" t="n">
        <x:v>5</x:v>
      </x:c>
      <x:c r="AB341" s="35" t="n">
        <x:v>4</x:v>
      </x:c>
      <x:c r="AC341" s="35" t="n">
        <x:v>4</x:v>
      </x:c>
      <x:c r="AD341" s="35" t="n">
        <x:v>89</x:v>
      </x:c>
      <x:c r="AE341" s="35" t="n">
        <x:v>86</x:v>
      </x:c>
      <x:c r="AF341" s="35" t="n">
        <x:v>77</x:v>
      </x:c>
      <x:c r="AG341" s="35" t="n">
        <x:v>85</x:v>
      </x:c>
      <x:c r="AH341" s="35" t="n">
        <x:v>10</x:v>
      </x:c>
      <x:c r="AI341" s="37" t="n">
        <x:v>91.7</x:v>
      </x:c>
      <x:c r="AJ341" s="37" t="n">
        <x:v>99.6</x:v>
      </x:c>
      <x:c r="AK341" s="35" t="str">
        <x:v>No</x:v>
      </x:c>
      <x:c r="AL341" s="38" t="n">
        <x:f>IF(AA341=0,0,AB341/AA341)</x:f>
        <x:v>0.8</x:v>
      </x:c>
      <x:c r="AM341" s="38" t="n">
        <x:f>IF(AB341=0,0,AC341/AB341)</x:f>
        <x:v>1</x:v>
      </x:c>
      <x:c r="AN341" s="37" t="n">
        <x:f>ROUND((AD341*0.20+AE341*0.20+AF341*0.25+AG341*0.15+MIN(100,AC341*12)*0.20),1)</x:f>
        <x:v>76.6</x:v>
      </x:c>
      <x:c r="AO341" s="37" t="n">
        <x:f>ROUND(MAX(0,MIN(100,(X341*0.35)+(W341/45*100*0.20)+((5-O341)/4*100*0.15)+((5-P341)/4*100*0.10)+((6-Y341)/5*100*0.10)+((100-Z341)*0.10))),1)</x:f>
        <x:v>40.3</x:v>
      </x:c>
      <x:c r="AP341" s="37" t="str">
        <x:f>IF(AO341&gt;=70,"High",IF(AO341&gt;=40,"Moderate","Low"))</x:f>
        <x:v>Moderate</x:v>
      </x:c>
      <x:c r="AQ341" s="37" t="n">
        <x:f>ROUND(MAX(0,MIN(100,(O341/4*100*0.25)+(P341/4*100*0.20)+(Q341/4*100*0.15)+(Y341/5*100*0.20)+(100-AO341)*0.20)),1)</x:f>
        <x:v>66.9</x:v>
      </x:c>
      <x:c r="AR341" s="37" t="n">
        <x:f>ROUND((AI341*0.20+AJ341*0.15+AN341*0.18+AG341*0.12+Z341*0.15+AQ341*0.20),1)</x:f>
        <x:v>83.5</x:v>
      </x:c>
      <x:c r="AS341" s="39" t="n">
        <x:f>ROUND((AC341*AF341*120)+(AH341*350)+(MAX(0,AI341-75)*220)+(MAX(0,AQ341-60)*100),0)</x:f>
        <x:v>44824</x:v>
      </x:c>
    </x:row>
    <x:row r="342">
      <x:c r="A342" s="35" t="n">
        <x:v>341</x:v>
      </x:c>
      <x:c r="B342" s="35" t="n">
        <x:v>43</x:v>
      </x:c>
      <x:c r="C342" s="35" t="str">
        <x:v>Male</x:v>
      </x:c>
      <x:c r="D342" s="35" t="str">
        <x:v>Sales</x:v>
      </x:c>
      <x:c r="E342" s="35" t="str">
        <x:v>Sales Representative</x:v>
      </x:c>
      <x:c r="F342" s="35" t="str">
        <x:v>Human Resources</x:v>
      </x:c>
      <x:c r="G342" s="35" t="str">
        <x:v>Divorced</x:v>
      </x:c>
      <x:c r="H342" s="35" t="n">
        <x:v>3</x:v>
      </x:c>
      <x:c r="I342" s="36" t="n">
        <x:v>13590</x:v>
      </x:c>
      <x:c r="J342" s="35" t="n">
        <x:v>12</x:v>
      </x:c>
      <x:c r="K342" s="35" t="n">
        <x:v>6</x:v>
      </x:c>
      <x:c r="L342" s="35" t="n">
        <x:v>5</x:v>
      </x:c>
      <x:c r="M342" s="35" t="n">
        <x:v>10</x:v>
      </x:c>
      <x:c r="N342" s="35" t="str">
        <x:v>No</x:v>
      </x:c>
      <x:c r="O342" s="35" t="n">
        <x:v>3</x:v>
      </x:c>
      <x:c r="P342" s="35" t="n">
        <x:v>4</x:v>
      </x:c>
      <x:c r="Q342" s="35" t="n">
        <x:v>4</x:v>
      </x:c>
      <x:c r="R342" s="35" t="n">
        <x:v>1</x:v>
      </x:c>
      <x:c r="S342" s="35" t="n">
        <x:v>4</x:v>
      </x:c>
      <x:c r="T342" s="35" t="n">
        <x:v>4</x:v>
      </x:c>
      <x:c r="U342" s="35" t="n">
        <x:v>2</x:v>
      </x:c>
      <x:c r="V342" s="35" t="n">
        <x:v>11</x:v>
      </x:c>
      <x:c r="W342" s="35" t="n">
        <x:v>6</x:v>
      </x:c>
      <x:c r="X342" s="35" t="n">
        <x:v>66</x:v>
      </x:c>
      <x:c r="Y342" s="35" t="n">
        <x:v>5</x:v>
      </x:c>
      <x:c r="Z342" s="35" t="n">
        <x:v>90</x:v>
      </x:c>
      <x:c r="AA342" s="35" t="n">
        <x:v>3</x:v>
      </x:c>
      <x:c r="AB342" s="35" t="n">
        <x:v>1</x:v>
      </x:c>
      <x:c r="AC342" s="35" t="n">
        <x:v>0</x:v>
      </x:c>
      <x:c r="AD342" s="35" t="n">
        <x:v>44</x:v>
      </x:c>
      <x:c r="AE342" s="35" t="n">
        <x:v>69</x:v>
      </x:c>
      <x:c r="AF342" s="35" t="n">
        <x:v>74</x:v>
      </x:c>
      <x:c r="AG342" s="35" t="n">
        <x:v>66</x:v>
      </x:c>
      <x:c r="AH342" s="35" t="n">
        <x:v>6</x:v>
      </x:c>
      <x:c r="AI342" s="37" t="n">
        <x:v>100</x:v>
      </x:c>
      <x:c r="AJ342" s="37" t="n">
        <x:v>94.1</x:v>
      </x:c>
      <x:c r="AK342" s="35" t="str">
        <x:v>No</x:v>
      </x:c>
      <x:c r="AL342" s="38" t="n">
        <x:f>IF(AA342=0,0,AB342/AA342)</x:f>
        <x:v>0.3333333333333333</x:v>
      </x:c>
      <x:c r="AM342" s="38" t="n">
        <x:f>IF(AB342=0,0,AC342/AB342)</x:f>
        <x:v>0</x:v>
      </x:c>
      <x:c r="AN342" s="37" t="n">
        <x:f>ROUND((AD342*0.20+AE342*0.20+AF342*0.25+AG342*0.15+MIN(100,AC342*12)*0.20),1)</x:f>
        <x:v>51</x:v>
      </x:c>
      <x:c r="AO342" s="37" t="n">
        <x:f>ROUND(MAX(0,MIN(100,(X342*0.35)+(W342/45*100*0.20)+((5-O342)/4*100*0.15)+((5-P342)/4*100*0.10)+((6-Y342)/5*100*0.10)+((100-Z342)*0.10))),1)</x:f>
        <x:v>38.8</x:v>
      </x:c>
      <x:c r="AP342" s="37" t="str">
        <x:f>IF(AO342&gt;=70,"High",IF(AO342&gt;=40,"Moderate","Low"))</x:f>
        <x:v>Low</x:v>
      </x:c>
      <x:c r="AQ342" s="37" t="n">
        <x:f>ROUND(MAX(0,MIN(100,(O342/4*100*0.25)+(P342/4*100*0.20)+(Q342/4*100*0.15)+(Y342/5*100*0.20)+(100-AO342)*0.20)),1)</x:f>
        <x:v>86</x:v>
      </x:c>
      <x:c r="AR342" s="37" t="n">
        <x:f>ROUND((AI342*0.20+AJ342*0.15+AN342*0.18+AG342*0.12+Z342*0.15+AQ342*0.20),1)</x:f>
        <x:v>81.9</x:v>
      </x:c>
      <x:c r="AS342" s="39" t="n">
        <x:f>ROUND((AC342*AF342*120)+(AH342*350)+(MAX(0,AI342-75)*220)+(MAX(0,AQ342-60)*100),0)</x:f>
        <x:v>10200</x:v>
      </x:c>
    </x:row>
    <x:row r="343">
      <x:c r="A343" s="35" t="n">
        <x:v>342</x:v>
      </x:c>
      <x:c r="B343" s="35" t="n">
        <x:v>42</x:v>
      </x:c>
      <x:c r="C343" s="35" t="str">
        <x:v>Female</x:v>
      </x:c>
      <x:c r="D343" s="35" t="str">
        <x:v>Operations</x:v>
      </x:c>
      <x:c r="E343" s="35" t="str">
        <x:v>Operations Manager</x:v>
      </x:c>
      <x:c r="F343" s="35" t="str">
        <x:v>Medical</x:v>
      </x:c>
      <x:c r="G343" s="35" t="str">
        <x:v>Divorced</x:v>
      </x:c>
      <x:c r="H343" s="35" t="n">
        <x:v>3</x:v>
      </x:c>
      <x:c r="I343" s="36" t="n">
        <x:v>12010</x:v>
      </x:c>
      <x:c r="J343" s="35" t="n">
        <x:v>15</x:v>
      </x:c>
      <x:c r="K343" s="35" t="n">
        <x:v>5</x:v>
      </x:c>
      <x:c r="L343" s="35" t="n">
        <x:v>3</x:v>
      </x:c>
      <x:c r="M343" s="35" t="n">
        <x:v>7</x:v>
      </x:c>
      <x:c r="N343" s="35" t="str">
        <x:v>Yes</x:v>
      </x:c>
      <x:c r="O343" s="35" t="n">
        <x:v>2</x:v>
      </x:c>
      <x:c r="P343" s="35" t="n">
        <x:v>3</x:v>
      </x:c>
      <x:c r="Q343" s="35" t="n">
        <x:v>4</x:v>
      </x:c>
      <x:c r="R343" s="35" t="n">
        <x:v>3</x:v>
      </x:c>
      <x:c r="S343" s="35" t="n">
        <x:v>3</x:v>
      </x:c>
      <x:c r="T343" s="35" t="n">
        <x:v>1</x:v>
      </x:c>
      <x:c r="U343" s="35" t="n">
        <x:v>0</x:v>
      </x:c>
      <x:c r="V343" s="35" t="n">
        <x:v>9</x:v>
      </x:c>
      <x:c r="W343" s="35" t="n">
        <x:v>25</x:v>
      </x:c>
      <x:c r="X343" s="35" t="n">
        <x:v>92</x:v>
      </x:c>
      <x:c r="Y343" s="35" t="n">
        <x:v>4</x:v>
      </x:c>
      <x:c r="Z343" s="35" t="n">
        <x:v>100</x:v>
      </x:c>
      <x:c r="AA343" s="35" t="n">
        <x:v>8</x:v>
      </x:c>
      <x:c r="AB343" s="35" t="n">
        <x:v>7</x:v>
      </x:c>
      <x:c r="AC343" s="35" t="n">
        <x:v>4</x:v>
      </x:c>
      <x:c r="AD343" s="35" t="n">
        <x:v>83</x:v>
      </x:c>
      <x:c r="AE343" s="35" t="n">
        <x:v>73</x:v>
      </x:c>
      <x:c r="AF343" s="35" t="n">
        <x:v>60</x:v>
      </x:c>
      <x:c r="AG343" s="35" t="n">
        <x:v>89</x:v>
      </x:c>
      <x:c r="AH343" s="35" t="n">
        <x:v>7</x:v>
      </x:c>
      <x:c r="AI343" s="37" t="n">
        <x:v>90.3</x:v>
      </x:c>
      <x:c r="AJ343" s="37" t="n">
        <x:v>90.6</x:v>
      </x:c>
      <x:c r="AK343" s="35" t="str">
        <x:v>No</x:v>
      </x:c>
      <x:c r="AL343" s="38" t="n">
        <x:f>IF(AA343=0,0,AB343/AA343)</x:f>
        <x:v>0.875</x:v>
      </x:c>
      <x:c r="AM343" s="38" t="n">
        <x:f>IF(AB343=0,0,AC343/AB343)</x:f>
        <x:v>0.5714285714285714</x:v>
      </x:c>
      <x:c r="AN343" s="37" t="n">
        <x:f>ROUND((AD343*0.20+AE343*0.20+AF343*0.25+AG343*0.15+MIN(100,AC343*12)*0.20),1)</x:f>
        <x:v>69.2</x:v>
      </x:c>
      <x:c r="AO343" s="37" t="n">
        <x:f>ROUND(MAX(0,MIN(100,(X343*0.35)+(W343/45*100*0.20)+((5-O343)/4*100*0.15)+((5-P343)/4*100*0.10)+((6-Y343)/5*100*0.10)+((100-Z343)*0.10))),1)</x:f>
        <x:v>63.6</x:v>
      </x:c>
      <x:c r="AP343" s="37" t="str">
        <x:f>IF(AO343&gt;=70,"High",IF(AO343&gt;=40,"Moderate","Low"))</x:f>
        <x:v>Moderate</x:v>
      </x:c>
      <x:c r="AQ343" s="37" t="n">
        <x:f>ROUND(MAX(0,MIN(100,(O343/4*100*0.25)+(P343/4*100*0.20)+(Q343/4*100*0.15)+(Y343/5*100*0.20)+(100-AO343)*0.20)),1)</x:f>
        <x:v>65.8</x:v>
      </x:c>
      <x:c r="AR343" s="37" t="n">
        <x:f>ROUND((AI343*0.20+AJ343*0.15+AN343*0.18+AG343*0.12+Z343*0.15+AQ343*0.20),1)</x:f>
        <x:v>82.9</x:v>
      </x:c>
      <x:c r="AS343" s="39" t="n">
        <x:f>ROUND((AC343*AF343*120)+(AH343*350)+(MAX(0,AI343-75)*220)+(MAX(0,AQ343-60)*100),0)</x:f>
        <x:v>35196</x:v>
      </x:c>
    </x:row>
    <x:row r="344">
      <x:c r="A344" s="35" t="n">
        <x:v>343</x:v>
      </x:c>
      <x:c r="B344" s="35" t="n">
        <x:v>33</x:v>
      </x:c>
      <x:c r="C344" s="35" t="str">
        <x:v>Female</x:v>
      </x:c>
      <x:c r="D344" s="35" t="str">
        <x:v>Sales</x:v>
      </x:c>
      <x:c r="E344" s="35" t="str">
        <x:v>Sales Executive</x:v>
      </x:c>
      <x:c r="F344" s="35" t="str">
        <x:v>Marketing</x:v>
      </x:c>
      <x:c r="G344" s="35" t="str">
        <x:v>Single</x:v>
      </x:c>
      <x:c r="H344" s="35" t="n">
        <x:v>1</x:v>
      </x:c>
      <x:c r="I344" s="36" t="n">
        <x:v>4000</x:v>
      </x:c>
      <x:c r="J344" s="35" t="n">
        <x:v>7</x:v>
      </x:c>
      <x:c r="K344" s="35" t="n">
        <x:v>4</x:v>
      </x:c>
      <x:c r="L344" s="35" t="n">
        <x:v>2</x:v>
      </x:c>
      <x:c r="M344" s="35" t="n">
        <x:v>3</x:v>
      </x:c>
      <x:c r="N344" s="35" t="str">
        <x:v>No</x:v>
      </x:c>
      <x:c r="O344" s="35" t="n">
        <x:v>1</x:v>
      </x:c>
      <x:c r="P344" s="35" t="n">
        <x:v>3</x:v>
      </x:c>
      <x:c r="Q344" s="35" t="n">
        <x:v>2</x:v>
      </x:c>
      <x:c r="R344" s="35" t="n">
        <x:v>3</x:v>
      </x:c>
      <x:c r="S344" s="35" t="n">
        <x:v>4</x:v>
      </x:c>
      <x:c r="T344" s="35" t="n">
        <x:v>2</x:v>
      </x:c>
      <x:c r="U344" s="35" t="n">
        <x:v>2</x:v>
      </x:c>
      <x:c r="V344" s="35" t="n">
        <x:v>3</x:v>
      </x:c>
      <x:c r="W344" s="35" t="n">
        <x:v>0</x:v>
      </x:c>
      <x:c r="X344" s="35" t="n">
        <x:v>58</x:v>
      </x:c>
      <x:c r="Y344" s="35" t="n">
        <x:v>4</x:v>
      </x:c>
      <x:c r="Z344" s="35" t="n">
        <x:v>100</x:v>
      </x:c>
      <x:c r="AA344" s="35" t="n">
        <x:v>6</x:v>
      </x:c>
      <x:c r="AB344" s="35" t="n">
        <x:v>4</x:v>
      </x:c>
      <x:c r="AC344" s="35" t="n">
        <x:v>3</x:v>
      </x:c>
      <x:c r="AD344" s="35" t="n">
        <x:v>52</x:v>
      </x:c>
      <x:c r="AE344" s="35" t="n">
        <x:v>82</x:v>
      </x:c>
      <x:c r="AF344" s="35" t="n">
        <x:v>72</x:v>
      </x:c>
      <x:c r="AG344" s="35" t="n">
        <x:v>88</x:v>
      </x:c>
      <x:c r="AH344" s="35" t="n">
        <x:v>11</x:v>
      </x:c>
      <x:c r="AI344" s="37" t="n">
        <x:v>100</x:v>
      </x:c>
      <x:c r="AJ344" s="37" t="n">
        <x:v>100</x:v>
      </x:c>
      <x:c r="AK344" s="35" t="str">
        <x:v>No</x:v>
      </x:c>
      <x:c r="AL344" s="38" t="n">
        <x:f>IF(AA344=0,0,AB344/AA344)</x:f>
        <x:v>0.6666666666666666</x:v>
      </x:c>
      <x:c r="AM344" s="38" t="n">
        <x:f>IF(AB344=0,0,AC344/AB344)</x:f>
        <x:v>0.75</x:v>
      </x:c>
      <x:c r="AN344" s="37" t="n">
        <x:f>ROUND((AD344*0.20+AE344*0.20+AF344*0.25+AG344*0.15+MIN(100,AC344*12)*0.20),1)</x:f>
        <x:v>65.2</x:v>
      </x:c>
      <x:c r="AO344" s="37" t="n">
        <x:f>ROUND(MAX(0,MIN(100,(X344*0.35)+(W344/45*100*0.20)+((5-O344)/4*100*0.15)+((5-P344)/4*100*0.10)+((6-Y344)/5*100*0.10)+((100-Z344)*0.10))),1)</x:f>
        <x:v>44.3</x:v>
      </x:c>
      <x:c r="AP344" s="37" t="str">
        <x:f>IF(AO344&gt;=70,"High",IF(AO344&gt;=40,"Moderate","Low"))</x:f>
        <x:v>Moderate</x:v>
      </x:c>
      <x:c r="AQ344" s="37" t="n">
        <x:f>ROUND(MAX(0,MIN(100,(O344/4*100*0.25)+(P344/4*100*0.20)+(Q344/4*100*0.15)+(Y344/5*100*0.20)+(100-AO344)*0.20)),1)</x:f>
        <x:v>55.9</x:v>
      </x:c>
      <x:c r="AR344" s="37" t="n">
        <x:f>ROUND((AI344*0.20+AJ344*0.15+AN344*0.18+AG344*0.12+Z344*0.15+AQ344*0.20),1)</x:f>
        <x:v>83.5</x:v>
      </x:c>
      <x:c r="AS344" s="39" t="n">
        <x:f>ROUND((AC344*AF344*120)+(AH344*350)+(MAX(0,AI344-75)*220)+(MAX(0,AQ344-60)*100),0)</x:f>
        <x:v>35270</x:v>
      </x:c>
    </x:row>
    <x:row r="345">
      <x:c r="A345" s="35" t="n">
        <x:v>344</x:v>
      </x:c>
      <x:c r="B345" s="35" t="n">
        <x:v>45</x:v>
      </x:c>
      <x:c r="C345" s="35" t="str">
        <x:v>Female</x:v>
      </x:c>
      <x:c r="D345" s="35" t="str">
        <x:v>Finance</x:v>
      </x:c>
      <x:c r="E345" s="35" t="str">
        <x:v>Financial Analyst</x:v>
      </x:c>
      <x:c r="F345" s="35" t="str">
        <x:v>Business</x:v>
      </x:c>
      <x:c r="G345" s="35" t="str">
        <x:v>Married</x:v>
      </x:c>
      <x:c r="H345" s="35" t="n">
        <x:v>2</x:v>
      </x:c>
      <x:c r="I345" s="36" t="n">
        <x:v>7820</x:v>
      </x:c>
      <x:c r="J345" s="35" t="n">
        <x:v>19</x:v>
      </x:c>
      <x:c r="K345" s="35" t="n">
        <x:v>15</x:v>
      </x:c>
      <x:c r="L345" s="35" t="n">
        <x:v>6</x:v>
      </x:c>
      <x:c r="M345" s="35" t="n">
        <x:v>14</x:v>
      </x:c>
      <x:c r="N345" s="35" t="str">
        <x:v>No</x:v>
      </x:c>
      <x:c r="O345" s="35" t="n">
        <x:v>2</x:v>
      </x:c>
      <x:c r="P345" s="35" t="n">
        <x:v>4</x:v>
      </x:c>
      <x:c r="Q345" s="35" t="n">
        <x:v>3</x:v>
      </x:c>
      <x:c r="R345" s="35" t="n">
        <x:v>3</x:v>
      </x:c>
      <x:c r="S345" s="35" t="n">
        <x:v>3</x:v>
      </x:c>
      <x:c r="T345" s="35" t="n">
        <x:v>3</x:v>
      </x:c>
      <x:c r="U345" s="35" t="n">
        <x:v>0</x:v>
      </x:c>
      <x:c r="V345" s="35" t="n">
        <x:v>1</x:v>
      </x:c>
      <x:c r="W345" s="35" t="n">
        <x:v>0</x:v>
      </x:c>
      <x:c r="X345" s="35" t="n">
        <x:v>74</x:v>
      </x:c>
      <x:c r="Y345" s="35" t="n">
        <x:v>4</x:v>
      </x:c>
      <x:c r="Z345" s="35" t="n">
        <x:v>100</x:v>
      </x:c>
      <x:c r="AA345" s="35" t="n">
        <x:v>4</x:v>
      </x:c>
      <x:c r="AB345" s="35" t="n">
        <x:v>3</x:v>
      </x:c>
      <x:c r="AC345" s="35" t="n">
        <x:v>3</x:v>
      </x:c>
      <x:c r="AD345" s="35" t="n">
        <x:v>63</x:v>
      </x:c>
      <x:c r="AE345" s="35" t="n">
        <x:v>61</x:v>
      </x:c>
      <x:c r="AF345" s="35" t="n">
        <x:v>88</x:v>
      </x:c>
      <x:c r="AG345" s="35" t="n">
        <x:v>100</x:v>
      </x:c>
      <x:c r="AH345" s="35" t="n">
        <x:v>8</x:v>
      </x:c>
      <x:c r="AI345" s="37" t="n">
        <x:v>100</x:v>
      </x:c>
      <x:c r="AJ345" s="37" t="n">
        <x:v>93.3</x:v>
      </x:c>
      <x:c r="AK345" s="35" t="str">
        <x:v>Yes</x:v>
      </x:c>
      <x:c r="AL345" s="38" t="n">
        <x:f>IF(AA345=0,0,AB345/AA345)</x:f>
        <x:v>0.75</x:v>
      </x:c>
      <x:c r="AM345" s="38" t="n">
        <x:f>IF(AB345=0,0,AC345/AB345)</x:f>
        <x:v>1</x:v>
      </x:c>
      <x:c r="AN345" s="37" t="n">
        <x:f>ROUND((AD345*0.20+AE345*0.20+AF345*0.25+AG345*0.15+MIN(100,AC345*12)*0.20),1)</x:f>
        <x:v>69</x:v>
      </x:c>
      <x:c r="AO345" s="37" t="n">
        <x:f>ROUND(MAX(0,MIN(100,(X345*0.35)+(W345/45*100*0.20)+((5-O345)/4*100*0.15)+((5-P345)/4*100*0.10)+((6-Y345)/5*100*0.10)+((100-Z345)*0.10))),1)</x:f>
        <x:v>43.7</x:v>
      </x:c>
      <x:c r="AP345" s="37" t="str">
        <x:f>IF(AO345&gt;=70,"High",IF(AO345&gt;=40,"Moderate","Low"))</x:f>
        <x:v>Moderate</x:v>
      </x:c>
      <x:c r="AQ345" s="37" t="n">
        <x:f>ROUND(MAX(0,MIN(100,(O345/4*100*0.25)+(P345/4*100*0.20)+(Q345/4*100*0.15)+(Y345/5*100*0.20)+(100-AO345)*0.20)),1)</x:f>
        <x:v>71</x:v>
      </x:c>
      <x:c r="AR345" s="37" t="n">
        <x:f>ROUND((AI345*0.20+AJ345*0.15+AN345*0.18+AG345*0.12+Z345*0.15+AQ345*0.20),1)</x:f>
        <x:v>87.6</x:v>
      </x:c>
      <x:c r="AS345" s="39" t="n">
        <x:f>ROUND((AC345*AF345*120)+(AH345*350)+(MAX(0,AI345-75)*220)+(MAX(0,AQ345-60)*100),0)</x:f>
        <x:v>41080</x:v>
      </x:c>
    </x:row>
    <x:row r="346">
      <x:c r="A346" s="35" t="n">
        <x:v>345</x:v>
      </x:c>
      <x:c r="B346" s="35" t="n">
        <x:v>34</x:v>
      </x:c>
      <x:c r="C346" s="35" t="str">
        <x:v>Female</x:v>
      </x:c>
      <x:c r="D346" s="35" t="str">
        <x:v>Human Resources</x:v>
      </x:c>
      <x:c r="E346" s="35" t="str">
        <x:v>HR Specialist</x:v>
      </x:c>
      <x:c r="F346" s="35" t="str">
        <x:v>Computer Science</x:v>
      </x:c>
      <x:c r="G346" s="35" t="str">
        <x:v>Married</x:v>
      </x:c>
      <x:c r="H346" s="35" t="n">
        <x:v>1</x:v>
      </x:c>
      <x:c r="I346" s="36" t="n">
        <x:v>5870</x:v>
      </x:c>
      <x:c r="J346" s="35" t="n">
        <x:v>8</x:v>
      </x:c>
      <x:c r="K346" s="35" t="n">
        <x:v>5</x:v>
      </x:c>
      <x:c r="L346" s="35" t="n">
        <x:v>4</x:v>
      </x:c>
      <x:c r="M346" s="35" t="n">
        <x:v>12</x:v>
      </x:c>
      <x:c r="N346" s="35" t="str">
        <x:v>Yes</x:v>
      </x:c>
      <x:c r="O346" s="35" t="n">
        <x:v>2</x:v>
      </x:c>
      <x:c r="P346" s="35" t="n">
        <x:v>3</x:v>
      </x:c>
      <x:c r="Q346" s="35" t="n">
        <x:v>4</x:v>
      </x:c>
      <x:c r="R346" s="35" t="n">
        <x:v>3</x:v>
      </x:c>
      <x:c r="S346" s="35" t="n">
        <x:v>3</x:v>
      </x:c>
      <x:c r="T346" s="35" t="n">
        <x:v>5</x:v>
      </x:c>
      <x:c r="U346" s="35" t="n">
        <x:v>0</x:v>
      </x:c>
      <x:c r="V346" s="35" t="n">
        <x:v>12</x:v>
      </x:c>
      <x:c r="W346" s="35" t="n">
        <x:v>25</x:v>
      </x:c>
      <x:c r="X346" s="35" t="n">
        <x:v>87</x:v>
      </x:c>
      <x:c r="Y346" s="35" t="n">
        <x:v>4</x:v>
      </x:c>
      <x:c r="Z346" s="35" t="n">
        <x:v>99</x:v>
      </x:c>
      <x:c r="AA346" s="35" t="n">
        <x:v>4</x:v>
      </x:c>
      <x:c r="AB346" s="35" t="n">
        <x:v>2</x:v>
      </x:c>
      <x:c r="AC346" s="35" t="n">
        <x:v>1</x:v>
      </x:c>
      <x:c r="AD346" s="35" t="n">
        <x:v>56</x:v>
      </x:c>
      <x:c r="AE346" s="35" t="n">
        <x:v>72</x:v>
      </x:c>
      <x:c r="AF346" s="35" t="n">
        <x:v>60</x:v>
      </x:c>
      <x:c r="AG346" s="35" t="n">
        <x:v>100</x:v>
      </x:c>
      <x:c r="AH346" s="35" t="n">
        <x:v>2</x:v>
      </x:c>
      <x:c r="AI346" s="37" t="n">
        <x:v>98</x:v>
      </x:c>
      <x:c r="AJ346" s="37" t="n">
        <x:v>94</x:v>
      </x:c>
      <x:c r="AK346" s="35" t="str">
        <x:v>No</x:v>
      </x:c>
      <x:c r="AL346" s="38" t="n">
        <x:f>IF(AA346=0,0,AB346/AA346)</x:f>
        <x:v>0.5</x:v>
      </x:c>
      <x:c r="AM346" s="38" t="n">
        <x:f>IF(AB346=0,0,AC346/AB346)</x:f>
        <x:v>0.5</x:v>
      </x:c>
      <x:c r="AN346" s="37" t="n">
        <x:f>ROUND((AD346*0.20+AE346*0.20+AF346*0.25+AG346*0.15+MIN(100,AC346*12)*0.20),1)</x:f>
        <x:v>58</x:v>
      </x:c>
      <x:c r="AO346" s="37" t="n">
        <x:f>ROUND(MAX(0,MIN(100,(X346*0.35)+(W346/45*100*0.20)+((5-O346)/4*100*0.15)+((5-P346)/4*100*0.10)+((6-Y346)/5*100*0.10)+((100-Z346)*0.10))),1)</x:f>
        <x:v>61.9</x:v>
      </x:c>
      <x:c r="AP346" s="37" t="str">
        <x:f>IF(AO346&gt;=70,"High",IF(AO346&gt;=40,"Moderate","Low"))</x:f>
        <x:v>Moderate</x:v>
      </x:c>
      <x:c r="AQ346" s="37" t="n">
        <x:f>ROUND(MAX(0,MIN(100,(O346/4*100*0.25)+(P346/4*100*0.20)+(Q346/4*100*0.15)+(Y346/5*100*0.20)+(100-AO346)*0.20)),1)</x:f>
        <x:v>66.1</x:v>
      </x:c>
      <x:c r="AR346" s="37" t="n">
        <x:f>ROUND((AI346*0.20+AJ346*0.15+AN346*0.18+AG346*0.12+Z346*0.15+AQ346*0.20),1)</x:f>
        <x:v>84.2</x:v>
      </x:c>
      <x:c r="AS346" s="39" t="n">
        <x:f>ROUND((AC346*AF346*120)+(AH346*350)+(MAX(0,AI346-75)*220)+(MAX(0,AQ346-60)*100),0)</x:f>
        <x:v>13570</x:v>
      </x:c>
    </x:row>
    <x:row r="347">
      <x:c r="A347" s="35" t="n">
        <x:v>346</x:v>
      </x:c>
      <x:c r="B347" s="35" t="n">
        <x:v>28</x:v>
      </x:c>
      <x:c r="C347" s="35" t="str">
        <x:v>Female</x:v>
      </x:c>
      <x:c r="D347" s="35" t="str">
        <x:v>Marketing</x:v>
      </x:c>
      <x:c r="E347" s="35" t="str">
        <x:v>Digital Marketing Analyst</x:v>
      </x:c>
      <x:c r="F347" s="35" t="str">
        <x:v>Human Resources</x:v>
      </x:c>
      <x:c r="G347" s="35" t="str">
        <x:v>Married</x:v>
      </x:c>
      <x:c r="H347" s="35" t="n">
        <x:v>1</x:v>
      </x:c>
      <x:c r="I347" s="36" t="n">
        <x:v>6510</x:v>
      </x:c>
      <x:c r="J347" s="35" t="n">
        <x:v>5</x:v>
      </x:c>
      <x:c r="K347" s="35" t="n">
        <x:v>4</x:v>
      </x:c>
      <x:c r="L347" s="35" t="n">
        <x:v>3</x:v>
      </x:c>
      <x:c r="M347" s="35" t="n">
        <x:v>17</x:v>
      </x:c>
      <x:c r="N347" s="35" t="str">
        <x:v>Yes</x:v>
      </x:c>
      <x:c r="O347" s="35" t="n">
        <x:v>3</x:v>
      </x:c>
      <x:c r="P347" s="35" t="n">
        <x:v>2</x:v>
      </x:c>
      <x:c r="Q347" s="35" t="n">
        <x:v>2</x:v>
      </x:c>
      <x:c r="R347" s="35" t="n">
        <x:v>3</x:v>
      </x:c>
      <x:c r="S347" s="35" t="n">
        <x:v>3</x:v>
      </x:c>
      <x:c r="T347" s="35" t="n">
        <x:v>2</x:v>
      </x:c>
      <x:c r="U347" s="35" t="n">
        <x:v>3</x:v>
      </x:c>
      <x:c r="V347" s="35" t="n">
        <x:v>2</x:v>
      </x:c>
      <x:c r="W347" s="35" t="n">
        <x:v>22</x:v>
      </x:c>
      <x:c r="X347" s="35" t="n">
        <x:v>52</x:v>
      </x:c>
      <x:c r="Y347" s="35" t="n">
        <x:v>4</x:v>
      </x:c>
      <x:c r="Z347" s="35" t="n">
        <x:v>100</x:v>
      </x:c>
      <x:c r="AA347" s="35" t="n">
        <x:v>2</x:v>
      </x:c>
      <x:c r="AB347" s="35" t="n">
        <x:v>1</x:v>
      </x:c>
      <x:c r="AC347" s="35" t="n">
        <x:v>1</x:v>
      </x:c>
      <x:c r="AD347" s="35" t="n">
        <x:v>46</x:v>
      </x:c>
      <x:c r="AE347" s="35" t="n">
        <x:v>84</x:v>
      </x:c>
      <x:c r="AF347" s="35" t="n">
        <x:v>59</x:v>
      </x:c>
      <x:c r="AG347" s="35" t="n">
        <x:v>100</x:v>
      </x:c>
      <x:c r="AH347" s="35" t="n">
        <x:v>4</x:v>
      </x:c>
      <x:c r="AI347" s="37" t="n">
        <x:v>95.6</x:v>
      </x:c>
      <x:c r="AJ347" s="37" t="n">
        <x:v>89.7</x:v>
      </x:c>
      <x:c r="AK347" s="35" t="str">
        <x:v>No</x:v>
      </x:c>
      <x:c r="AL347" s="38" t="n">
        <x:f>IF(AA347=0,0,AB347/AA347)</x:f>
        <x:v>0.5</x:v>
      </x:c>
      <x:c r="AM347" s="38" t="n">
        <x:f>IF(AB347=0,0,AC347/AB347)</x:f>
        <x:v>1</x:v>
      </x:c>
      <x:c r="AN347" s="37" t="n">
        <x:f>ROUND((AD347*0.20+AE347*0.20+AF347*0.25+AG347*0.15+MIN(100,AC347*12)*0.20),1)</x:f>
        <x:v>58.2</x:v>
      </x:c>
      <x:c r="AO347" s="37" t="n">
        <x:f>ROUND(MAX(0,MIN(100,(X347*0.35)+(W347/45*100*0.20)+((5-O347)/4*100*0.15)+((5-P347)/4*100*0.10)+((6-Y347)/5*100*0.10)+((100-Z347)*0.10))),1)</x:f>
        <x:v>47</x:v>
      </x:c>
      <x:c r="AP347" s="37" t="str">
        <x:f>IF(AO347&gt;=70,"High",IF(AO347&gt;=40,"Moderate","Low"))</x:f>
        <x:v>Moderate</x:v>
      </x:c>
      <x:c r="AQ347" s="37" t="n">
        <x:f>ROUND(MAX(0,MIN(100,(O347/4*100*0.25)+(P347/4*100*0.20)+(Q347/4*100*0.15)+(Y347/5*100*0.20)+(100-AO347)*0.20)),1)</x:f>
        <x:v>62.9</x:v>
      </x:c>
      <x:c r="AR347" s="37" t="n">
        <x:f>ROUND((AI347*0.20+AJ347*0.15+AN347*0.18+AG347*0.12+Z347*0.15+AQ347*0.20),1)</x:f>
        <x:v>82.6</x:v>
      </x:c>
      <x:c r="AS347" s="39" t="n">
        <x:f>ROUND((AC347*AF347*120)+(AH347*350)+(MAX(0,AI347-75)*220)+(MAX(0,AQ347-60)*100),0)</x:f>
        <x:v>13302</x:v>
      </x:c>
    </x:row>
    <x:row r="348">
      <x:c r="A348" s="35" t="n">
        <x:v>347</x:v>
      </x:c>
      <x:c r="B348" s="35" t="n">
        <x:v>22</x:v>
      </x:c>
      <x:c r="C348" s="35" t="str">
        <x:v>Female</x:v>
      </x:c>
      <x:c r="D348" s="35" t="str">
        <x:v>Finance</x:v>
      </x:c>
      <x:c r="E348" s="35" t="str">
        <x:v>Finance Manager</x:v>
      </x:c>
      <x:c r="F348" s="35" t="str">
        <x:v>Computer Science</x:v>
      </x:c>
      <x:c r="G348" s="35" t="str">
        <x:v>Divorced</x:v>
      </x:c>
      <x:c r="H348" s="35" t="n">
        <x:v>1</x:v>
      </x:c>
      <x:c r="I348" s="36" t="n">
        <x:v>5340</x:v>
      </x:c>
      <x:c r="J348" s="35" t="n">
        <x:v>1</x:v>
      </x:c>
      <x:c r="K348" s="35" t="n">
        <x:v>0</x:v>
      </x:c>
      <x:c r="L348" s="35" t="n">
        <x:v>0</x:v>
      </x:c>
      <x:c r="M348" s="35" t="n">
        <x:v>5</x:v>
      </x:c>
      <x:c r="N348" s="35" t="str">
        <x:v>Yes</x:v>
      </x:c>
      <x:c r="O348" s="35" t="n">
        <x:v>3</x:v>
      </x:c>
      <x:c r="P348" s="35" t="n">
        <x:v>4</x:v>
      </x:c>
      <x:c r="Q348" s="35" t="n">
        <x:v>1</x:v>
      </x:c>
      <x:c r="R348" s="35" t="n">
        <x:v>3</x:v>
      </x:c>
      <x:c r="S348" s="35" t="n">
        <x:v>3</x:v>
      </x:c>
      <x:c r="T348" s="35" t="n">
        <x:v>5</x:v>
      </x:c>
      <x:c r="U348" s="35" t="n">
        <x:v>1</x:v>
      </x:c>
      <x:c r="V348" s="35" t="n">
        <x:v>8</x:v>
      </x:c>
      <x:c r="W348" s="35" t="n">
        <x:v>26</x:v>
      </x:c>
      <x:c r="X348" s="35" t="n">
        <x:v>80</x:v>
      </x:c>
      <x:c r="Y348" s="35" t="n">
        <x:v>4</x:v>
      </x:c>
      <x:c r="Z348" s="35" t="n">
        <x:v>94</x:v>
      </x:c>
      <x:c r="AA348" s="35" t="n">
        <x:v>6</x:v>
      </x:c>
      <x:c r="AB348" s="35" t="n">
        <x:v>5</x:v>
      </x:c>
      <x:c r="AC348" s="35" t="n">
        <x:v>3</x:v>
      </x:c>
      <x:c r="AD348" s="35" t="n">
        <x:v>71</x:v>
      </x:c>
      <x:c r="AE348" s="35" t="n">
        <x:v>88</x:v>
      </x:c>
      <x:c r="AF348" s="35" t="n">
        <x:v>83</x:v>
      </x:c>
      <x:c r="AG348" s="35" t="n">
        <x:v>83</x:v>
      </x:c>
      <x:c r="AH348" s="35" t="n">
        <x:v>6</x:v>
      </x:c>
      <x:c r="AI348" s="37" t="n">
        <x:v>98.7</x:v>
      </x:c>
      <x:c r="AJ348" s="37" t="n">
        <x:v>93.2</x:v>
      </x:c>
      <x:c r="AK348" s="35" t="str">
        <x:v>No</x:v>
      </x:c>
      <x:c r="AL348" s="38" t="n">
        <x:f>IF(AA348=0,0,AB348/AA348)</x:f>
        <x:v>0.8333333333333334</x:v>
      </x:c>
      <x:c r="AM348" s="38" t="n">
        <x:f>IF(AB348=0,0,AC348/AB348)</x:f>
        <x:v>0.6</x:v>
      </x:c>
      <x:c r="AN348" s="37" t="n">
        <x:f>ROUND((AD348*0.20+AE348*0.20+AF348*0.25+AG348*0.15+MIN(100,AC348*12)*0.20),1)</x:f>
        <x:v>72.2</x:v>
      </x:c>
      <x:c r="AO348" s="37" t="n">
        <x:f>ROUND(MAX(0,MIN(100,(X348*0.35)+(W348/45*100*0.20)+((5-O348)/4*100*0.15)+((5-P348)/4*100*0.10)+((6-Y348)/5*100*0.10)+((100-Z348)*0.10))),1)</x:f>
        <x:v>54.2</x:v>
      </x:c>
      <x:c r="AP348" s="37" t="str">
        <x:f>IF(AO348&gt;=70,"High",IF(AO348&gt;=40,"Moderate","Low"))</x:f>
        <x:v>Moderate</x:v>
      </x:c>
      <x:c r="AQ348" s="37" t="n">
        <x:f>ROUND(MAX(0,MIN(100,(O348/4*100*0.25)+(P348/4*100*0.20)+(Q348/4*100*0.15)+(Y348/5*100*0.20)+(100-AO348)*0.20)),1)</x:f>
        <x:v>67.7</x:v>
      </x:c>
      <x:c r="AR348" s="37" t="n">
        <x:f>ROUND((AI348*0.20+AJ348*0.15+AN348*0.18+AG348*0.12+Z348*0.15+AQ348*0.20),1)</x:f>
        <x:v>84.3</x:v>
      </x:c>
      <x:c r="AS348" s="39" t="n">
        <x:f>ROUND((AC348*AF348*120)+(AH348*350)+(MAX(0,AI348-75)*220)+(MAX(0,AQ348-60)*100),0)</x:f>
        <x:v>37964</x:v>
      </x:c>
    </x:row>
    <x:row r="349">
      <x:c r="A349" s="35" t="n">
        <x:v>348</x:v>
      </x:c>
      <x:c r="B349" s="35" t="n">
        <x:v>60</x:v>
      </x:c>
      <x:c r="C349" s="35" t="str">
        <x:v>Female</x:v>
      </x:c>
      <x:c r="D349" s="35" t="str">
        <x:v>Research &amp; Development</x:v>
      </x:c>
      <x:c r="E349" s="35" t="str">
        <x:v>R&amp;D Manager</x:v>
      </x:c>
      <x:c r="F349" s="35" t="str">
        <x:v>Technical Degree</x:v>
      </x:c>
      <x:c r="G349" s="35" t="str">
        <x:v>Single</x:v>
      </x:c>
      <x:c r="H349" s="35" t="n">
        <x:v>5</x:v>
      </x:c>
      <x:c r="I349" s="36" t="n">
        <x:v>26330</x:v>
      </x:c>
      <x:c r="J349" s="35" t="n">
        <x:v>30</x:v>
      </x:c>
      <x:c r="K349" s="35" t="n">
        <x:v>19</x:v>
      </x:c>
      <x:c r="L349" s="35" t="n">
        <x:v>9</x:v>
      </x:c>
      <x:c r="M349" s="35" t="n">
        <x:v>6</x:v>
      </x:c>
      <x:c r="N349" s="35" t="str">
        <x:v>No</x:v>
      </x:c>
      <x:c r="O349" s="35" t="n">
        <x:v>2</x:v>
      </x:c>
      <x:c r="P349" s="35" t="n">
        <x:v>3</x:v>
      </x:c>
      <x:c r="Q349" s="35" t="n">
        <x:v>4</x:v>
      </x:c>
      <x:c r="R349" s="35" t="n">
        <x:v>3</x:v>
      </x:c>
      <x:c r="S349" s="35" t="n">
        <x:v>4</x:v>
      </x:c>
      <x:c r="T349" s="35" t="n">
        <x:v>5</x:v>
      </x:c>
      <x:c r="U349" s="35" t="n">
        <x:v>1</x:v>
      </x:c>
      <x:c r="V349" s="35" t="n">
        <x:v>2</x:v>
      </x:c>
      <x:c r="W349" s="35" t="n">
        <x:v>4</x:v>
      </x:c>
      <x:c r="X349" s="35" t="n">
        <x:v>63</x:v>
      </x:c>
      <x:c r="Y349" s="35" t="n">
        <x:v>4</x:v>
      </x:c>
      <x:c r="Z349" s="35" t="n">
        <x:v>97</x:v>
      </x:c>
      <x:c r="AA349" s="35" t="n">
        <x:v>11</x:v>
      </x:c>
      <x:c r="AB349" s="35" t="n">
        <x:v>10</x:v>
      </x:c>
      <x:c r="AC349" s="35" t="n">
        <x:v>8</x:v>
      </x:c>
      <x:c r="AD349" s="35" t="n">
        <x:v>100</x:v>
      </x:c>
      <x:c r="AE349" s="35" t="n">
        <x:v>96</x:v>
      </x:c>
      <x:c r="AF349" s="35" t="n">
        <x:v>100</x:v>
      </x:c>
      <x:c r="AG349" s="35" t="n">
        <x:v>95</x:v>
      </x:c>
      <x:c r="AH349" s="35" t="n">
        <x:v>12</x:v>
      </x:c>
      <x:c r="AI349" s="37" t="n">
        <x:v>100</x:v>
      </x:c>
      <x:c r="AJ349" s="37" t="n">
        <x:v>100</x:v>
      </x:c>
      <x:c r="AK349" s="35" t="str">
        <x:v>No</x:v>
      </x:c>
      <x:c r="AL349" s="38" t="n">
        <x:f>IF(AA349=0,0,AB349/AA349)</x:f>
        <x:v>0.9090909090909091</x:v>
      </x:c>
      <x:c r="AM349" s="38" t="n">
        <x:f>IF(AB349=0,0,AC349/AB349)</x:f>
        <x:v>0.8</x:v>
      </x:c>
      <x:c r="AN349" s="37" t="n">
        <x:f>ROUND((AD349*0.20+AE349*0.20+AF349*0.25+AG349*0.15+MIN(100,AC349*12)*0.20),1)</x:f>
        <x:v>97.7</x:v>
      </x:c>
      <x:c r="AO349" s="37" t="n">
        <x:f>ROUND(MAX(0,MIN(100,(X349*0.35)+(W349/45*100*0.20)+((5-O349)/4*100*0.15)+((5-P349)/4*100*0.10)+((6-Y349)/5*100*0.10)+((100-Z349)*0.10))),1)</x:f>
        <x:v>44.4</x:v>
      </x:c>
      <x:c r="AP349" s="37" t="str">
        <x:f>IF(AO349&gt;=70,"High",IF(AO349&gt;=40,"Moderate","Low"))</x:f>
        <x:v>Moderate</x:v>
      </x:c>
      <x:c r="AQ349" s="37" t="n">
        <x:f>ROUND(MAX(0,MIN(100,(O349/4*100*0.25)+(P349/4*100*0.20)+(Q349/4*100*0.15)+(Y349/5*100*0.20)+(100-AO349)*0.20)),1)</x:f>
        <x:v>69.6</x:v>
      </x:c>
      <x:c r="AR349" s="37" t="n">
        <x:f>ROUND((AI349*0.20+AJ349*0.15+AN349*0.18+AG349*0.12+Z349*0.15+AQ349*0.20),1)</x:f>
        <x:v>92.5</x:v>
      </x:c>
      <x:c r="AS349" s="39" t="n">
        <x:f>ROUND((AC349*AF349*120)+(AH349*350)+(MAX(0,AI349-75)*220)+(MAX(0,AQ349-60)*100),0)</x:f>
        <x:v>106660</x:v>
      </x:c>
    </x:row>
    <x:row r="350">
      <x:c r="A350" s="35" t="n">
        <x:v>349</x:v>
      </x:c>
      <x:c r="B350" s="35" t="n">
        <x:v>35</x:v>
      </x:c>
      <x:c r="C350" s="35" t="str">
        <x:v>Male</x:v>
      </x:c>
      <x:c r="D350" s="35" t="str">
        <x:v>Sales</x:v>
      </x:c>
      <x:c r="E350" s="35" t="str">
        <x:v>Sales Representative</x:v>
      </x:c>
      <x:c r="F350" s="35" t="str">
        <x:v>Human Resources</x:v>
      </x:c>
      <x:c r="G350" s="35" t="str">
        <x:v>Married</x:v>
      </x:c>
      <x:c r="H350" s="35" t="n">
        <x:v>2</x:v>
      </x:c>
      <x:c r="I350" s="36" t="n">
        <x:v>9040</x:v>
      </x:c>
      <x:c r="J350" s="35" t="n">
        <x:v>10</x:v>
      </x:c>
      <x:c r="K350" s="35" t="n">
        <x:v>4</x:v>
      </x:c>
      <x:c r="L350" s="35" t="n">
        <x:v>2</x:v>
      </x:c>
      <x:c r="M350" s="35" t="n">
        <x:v>4</x:v>
      </x:c>
      <x:c r="N350" s="35" t="str">
        <x:v>No</x:v>
      </x:c>
      <x:c r="O350" s="35" t="n">
        <x:v>3</x:v>
      </x:c>
      <x:c r="P350" s="35" t="n">
        <x:v>2</x:v>
      </x:c>
      <x:c r="Q350" s="35" t="n">
        <x:v>3</x:v>
      </x:c>
      <x:c r="R350" s="35" t="n">
        <x:v>2</x:v>
      </x:c>
      <x:c r="S350" s="35" t="n">
        <x:v>3</x:v>
      </x:c>
      <x:c r="T350" s="35" t="n">
        <x:v>2</x:v>
      </x:c>
      <x:c r="U350" s="35" t="n">
        <x:v>2</x:v>
      </x:c>
      <x:c r="V350" s="35" t="n">
        <x:v>10</x:v>
      </x:c>
      <x:c r="W350" s="35" t="n">
        <x:v>9</x:v>
      </x:c>
      <x:c r="X350" s="35" t="n">
        <x:v>55</x:v>
      </x:c>
      <x:c r="Y350" s="35" t="n">
        <x:v>5</x:v>
      </x:c>
      <x:c r="Z350" s="35" t="n">
        <x:v>99</x:v>
      </x:c>
      <x:c r="AA350" s="35" t="n">
        <x:v>10</x:v>
      </x:c>
      <x:c r="AB350" s="35" t="n">
        <x:v>7</x:v>
      </x:c>
      <x:c r="AC350" s="35" t="n">
        <x:v>6</x:v>
      </x:c>
      <x:c r="AD350" s="35" t="n">
        <x:v>88</x:v>
      </x:c>
      <x:c r="AE350" s="35" t="n">
        <x:v>81</x:v>
      </x:c>
      <x:c r="AF350" s="35" t="n">
        <x:v>79</x:v>
      </x:c>
      <x:c r="AG350" s="35" t="n">
        <x:v>79</x:v>
      </x:c>
      <x:c r="AH350" s="35" t="n">
        <x:v>9</x:v>
      </x:c>
      <x:c r="AI350" s="37" t="n">
        <x:v>96.7</x:v>
      </x:c>
      <x:c r="AJ350" s="37" t="n">
        <x:v>82.5</x:v>
      </x:c>
      <x:c r="AK350" s="35" t="str">
        <x:v>Yes</x:v>
      </x:c>
      <x:c r="AL350" s="38" t="n">
        <x:f>IF(AA350=0,0,AB350/AA350)</x:f>
        <x:v>0.7</x:v>
      </x:c>
      <x:c r="AM350" s="38" t="n">
        <x:f>IF(AB350=0,0,AC350/AB350)</x:f>
        <x:v>0.8571428571428571</x:v>
      </x:c>
      <x:c r="AN350" s="37" t="n">
        <x:f>ROUND((AD350*0.20+AE350*0.20+AF350*0.25+AG350*0.15+MIN(100,AC350*12)*0.20),1)</x:f>
        <x:v>79.8</x:v>
      </x:c>
      <x:c r="AO350" s="37" t="n">
        <x:f>ROUND(MAX(0,MIN(100,(X350*0.35)+(W350/45*100*0.20)+((5-O350)/4*100*0.15)+((5-P350)/4*100*0.10)+((6-Y350)/5*100*0.10)+((100-Z350)*0.10))),1)</x:f>
        <x:v>40.4</x:v>
      </x:c>
      <x:c r="AP350" s="37" t="str">
        <x:f>IF(AO350&gt;=70,"High",IF(AO350&gt;=40,"Moderate","Low"))</x:f>
        <x:v>Moderate</x:v>
      </x:c>
      <x:c r="AQ350" s="37" t="n">
        <x:f>ROUND(MAX(0,MIN(100,(O350/4*100*0.25)+(P350/4*100*0.20)+(Q350/4*100*0.15)+(Y350/5*100*0.20)+(100-AO350)*0.20)),1)</x:f>
        <x:v>71.9</x:v>
      </x:c>
      <x:c r="AR350" s="37" t="n">
        <x:f>ROUND((AI350*0.20+AJ350*0.15+AN350*0.18+AG350*0.12+Z350*0.15+AQ350*0.20),1)</x:f>
        <x:v>84.8</x:v>
      </x:c>
      <x:c r="AS350" s="39" t="n">
        <x:f>ROUND((AC350*AF350*120)+(AH350*350)+(MAX(0,AI350-75)*220)+(MAX(0,AQ350-60)*100),0)</x:f>
        <x:v>65994</x:v>
      </x:c>
    </x:row>
    <x:row r="351">
      <x:c r="A351" s="35" t="n">
        <x:v>350</x:v>
      </x:c>
      <x:c r="B351" s="35" t="n">
        <x:v>34</x:v>
      </x:c>
      <x:c r="C351" s="35" t="str">
        <x:v>Female</x:v>
      </x:c>
      <x:c r="D351" s="35" t="str">
        <x:v>Information Technology</x:v>
      </x:c>
      <x:c r="E351" s="35" t="str">
        <x:v>Systems Analyst</x:v>
      </x:c>
      <x:c r="F351" s="35" t="str">
        <x:v>Medical</x:v>
      </x:c>
      <x:c r="G351" s="35" t="str">
        <x:v>Single</x:v>
      </x:c>
      <x:c r="H351" s="35" t="n">
        <x:v>2</x:v>
      </x:c>
      <x:c r="I351" s="36" t="n">
        <x:v>6990</x:v>
      </x:c>
      <x:c r="J351" s="35" t="n">
        <x:v>10</x:v>
      </x:c>
      <x:c r="K351" s="35" t="n">
        <x:v>5</x:v>
      </x:c>
      <x:c r="L351" s="35" t="n">
        <x:v>4</x:v>
      </x:c>
      <x:c r="M351" s="35" t="n">
        <x:v>4</x:v>
      </x:c>
      <x:c r="N351" s="35" t="str">
        <x:v>No</x:v>
      </x:c>
      <x:c r="O351" s="35" t="n">
        <x:v>2</x:v>
      </x:c>
      <x:c r="P351" s="35" t="n">
        <x:v>3</x:v>
      </x:c>
      <x:c r="Q351" s="35" t="n">
        <x:v>2</x:v>
      </x:c>
      <x:c r="R351" s="35" t="n">
        <x:v>3</x:v>
      </x:c>
      <x:c r="S351" s="35" t="n">
        <x:v>3</x:v>
      </x:c>
      <x:c r="T351" s="35" t="n">
        <x:v>2</x:v>
      </x:c>
      <x:c r="U351" s="35" t="n">
        <x:v>0</x:v>
      </x:c>
      <x:c r="V351" s="35" t="n">
        <x:v>15</x:v>
      </x:c>
      <x:c r="W351" s="35" t="n">
        <x:v>10</x:v>
      </x:c>
      <x:c r="X351" s="35" t="n">
        <x:v>53</x:v>
      </x:c>
      <x:c r="Y351" s="35" t="n">
        <x:v>5</x:v>
      </x:c>
      <x:c r="Z351" s="35" t="n">
        <x:v>100</x:v>
      </x:c>
      <x:c r="AA351" s="35" t="n">
        <x:v>5</x:v>
      </x:c>
      <x:c r="AB351" s="35" t="n">
        <x:v>1</x:v>
      </x:c>
      <x:c r="AC351" s="35" t="n">
        <x:v>1</x:v>
      </x:c>
      <x:c r="AD351" s="35" t="n">
        <x:v>64</x:v>
      </x:c>
      <x:c r="AE351" s="35" t="n">
        <x:v>88</x:v>
      </x:c>
      <x:c r="AF351" s="35" t="n">
        <x:v>71</x:v>
      </x:c>
      <x:c r="AG351" s="35" t="n">
        <x:v>92</x:v>
      </x:c>
      <x:c r="AH351" s="35" t="n">
        <x:v>6</x:v>
      </x:c>
      <x:c r="AI351" s="37" t="n">
        <x:v>97.3</x:v>
      </x:c>
      <x:c r="AJ351" s="37" t="n">
        <x:v>92.6</x:v>
      </x:c>
      <x:c r="AK351" s="35" t="str">
        <x:v>No</x:v>
      </x:c>
      <x:c r="AL351" s="38" t="n">
        <x:f>IF(AA351=0,0,AB351/AA351)</x:f>
        <x:v>0.2</x:v>
      </x:c>
      <x:c r="AM351" s="38" t="n">
        <x:f>IF(AB351=0,0,AC351/AB351)</x:f>
        <x:v>1</x:v>
      </x:c>
      <x:c r="AN351" s="37" t="n">
        <x:f>ROUND((AD351*0.20+AE351*0.20+AF351*0.25+AG351*0.15+MIN(100,AC351*12)*0.20),1)</x:f>
        <x:v>64.4</x:v>
      </x:c>
      <x:c r="AO351" s="37" t="n">
        <x:f>ROUND(MAX(0,MIN(100,(X351*0.35)+(W351/45*100*0.20)+((5-O351)/4*100*0.15)+((5-P351)/4*100*0.10)+((6-Y351)/5*100*0.10)+((100-Z351)*0.10))),1)</x:f>
        <x:v>41.2</x:v>
      </x:c>
      <x:c r="AP351" s="37" t="str">
        <x:f>IF(AO351&gt;=70,"High",IF(AO351&gt;=40,"Moderate","Low"))</x:f>
        <x:v>Moderate</x:v>
      </x:c>
      <x:c r="AQ351" s="37" t="n">
        <x:f>ROUND(MAX(0,MIN(100,(O351/4*100*0.25)+(P351/4*100*0.20)+(Q351/4*100*0.15)+(Y351/5*100*0.20)+(100-AO351)*0.20)),1)</x:f>
        <x:v>66.8</x:v>
      </x:c>
      <x:c r="AR351" s="37" t="n">
        <x:f>ROUND((AI351*0.20+AJ351*0.15+AN351*0.18+AG351*0.12+Z351*0.15+AQ351*0.20),1)</x:f>
        <x:v>84.3</x:v>
      </x:c>
      <x:c r="AS351" s="39" t="n">
        <x:f>ROUND((AC351*AF351*120)+(AH351*350)+(MAX(0,AI351-75)*220)+(MAX(0,AQ351-60)*100),0)</x:f>
        <x:v>16206</x:v>
      </x:c>
    </x:row>
    <x:row r="352">
      <x:c r="A352" s="35" t="n">
        <x:v>351</x:v>
      </x:c>
      <x:c r="B352" s="35" t="n">
        <x:v>25</x:v>
      </x:c>
      <x:c r="C352" s="35" t="str">
        <x:v>Female</x:v>
      </x:c>
      <x:c r="D352" s="35" t="str">
        <x:v>Finance</x:v>
      </x:c>
      <x:c r="E352" s="35" t="str">
        <x:v>Finance Manager</x:v>
      </x:c>
      <x:c r="F352" s="35" t="str">
        <x:v>Human Resources</x:v>
      </x:c>
      <x:c r="G352" s="35" t="str">
        <x:v>Single</x:v>
      </x:c>
      <x:c r="H352" s="35" t="n">
        <x:v>1</x:v>
      </x:c>
      <x:c r="I352" s="36" t="n">
        <x:v>4680</x:v>
      </x:c>
      <x:c r="J352" s="35" t="n">
        <x:v>2</x:v>
      </x:c>
      <x:c r="K352" s="35" t="n">
        <x:v>2</x:v>
      </x:c>
      <x:c r="L352" s="35" t="n">
        <x:v>1</x:v>
      </x:c>
      <x:c r="M352" s="35" t="n">
        <x:v>1</x:v>
      </x:c>
      <x:c r="N352" s="35" t="str">
        <x:v>No</x:v>
      </x:c>
      <x:c r="O352" s="35" t="n">
        <x:v>3</x:v>
      </x:c>
      <x:c r="P352" s="35" t="n">
        <x:v>2</x:v>
      </x:c>
      <x:c r="Q352" s="35" t="n">
        <x:v>2</x:v>
      </x:c>
      <x:c r="R352" s="35" t="n">
        <x:v>3</x:v>
      </x:c>
      <x:c r="S352" s="35" t="n">
        <x:v>3</x:v>
      </x:c>
      <x:c r="T352" s="35" t="n">
        <x:v>5</x:v>
      </x:c>
      <x:c r="U352" s="35" t="n">
        <x:v>0</x:v>
      </x:c>
      <x:c r="V352" s="35" t="n">
        <x:v>3</x:v>
      </x:c>
      <x:c r="W352" s="35" t="n">
        <x:v>0</x:v>
      </x:c>
      <x:c r="X352" s="35" t="n">
        <x:v>55</x:v>
      </x:c>
      <x:c r="Y352" s="35" t="n">
        <x:v>5</x:v>
      </x:c>
      <x:c r="Z352" s="35" t="n">
        <x:v>96</x:v>
      </x:c>
      <x:c r="AA352" s="35" t="n">
        <x:v>4</x:v>
      </x:c>
      <x:c r="AB352" s="35" t="n">
        <x:v>4</x:v>
      </x:c>
      <x:c r="AC352" s="35" t="n">
        <x:v>2</x:v>
      </x:c>
      <x:c r="AD352" s="35" t="n">
        <x:v>53</x:v>
      </x:c>
      <x:c r="AE352" s="35" t="n">
        <x:v>62</x:v>
      </x:c>
      <x:c r="AF352" s="35" t="n">
        <x:v>61</x:v>
      </x:c>
      <x:c r="AG352" s="35" t="n">
        <x:v>86</x:v>
      </x:c>
      <x:c r="AH352" s="35" t="n">
        <x:v>6</x:v>
      </x:c>
      <x:c r="AI352" s="37" t="n">
        <x:v>99.9</x:v>
      </x:c>
      <x:c r="AJ352" s="37" t="n">
        <x:v>94.1</x:v>
      </x:c>
      <x:c r="AK352" s="35" t="str">
        <x:v>No</x:v>
      </x:c>
      <x:c r="AL352" s="38" t="n">
        <x:f>IF(AA352=0,0,AB352/AA352)</x:f>
        <x:v>1</x:v>
      </x:c>
      <x:c r="AM352" s="38" t="n">
        <x:f>IF(AB352=0,0,AC352/AB352)</x:f>
        <x:v>0.5</x:v>
      </x:c>
      <x:c r="AN352" s="37" t="n">
        <x:f>ROUND((AD352*0.20+AE352*0.20+AF352*0.25+AG352*0.15+MIN(100,AC352*12)*0.20),1)</x:f>
        <x:v>56</x:v>
      </x:c>
      <x:c r="AO352" s="37" t="n">
        <x:f>ROUND(MAX(0,MIN(100,(X352*0.35)+(W352/45*100*0.20)+((5-O352)/4*100*0.15)+((5-P352)/4*100*0.10)+((6-Y352)/5*100*0.10)+((100-Z352)*0.10))),1)</x:f>
        <x:v>36.7</x:v>
      </x:c>
      <x:c r="AP352" s="37" t="str">
        <x:f>IF(AO352&gt;=70,"High",IF(AO352&gt;=40,"Moderate","Low"))</x:f>
        <x:v>Low</x:v>
      </x:c>
      <x:c r="AQ352" s="37" t="n">
        <x:f>ROUND(MAX(0,MIN(100,(O352/4*100*0.25)+(P352/4*100*0.20)+(Q352/4*100*0.15)+(Y352/5*100*0.20)+(100-AO352)*0.20)),1)</x:f>
        <x:v>68.9</x:v>
      </x:c>
      <x:c r="AR352" s="37" t="n">
        <x:f>ROUND((AI352*0.20+AJ352*0.15+AN352*0.18+AG352*0.12+Z352*0.15+AQ352*0.20),1)</x:f>
        <x:v>82.7</x:v>
      </x:c>
      <x:c r="AS352" s="39" t="n">
        <x:f>ROUND((AC352*AF352*120)+(AH352*350)+(MAX(0,AI352-75)*220)+(MAX(0,AQ352-60)*100),0)</x:f>
        <x:v>23108</x:v>
      </x:c>
    </x:row>
    <x:row r="353">
      <x:c r="A353" s="35" t="n">
        <x:v>352</x:v>
      </x:c>
      <x:c r="B353" s="35" t="n">
        <x:v>33</x:v>
      </x:c>
      <x:c r="C353" s="35" t="str">
        <x:v>Male</x:v>
      </x:c>
      <x:c r="D353" s="35" t="str">
        <x:v>Research &amp; Development</x:v>
      </x:c>
      <x:c r="E353" s="35" t="str">
        <x:v>Data Scientist</x:v>
      </x:c>
      <x:c r="F353" s="35" t="str">
        <x:v>Marketing</x:v>
      </x:c>
      <x:c r="G353" s="35" t="str">
        <x:v>Single</x:v>
      </x:c>
      <x:c r="H353" s="35" t="n">
        <x:v>2</x:v>
      </x:c>
      <x:c r="I353" s="36" t="n">
        <x:v>8850</x:v>
      </x:c>
      <x:c r="J353" s="35" t="n">
        <x:v>7</x:v>
      </x:c>
      <x:c r="K353" s="35" t="n">
        <x:v>3</x:v>
      </x:c>
      <x:c r="L353" s="35" t="n">
        <x:v>1</x:v>
      </x:c>
      <x:c r="M353" s="35" t="n">
        <x:v>24</x:v>
      </x:c>
      <x:c r="N353" s="35" t="str">
        <x:v>No</x:v>
      </x:c>
      <x:c r="O353" s="35" t="n">
        <x:v>2</x:v>
      </x:c>
      <x:c r="P353" s="35" t="n">
        <x:v>2</x:v>
      </x:c>
      <x:c r="Q353" s="35" t="n">
        <x:v>2</x:v>
      </x:c>
      <x:c r="R353" s="35" t="n">
        <x:v>3</x:v>
      </x:c>
      <x:c r="S353" s="35" t="n">
        <x:v>3</x:v>
      </x:c>
      <x:c r="T353" s="35" t="n">
        <x:v>6</x:v>
      </x:c>
      <x:c r="U353" s="35" t="n">
        <x:v>1</x:v>
      </x:c>
      <x:c r="V353" s="35" t="n">
        <x:v>1</x:v>
      </x:c>
      <x:c r="W353" s="35" t="n">
        <x:v>8</x:v>
      </x:c>
      <x:c r="X353" s="35" t="n">
        <x:v>61</x:v>
      </x:c>
      <x:c r="Y353" s="35" t="n">
        <x:v>5</x:v>
      </x:c>
      <x:c r="Z353" s="35" t="n">
        <x:v>100</x:v>
      </x:c>
      <x:c r="AA353" s="35" t="n">
        <x:v>5</x:v>
      </x:c>
      <x:c r="AB353" s="35" t="n">
        <x:v>4</x:v>
      </x:c>
      <x:c r="AC353" s="35" t="n">
        <x:v>3</x:v>
      </x:c>
      <x:c r="AD353" s="35" t="n">
        <x:v>70</x:v>
      </x:c>
      <x:c r="AE353" s="35" t="n">
        <x:v>80</x:v>
      </x:c>
      <x:c r="AF353" s="35" t="n">
        <x:v>74</x:v>
      </x:c>
      <x:c r="AG353" s="35" t="n">
        <x:v>76</x:v>
      </x:c>
      <x:c r="AH353" s="35" t="n">
        <x:v>6</x:v>
      </x:c>
      <x:c r="AI353" s="37" t="n">
        <x:v>100</x:v>
      </x:c>
      <x:c r="AJ353" s="37" t="n">
        <x:v>91.7</x:v>
      </x:c>
      <x:c r="AK353" s="35" t="str">
        <x:v>Yes</x:v>
      </x:c>
      <x:c r="AL353" s="38" t="n">
        <x:f>IF(AA353=0,0,AB353/AA353)</x:f>
        <x:v>0.8</x:v>
      </x:c>
      <x:c r="AM353" s="38" t="n">
        <x:f>IF(AB353=0,0,AC353/AB353)</x:f>
        <x:v>0.75</x:v>
      </x:c>
      <x:c r="AN353" s="37" t="n">
        <x:f>ROUND((AD353*0.20+AE353*0.20+AF353*0.25+AG353*0.15+MIN(100,AC353*12)*0.20),1)</x:f>
        <x:v>67.1</x:v>
      </x:c>
      <x:c r="AO353" s="37" t="n">
        <x:f>ROUND(MAX(0,MIN(100,(X353*0.35)+(W353/45*100*0.20)+((5-O353)/4*100*0.15)+((5-P353)/4*100*0.10)+((6-Y353)/5*100*0.10)+((100-Z353)*0.10))),1)</x:f>
        <x:v>45.7</x:v>
      </x:c>
      <x:c r="AP353" s="37" t="str">
        <x:f>IF(AO353&gt;=70,"High",IF(AO353&gt;=40,"Moderate","Low"))</x:f>
        <x:v>Moderate</x:v>
      </x:c>
      <x:c r="AQ353" s="37" t="n">
        <x:f>ROUND(MAX(0,MIN(100,(O353/4*100*0.25)+(P353/4*100*0.20)+(Q353/4*100*0.15)+(Y353/5*100*0.20)+(100-AO353)*0.20)),1)</x:f>
        <x:v>60.9</x:v>
      </x:c>
      <x:c r="AR353" s="37" t="n">
        <x:f>ROUND((AI353*0.20+AJ353*0.15+AN353*0.18+AG353*0.12+Z353*0.15+AQ353*0.20),1)</x:f>
        <x:v>82.1</x:v>
      </x:c>
      <x:c r="AS353" s="39" t="n">
        <x:f>ROUND((AC353*AF353*120)+(AH353*350)+(MAX(0,AI353-75)*220)+(MAX(0,AQ353-60)*100),0)</x:f>
        <x:v>34330</x:v>
      </x:c>
    </x:row>
    <x:row r="354">
      <x:c r="A354" s="35" t="n">
        <x:v>353</x:v>
      </x:c>
      <x:c r="B354" s="35" t="n">
        <x:v>40</x:v>
      </x:c>
      <x:c r="C354" s="35" t="str">
        <x:v>Male</x:v>
      </x:c>
      <x:c r="D354" s="35" t="str">
        <x:v>Marketing</x:v>
      </x:c>
      <x:c r="E354" s="35" t="str">
        <x:v>Digital Marketing Analyst</x:v>
      </x:c>
      <x:c r="F354" s="35" t="str">
        <x:v>Life Sciences</x:v>
      </x:c>
      <x:c r="G354" s="35" t="str">
        <x:v>Divorced</x:v>
      </x:c>
      <x:c r="H354" s="35" t="n">
        <x:v>3</x:v>
      </x:c>
      <x:c r="I354" s="36" t="n">
        <x:v>13220</x:v>
      </x:c>
      <x:c r="J354" s="35" t="n">
        <x:v>13</x:v>
      </x:c>
      <x:c r="K354" s="35" t="n">
        <x:v>8</x:v>
      </x:c>
      <x:c r="L354" s="35" t="n">
        <x:v>5</x:v>
      </x:c>
      <x:c r="M354" s="35" t="n">
        <x:v>10</x:v>
      </x:c>
      <x:c r="N354" s="35" t="str">
        <x:v>No</x:v>
      </x:c>
      <x:c r="O354" s="35" t="n">
        <x:v>3</x:v>
      </x:c>
      <x:c r="P354" s="35" t="n">
        <x:v>2</x:v>
      </x:c>
      <x:c r="Q354" s="35" t="n">
        <x:v>3</x:v>
      </x:c>
      <x:c r="R354" s="35" t="n">
        <x:v>4</x:v>
      </x:c>
      <x:c r="S354" s="35" t="n">
        <x:v>3</x:v>
      </x:c>
      <x:c r="T354" s="35" t="n">
        <x:v>3</x:v>
      </x:c>
      <x:c r="U354" s="35" t="n">
        <x:v>2</x:v>
      </x:c>
      <x:c r="V354" s="35" t="n">
        <x:v>5</x:v>
      </x:c>
      <x:c r="W354" s="35" t="n">
        <x:v>0</x:v>
      </x:c>
      <x:c r="X354" s="35" t="n">
        <x:v>47</x:v>
      </x:c>
      <x:c r="Y354" s="35" t="n">
        <x:v>5</x:v>
      </x:c>
      <x:c r="Z354" s="35" t="n">
        <x:v>100</x:v>
      </x:c>
      <x:c r="AA354" s="35" t="n">
        <x:v>8</x:v>
      </x:c>
      <x:c r="AB354" s="35" t="n">
        <x:v>6</x:v>
      </x:c>
      <x:c r="AC354" s="35" t="n">
        <x:v>5</x:v>
      </x:c>
      <x:c r="AD354" s="35" t="n">
        <x:v>79</x:v>
      </x:c>
      <x:c r="AE354" s="35" t="n">
        <x:v>100</x:v>
      </x:c>
      <x:c r="AF354" s="35" t="n">
        <x:v>90</x:v>
      </x:c>
      <x:c r="AG354" s="35" t="n">
        <x:v>100</x:v>
      </x:c>
      <x:c r="AH354" s="35" t="n">
        <x:v>8</x:v>
      </x:c>
      <x:c r="AI354" s="37" t="n">
        <x:v>93.1</x:v>
      </x:c>
      <x:c r="AJ354" s="37" t="n">
        <x:v>95.1</x:v>
      </x:c>
      <x:c r="AK354" s="35" t="str">
        <x:v>No</x:v>
      </x:c>
      <x:c r="AL354" s="38" t="n">
        <x:f>IF(AA354=0,0,AB354/AA354)</x:f>
        <x:v>0.75</x:v>
      </x:c>
      <x:c r="AM354" s="38" t="n">
        <x:f>IF(AB354=0,0,AC354/AB354)</x:f>
        <x:v>0.8333333333333334</x:v>
      </x:c>
      <x:c r="AN354" s="37" t="n">
        <x:f>ROUND((AD354*0.20+AE354*0.20+AF354*0.25+AG354*0.15+MIN(100,AC354*12)*0.20),1)</x:f>
        <x:v>85.3</x:v>
      </x:c>
      <x:c r="AO354" s="37" t="n">
        <x:f>ROUND(MAX(0,MIN(100,(X354*0.35)+(W354/45*100*0.20)+((5-O354)/4*100*0.15)+((5-P354)/4*100*0.10)+((6-Y354)/5*100*0.10)+((100-Z354)*0.10))),1)</x:f>
        <x:v>33.5</x:v>
      </x:c>
      <x:c r="AP354" s="37" t="str">
        <x:f>IF(AO354&gt;=70,"High",IF(AO354&gt;=40,"Moderate","Low"))</x:f>
        <x:v>Low</x:v>
      </x:c>
      <x:c r="AQ354" s="37" t="n">
        <x:f>ROUND(MAX(0,MIN(100,(O354/4*100*0.25)+(P354/4*100*0.20)+(Q354/4*100*0.15)+(Y354/5*100*0.20)+(100-AO354)*0.20)),1)</x:f>
        <x:v>73.3</x:v>
      </x:c>
      <x:c r="AR354" s="37" t="n">
        <x:f>ROUND((AI354*0.20+AJ354*0.15+AN354*0.18+AG354*0.12+Z354*0.15+AQ354*0.20),1)</x:f>
        <x:v>89.9</x:v>
      </x:c>
      <x:c r="AS354" s="39" t="n">
        <x:f>ROUND((AC354*AF354*120)+(AH354*350)+(MAX(0,AI354-75)*220)+(MAX(0,AQ354-60)*100),0)</x:f>
        <x:v>62112</x:v>
      </x:c>
    </x:row>
    <x:row r="355">
      <x:c r="A355" s="35" t="n">
        <x:v>354</x:v>
      </x:c>
      <x:c r="B355" s="35" t="n">
        <x:v>29</x:v>
      </x:c>
      <x:c r="C355" s="35" t="str">
        <x:v>Male</x:v>
      </x:c>
      <x:c r="D355" s="35" t="str">
        <x:v>Information Technology</x:v>
      </x:c>
      <x:c r="E355" s="35" t="str">
        <x:v>IT Manager</x:v>
      </x:c>
      <x:c r="F355" s="35" t="str">
        <x:v>Business</x:v>
      </x:c>
      <x:c r="G355" s="35" t="str">
        <x:v>Married</x:v>
      </x:c>
      <x:c r="H355" s="35" t="n">
        <x:v>1</x:v>
      </x:c>
      <x:c r="I355" s="36" t="n">
        <x:v>4670</x:v>
      </x:c>
      <x:c r="J355" s="35" t="n">
        <x:v>7</x:v>
      </x:c>
      <x:c r="K355" s="35" t="n">
        <x:v>5</x:v>
      </x:c>
      <x:c r="L355" s="35" t="n">
        <x:v>4</x:v>
      </x:c>
      <x:c r="M355" s="35" t="n">
        <x:v>23</x:v>
      </x:c>
      <x:c r="N355" s="35" t="str">
        <x:v>No</x:v>
      </x:c>
      <x:c r="O355" s="35" t="n">
        <x:v>3</x:v>
      </x:c>
      <x:c r="P355" s="35" t="n">
        <x:v>2</x:v>
      </x:c>
      <x:c r="Q355" s="35" t="n">
        <x:v>3</x:v>
      </x:c>
      <x:c r="R355" s="35" t="n">
        <x:v>3</x:v>
      </x:c>
      <x:c r="S355" s="35" t="n">
        <x:v>3</x:v>
      </x:c>
      <x:c r="T355" s="35" t="n">
        <x:v>3</x:v>
      </x:c>
      <x:c r="U355" s="35" t="n">
        <x:v>0</x:v>
      </x:c>
      <x:c r="V355" s="35" t="n">
        <x:v>4</x:v>
      </x:c>
      <x:c r="W355" s="35" t="n">
        <x:v>9</x:v>
      </x:c>
      <x:c r="X355" s="35" t="n">
        <x:v>70</x:v>
      </x:c>
      <x:c r="Y355" s="35" t="n">
        <x:v>4</x:v>
      </x:c>
      <x:c r="Z355" s="35" t="n">
        <x:v>99</x:v>
      </x:c>
      <x:c r="AA355" s="35" t="n">
        <x:v>4</x:v>
      </x:c>
      <x:c r="AB355" s="35" t="n">
        <x:v>3</x:v>
      </x:c>
      <x:c r="AC355" s="35" t="n">
        <x:v>2</x:v>
      </x:c>
      <x:c r="AD355" s="35" t="n">
        <x:v>75</x:v>
      </x:c>
      <x:c r="AE355" s="35" t="n">
        <x:v>77</x:v>
      </x:c>
      <x:c r="AF355" s="35" t="n">
        <x:v>62</x:v>
      </x:c>
      <x:c r="AG355" s="35" t="n">
        <x:v>90</x:v>
      </x:c>
      <x:c r="AH355" s="35" t="n">
        <x:v>8</x:v>
      </x:c>
      <x:c r="AI355" s="37" t="n">
        <x:v>90.5</x:v>
      </x:c>
      <x:c r="AJ355" s="37" t="n">
        <x:v>97.2</x:v>
      </x:c>
      <x:c r="AK355" s="35" t="str">
        <x:v>No</x:v>
      </x:c>
      <x:c r="AL355" s="38" t="n">
        <x:f>IF(AA355=0,0,AB355/AA355)</x:f>
        <x:v>0.75</x:v>
      </x:c>
      <x:c r="AM355" s="38" t="n">
        <x:f>IF(AB355=0,0,AC355/AB355)</x:f>
        <x:v>0.6666666666666666</x:v>
      </x:c>
      <x:c r="AN355" s="37" t="n">
        <x:f>ROUND((AD355*0.20+AE355*0.20+AF355*0.25+AG355*0.15+MIN(100,AC355*12)*0.20),1)</x:f>
        <x:v>64.2</x:v>
      </x:c>
      <x:c r="AO355" s="37" t="n">
        <x:f>ROUND(MAX(0,MIN(100,(X355*0.35)+(W355/45*100*0.20)+((5-O355)/4*100*0.15)+((5-P355)/4*100*0.10)+((6-Y355)/5*100*0.10)+((100-Z355)*0.10))),1)</x:f>
        <x:v>47.6</x:v>
      </x:c>
      <x:c r="AP355" s="37" t="str">
        <x:f>IF(AO355&gt;=70,"High",IF(AO355&gt;=40,"Moderate","Low"))</x:f>
        <x:v>Moderate</x:v>
      </x:c>
      <x:c r="AQ355" s="37" t="n">
        <x:f>ROUND(MAX(0,MIN(100,(O355/4*100*0.25)+(P355/4*100*0.20)+(Q355/4*100*0.15)+(Y355/5*100*0.20)+(100-AO355)*0.20)),1)</x:f>
        <x:v>66.5</x:v>
      </x:c>
      <x:c r="AR355" s="37" t="n">
        <x:f>ROUND((AI355*0.20+AJ355*0.15+AN355*0.18+AG355*0.12+Z355*0.15+AQ355*0.20),1)</x:f>
        <x:v>83.2</x:v>
      </x:c>
      <x:c r="AS355" s="39" t="n">
        <x:f>ROUND((AC355*AF355*120)+(AH355*350)+(MAX(0,AI355-75)*220)+(MAX(0,AQ355-60)*100),0)</x:f>
        <x:v>21740</x:v>
      </x:c>
    </x:row>
    <x:row r="356">
      <x:c r="A356" s="35" t="n">
        <x:v>355</x:v>
      </x:c>
      <x:c r="B356" s="35" t="n">
        <x:v>27</x:v>
      </x:c>
      <x:c r="C356" s="35" t="str">
        <x:v>Female</x:v>
      </x:c>
      <x:c r="D356" s="35" t="str">
        <x:v>Operations</x:v>
      </x:c>
      <x:c r="E356" s="35" t="str">
        <x:v>Quality Specialist</x:v>
      </x:c>
      <x:c r="F356" s="35" t="str">
        <x:v>Business</x:v>
      </x:c>
      <x:c r="G356" s="35" t="str">
        <x:v>Single</x:v>
      </x:c>
      <x:c r="H356" s="35" t="n">
        <x:v>1</x:v>
      </x:c>
      <x:c r="I356" s="36" t="n">
        <x:v>4000</x:v>
      </x:c>
      <x:c r="J356" s="35" t="n">
        <x:v>5</x:v>
      </x:c>
      <x:c r="K356" s="35" t="n">
        <x:v>4</x:v>
      </x:c>
      <x:c r="L356" s="35" t="n">
        <x:v>1</x:v>
      </x:c>
      <x:c r="M356" s="35" t="n">
        <x:v>13</x:v>
      </x:c>
      <x:c r="N356" s="35" t="str">
        <x:v>Yes</x:v>
      </x:c>
      <x:c r="O356" s="35" t="n">
        <x:v>3</x:v>
      </x:c>
      <x:c r="P356" s="35" t="n">
        <x:v>2</x:v>
      </x:c>
      <x:c r="Q356" s="35" t="n">
        <x:v>2</x:v>
      </x:c>
      <x:c r="R356" s="35" t="n">
        <x:v>3</x:v>
      </x:c>
      <x:c r="S356" s="35" t="n">
        <x:v>3</x:v>
      </x:c>
      <x:c r="T356" s="35" t="n">
        <x:v>2</x:v>
      </x:c>
      <x:c r="U356" s="35" t="n">
        <x:v>0</x:v>
      </x:c>
      <x:c r="V356" s="35" t="n">
        <x:v>1</x:v>
      </x:c>
      <x:c r="W356" s="35" t="n">
        <x:v>5</x:v>
      </x:c>
      <x:c r="X356" s="35" t="n">
        <x:v>80</x:v>
      </x:c>
      <x:c r="Y356" s="35" t="n">
        <x:v>4</x:v>
      </x:c>
      <x:c r="Z356" s="35" t="n">
        <x:v>96</x:v>
      </x:c>
      <x:c r="AA356" s="35" t="n">
        <x:v>4</x:v>
      </x:c>
      <x:c r="AB356" s="35" t="n">
        <x:v>4</x:v>
      </x:c>
      <x:c r="AC356" s="35" t="n">
        <x:v>3</x:v>
      </x:c>
      <x:c r="AD356" s="35" t="n">
        <x:v>76</x:v>
      </x:c>
      <x:c r="AE356" s="35" t="n">
        <x:v>72</x:v>
      </x:c>
      <x:c r="AF356" s="35" t="n">
        <x:v>59</x:v>
      </x:c>
      <x:c r="AG356" s="35" t="n">
        <x:v>95</x:v>
      </x:c>
      <x:c r="AH356" s="35" t="n">
        <x:v>9</x:v>
      </x:c>
      <x:c r="AI356" s="37" t="n">
        <x:v>77.6</x:v>
      </x:c>
      <x:c r="AJ356" s="37" t="n">
        <x:v>85.6</x:v>
      </x:c>
      <x:c r="AK356" s="35" t="str">
        <x:v>No</x:v>
      </x:c>
      <x:c r="AL356" s="38" t="n">
        <x:f>IF(AA356=0,0,AB356/AA356)</x:f>
        <x:v>1</x:v>
      </x:c>
      <x:c r="AM356" s="38" t="n">
        <x:f>IF(AB356=0,0,AC356/AB356)</x:f>
        <x:v>0.75</x:v>
      </x:c>
      <x:c r="AN356" s="37" t="n">
        <x:f>ROUND((AD356*0.20+AE356*0.20+AF356*0.25+AG356*0.15+MIN(100,AC356*12)*0.20),1)</x:f>
        <x:v>65.8</x:v>
      </x:c>
      <x:c r="AO356" s="37" t="n">
        <x:f>ROUND(MAX(0,MIN(100,(X356*0.35)+(W356/45*100*0.20)+((5-O356)/4*100*0.15)+((5-P356)/4*100*0.10)+((6-Y356)/5*100*0.10)+((100-Z356)*0.10))),1)</x:f>
        <x:v>49.6</x:v>
      </x:c>
      <x:c r="AP356" s="37" t="str">
        <x:f>IF(AO356&gt;=70,"High",IF(AO356&gt;=40,"Moderate","Low"))</x:f>
        <x:v>Moderate</x:v>
      </x:c>
      <x:c r="AQ356" s="37" t="n">
        <x:f>ROUND(MAX(0,MIN(100,(O356/4*100*0.25)+(P356/4*100*0.20)+(Q356/4*100*0.15)+(Y356/5*100*0.20)+(100-AO356)*0.20)),1)</x:f>
        <x:v>62.3</x:v>
      </x:c>
      <x:c r="AR356" s="37" t="n">
        <x:f>ROUND((AI356*0.20+AJ356*0.15+AN356*0.18+AG356*0.12+Z356*0.15+AQ356*0.20),1)</x:f>
        <x:v>78.5</x:v>
      </x:c>
      <x:c r="AS356" s="39" t="n">
        <x:f>ROUND((AC356*AF356*120)+(AH356*350)+(MAX(0,AI356-75)*220)+(MAX(0,AQ356-60)*100),0)</x:f>
        <x:v>25192</x:v>
      </x:c>
    </x:row>
    <x:row r="357">
      <x:c r="A357" s="35" t="n">
        <x:v>356</x:v>
      </x:c>
      <x:c r="B357" s="35" t="n">
        <x:v>47</x:v>
      </x:c>
      <x:c r="C357" s="35" t="str">
        <x:v>Male</x:v>
      </x:c>
      <x:c r="D357" s="35" t="str">
        <x:v>Finance</x:v>
      </x:c>
      <x:c r="E357" s="35" t="str">
        <x:v>Finance Manager</x:v>
      </x:c>
      <x:c r="F357" s="35" t="str">
        <x:v>Life Sciences</x:v>
      </x:c>
      <x:c r="G357" s="35" t="str">
        <x:v>Single</x:v>
      </x:c>
      <x:c r="H357" s="35" t="n">
        <x:v>2</x:v>
      </x:c>
      <x:c r="I357" s="36" t="n">
        <x:v>12520</x:v>
      </x:c>
      <x:c r="J357" s="35" t="n">
        <x:v>15</x:v>
      </x:c>
      <x:c r="K357" s="35" t="n">
        <x:v>11</x:v>
      </x:c>
      <x:c r="L357" s="35" t="n">
        <x:v>4</x:v>
      </x:c>
      <x:c r="M357" s="35" t="n">
        <x:v>6</x:v>
      </x:c>
      <x:c r="N357" s="35" t="str">
        <x:v>No</x:v>
      </x:c>
      <x:c r="O357" s="35" t="n">
        <x:v>3</x:v>
      </x:c>
      <x:c r="P357" s="35" t="n">
        <x:v>3</x:v>
      </x:c>
      <x:c r="Q357" s="35" t="n">
        <x:v>4</x:v>
      </x:c>
      <x:c r="R357" s="35" t="n">
        <x:v>2</x:v>
      </x:c>
      <x:c r="S357" s="35" t="n">
        <x:v>3</x:v>
      </x:c>
      <x:c r="T357" s="35" t="n">
        <x:v>4</x:v>
      </x:c>
      <x:c r="U357" s="35" t="n">
        <x:v>2</x:v>
      </x:c>
      <x:c r="V357" s="35" t="n">
        <x:v>0</x:v>
      </x:c>
      <x:c r="W357" s="35" t="n">
        <x:v>5</x:v>
      </x:c>
      <x:c r="X357" s="35" t="n">
        <x:v>63</x:v>
      </x:c>
      <x:c r="Y357" s="35" t="n">
        <x:v>5</x:v>
      </x:c>
      <x:c r="Z357" s="35" t="n">
        <x:v>93</x:v>
      </x:c>
      <x:c r="AA357" s="35" t="n">
        <x:v>10</x:v>
      </x:c>
      <x:c r="AB357" s="35" t="n">
        <x:v>7</x:v>
      </x:c>
      <x:c r="AC357" s="35" t="n">
        <x:v>5</x:v>
      </x:c>
      <x:c r="AD357" s="35" t="n">
        <x:v>56</x:v>
      </x:c>
      <x:c r="AE357" s="35" t="n">
        <x:v>89</x:v>
      </x:c>
      <x:c r="AF357" s="35" t="n">
        <x:v>92</x:v>
      </x:c>
      <x:c r="AG357" s="35" t="n">
        <x:v>74</x:v>
      </x:c>
      <x:c r="AH357" s="35" t="n">
        <x:v>6</x:v>
      </x:c>
      <x:c r="AI357" s="37" t="n">
        <x:v>99.2</x:v>
      </x:c>
      <x:c r="AJ357" s="37" t="n">
        <x:v>91.4</x:v>
      </x:c>
      <x:c r="AK357" s="35" t="str">
        <x:v>No</x:v>
      </x:c>
      <x:c r="AL357" s="38" t="n">
        <x:f>IF(AA357=0,0,AB357/AA357)</x:f>
        <x:v>0.7</x:v>
      </x:c>
      <x:c r="AM357" s="38" t="n">
        <x:f>IF(AB357=0,0,AC357/AB357)</x:f>
        <x:v>0.7142857142857143</x:v>
      </x:c>
      <x:c r="AN357" s="37" t="n">
        <x:f>ROUND((AD357*0.20+AE357*0.20+AF357*0.25+AG357*0.15+MIN(100,AC357*12)*0.20),1)</x:f>
        <x:v>75.1</x:v>
      </x:c>
      <x:c r="AO357" s="37" t="n">
        <x:f>ROUND(MAX(0,MIN(100,(X357*0.35)+(W357/45*100*0.20)+((5-O357)/4*100*0.15)+((5-P357)/4*100*0.10)+((6-Y357)/5*100*0.10)+((100-Z357)*0.10))),1)</x:f>
        <x:v>39.5</x:v>
      </x:c>
      <x:c r="AP357" s="37" t="str">
        <x:f>IF(AO357&gt;=70,"High",IF(AO357&gt;=40,"Moderate","Low"))</x:f>
        <x:v>Low</x:v>
      </x:c>
      <x:c r="AQ357" s="37" t="n">
        <x:f>ROUND(MAX(0,MIN(100,(O357/4*100*0.25)+(P357/4*100*0.20)+(Q357/4*100*0.15)+(Y357/5*100*0.20)+(100-AO357)*0.20)),1)</x:f>
        <x:v>80.9</x:v>
      </x:c>
      <x:c r="AR357" s="37" t="n">
        <x:f>ROUND((AI357*0.20+AJ357*0.15+AN357*0.18+AG357*0.12+Z357*0.15+AQ357*0.20),1)</x:f>
        <x:v>86.1</x:v>
      </x:c>
      <x:c r="AS357" s="39" t="n">
        <x:f>ROUND((AC357*AF357*120)+(AH357*350)+(MAX(0,AI357-75)*220)+(MAX(0,AQ357-60)*100),0)</x:f>
        <x:v>64714</x:v>
      </x:c>
    </x:row>
    <x:row r="358">
      <x:c r="A358" s="35" t="n">
        <x:v>357</x:v>
      </x:c>
      <x:c r="B358" s="35" t="n">
        <x:v>21</x:v>
      </x:c>
      <x:c r="C358" s="35" t="str">
        <x:v>Female</x:v>
      </x:c>
      <x:c r="D358" s="35" t="str">
        <x:v>Sales</x:v>
      </x:c>
      <x:c r="E358" s="35" t="str">
        <x:v>Account Manager</x:v>
      </x:c>
      <x:c r="F358" s="35" t="str">
        <x:v>Marketing</x:v>
      </x:c>
      <x:c r="G358" s="35" t="str">
        <x:v>Married</x:v>
      </x:c>
      <x:c r="H358" s="35" t="n">
        <x:v>1</x:v>
      </x:c>
      <x:c r="I358" s="36" t="n">
        <x:v>4000</x:v>
      </x:c>
      <x:c r="J358" s="35" t="n">
        <x:v>0</x:v>
      </x:c>
      <x:c r="K358" s="35" t="n">
        <x:v>0</x:v>
      </x:c>
      <x:c r="L358" s="35" t="n">
        <x:v>0</x:v>
      </x:c>
      <x:c r="M358" s="35" t="n">
        <x:v>25</x:v>
      </x:c>
      <x:c r="N358" s="35" t="str">
        <x:v>No</x:v>
      </x:c>
      <x:c r="O358" s="35" t="n">
        <x:v>4</x:v>
      </x:c>
      <x:c r="P358" s="35" t="n">
        <x:v>3</x:v>
      </x:c>
      <x:c r="Q358" s="35" t="n">
        <x:v>3</x:v>
      </x:c>
      <x:c r="R358" s="35" t="n">
        <x:v>4</x:v>
      </x:c>
      <x:c r="S358" s="35" t="n">
        <x:v>3</x:v>
      </x:c>
      <x:c r="T358" s="35" t="n">
        <x:v>3</x:v>
      </x:c>
      <x:c r="U358" s="35" t="n">
        <x:v>0</x:v>
      </x:c>
      <x:c r="V358" s="35" t="n">
        <x:v>6</x:v>
      </x:c>
      <x:c r="W358" s="35" t="n">
        <x:v>19</x:v>
      </x:c>
      <x:c r="X358" s="35" t="n">
        <x:v>56</x:v>
      </x:c>
      <x:c r="Y358" s="35" t="n">
        <x:v>5</x:v>
      </x:c>
      <x:c r="Z358" s="35" t="n">
        <x:v>100</x:v>
      </x:c>
      <x:c r="AA358" s="35" t="n">
        <x:v>5</x:v>
      </x:c>
      <x:c r="AB358" s="35" t="n">
        <x:v>4</x:v>
      </x:c>
      <x:c r="AC358" s="35" t="n">
        <x:v>3</x:v>
      </x:c>
      <x:c r="AD358" s="35" t="n">
        <x:v>67</x:v>
      </x:c>
      <x:c r="AE358" s="35" t="n">
        <x:v>72</x:v>
      </x:c>
      <x:c r="AF358" s="35" t="n">
        <x:v>66</x:v>
      </x:c>
      <x:c r="AG358" s="35" t="n">
        <x:v>82</x:v>
      </x:c>
      <x:c r="AH358" s="35" t="n">
        <x:v>9</x:v>
      </x:c>
      <x:c r="AI358" s="37" t="n">
        <x:v>100</x:v>
      </x:c>
      <x:c r="AJ358" s="37" t="n">
        <x:v>86.7</x:v>
      </x:c>
      <x:c r="AK358" s="35" t="str">
        <x:v>Yes</x:v>
      </x:c>
      <x:c r="AL358" s="38" t="n">
        <x:f>IF(AA358=0,0,AB358/AA358)</x:f>
        <x:v>0.8</x:v>
      </x:c>
      <x:c r="AM358" s="38" t="n">
        <x:f>IF(AB358=0,0,AC358/AB358)</x:f>
        <x:v>0.75</x:v>
      </x:c>
      <x:c r="AN358" s="37" t="n">
        <x:f>ROUND((AD358*0.20+AE358*0.20+AF358*0.25+AG358*0.15+MIN(100,AC358*12)*0.20),1)</x:f>
        <x:v>63.8</x:v>
      </x:c>
      <x:c r="AO358" s="37" t="n">
        <x:f>ROUND(MAX(0,MIN(100,(X358*0.35)+(W358/45*100*0.20)+((5-O358)/4*100*0.15)+((5-P358)/4*100*0.10)+((6-Y358)/5*100*0.10)+((100-Z358)*0.10))),1)</x:f>
        <x:v>38.8</x:v>
      </x:c>
      <x:c r="AP358" s="37" t="str">
        <x:f>IF(AO358&gt;=70,"High",IF(AO358&gt;=40,"Moderate","Low"))</x:f>
        <x:v>Low</x:v>
      </x:c>
      <x:c r="AQ358" s="37" t="n">
        <x:f>ROUND(MAX(0,MIN(100,(O358/4*100*0.25)+(P358/4*100*0.20)+(Q358/4*100*0.15)+(Y358/5*100*0.20)+(100-AO358)*0.20)),1)</x:f>
        <x:v>83.5</x:v>
      </x:c>
      <x:c r="AR358" s="37" t="n">
        <x:f>ROUND((AI358*0.20+AJ358*0.15+AN358*0.18+AG358*0.12+Z358*0.15+AQ358*0.20),1)</x:f>
        <x:v>86</x:v>
      </x:c>
      <x:c r="AS358" s="39" t="n">
        <x:f>ROUND((AC358*AF358*120)+(AH358*350)+(MAX(0,AI358-75)*220)+(MAX(0,AQ358-60)*100),0)</x:f>
        <x:v>34760</x:v>
      </x:c>
    </x:row>
    <x:row r="359">
      <x:c r="A359" s="35" t="n">
        <x:v>358</x:v>
      </x:c>
      <x:c r="B359" s="35" t="n">
        <x:v>25</x:v>
      </x:c>
      <x:c r="C359" s="35" t="str">
        <x:v>Male</x:v>
      </x:c>
      <x:c r="D359" s="35" t="str">
        <x:v>Finance</x:v>
      </x:c>
      <x:c r="E359" s="35" t="str">
        <x:v>Accountant</x:v>
      </x:c>
      <x:c r="F359" s="35" t="str">
        <x:v>Marketing</x:v>
      </x:c>
      <x:c r="G359" s="35" t="str">
        <x:v>Married</x:v>
      </x:c>
      <x:c r="H359" s="35" t="n">
        <x:v>1</x:v>
      </x:c>
      <x:c r="I359" s="36" t="n">
        <x:v>5380</x:v>
      </x:c>
      <x:c r="J359" s="35" t="n">
        <x:v>2</x:v>
      </x:c>
      <x:c r="K359" s="35" t="n">
        <x:v>2</x:v>
      </x:c>
      <x:c r="L359" s="35" t="n">
        <x:v>1</x:v>
      </x:c>
      <x:c r="M359" s="35" t="n">
        <x:v>1</x:v>
      </x:c>
      <x:c r="N359" s="35" t="str">
        <x:v>No</x:v>
      </x:c>
      <x:c r="O359" s="35" t="n">
        <x:v>3</x:v>
      </x:c>
      <x:c r="P359" s="35" t="n">
        <x:v>3</x:v>
      </x:c>
      <x:c r="Q359" s="35" t="n">
        <x:v>3</x:v>
      </x:c>
      <x:c r="R359" s="35" t="n">
        <x:v>3</x:v>
      </x:c>
      <x:c r="S359" s="35" t="n">
        <x:v>3</x:v>
      </x:c>
      <x:c r="T359" s="35" t="n">
        <x:v>1</x:v>
      </x:c>
      <x:c r="U359" s="35" t="n">
        <x:v>0</x:v>
      </x:c>
      <x:c r="V359" s="35" t="n">
        <x:v>4</x:v>
      </x:c>
      <x:c r="W359" s="35" t="n">
        <x:v>7</x:v>
      </x:c>
      <x:c r="X359" s="35" t="n">
        <x:v>55</x:v>
      </x:c>
      <x:c r="Y359" s="35" t="n">
        <x:v>4</x:v>
      </x:c>
      <x:c r="Z359" s="35" t="n">
        <x:v>93</x:v>
      </x:c>
      <x:c r="AA359" s="35" t="n">
        <x:v>6</x:v>
      </x:c>
      <x:c r="AB359" s="35" t="n">
        <x:v>5</x:v>
      </x:c>
      <x:c r="AC359" s="35" t="n">
        <x:v>4</x:v>
      </x:c>
      <x:c r="AD359" s="35" t="n">
        <x:v>60</x:v>
      </x:c>
      <x:c r="AE359" s="35" t="n">
        <x:v>78</x:v>
      </x:c>
      <x:c r="AF359" s="35" t="n">
        <x:v>65</x:v>
      </x:c>
      <x:c r="AG359" s="35" t="n">
        <x:v>86</x:v>
      </x:c>
      <x:c r="AH359" s="35" t="n">
        <x:v>8</x:v>
      </x:c>
      <x:c r="AI359" s="37" t="n">
        <x:v>98.8</x:v>
      </x:c>
      <x:c r="AJ359" s="37" t="n">
        <x:v>90.5</x:v>
      </x:c>
      <x:c r="AK359" s="35" t="str">
        <x:v>No</x:v>
      </x:c>
      <x:c r="AL359" s="38" t="n">
        <x:f>IF(AA359=0,0,AB359/AA359)</x:f>
        <x:v>0.8333333333333334</x:v>
      </x:c>
      <x:c r="AM359" s="38" t="n">
        <x:f>IF(AB359=0,0,AC359/AB359)</x:f>
        <x:v>0.8</x:v>
      </x:c>
      <x:c r="AN359" s="37" t="n">
        <x:f>ROUND((AD359*0.20+AE359*0.20+AF359*0.25+AG359*0.15+MIN(100,AC359*12)*0.20),1)</x:f>
        <x:v>66.4</x:v>
      </x:c>
      <x:c r="AO359" s="37" t="n">
        <x:f>ROUND(MAX(0,MIN(100,(X359*0.35)+(W359/45*100*0.20)+((5-O359)/4*100*0.15)+((5-P359)/4*100*0.10)+((6-Y359)/5*100*0.10)+((100-Z359)*0.10))),1)</x:f>
        <x:v>39.6</x:v>
      </x:c>
      <x:c r="AP359" s="37" t="str">
        <x:f>IF(AO359&gt;=70,"High",IF(AO359&gt;=40,"Moderate","Low"))</x:f>
        <x:v>Low</x:v>
      </x:c>
      <x:c r="AQ359" s="37" t="n">
        <x:f>ROUND(MAX(0,MIN(100,(O359/4*100*0.25)+(P359/4*100*0.20)+(Q359/4*100*0.15)+(Y359/5*100*0.20)+(100-AO359)*0.20)),1)</x:f>
        <x:v>73.1</x:v>
      </x:c>
      <x:c r="AR359" s="37" t="n">
        <x:f>ROUND((AI359*0.20+AJ359*0.15+AN359*0.18+AG359*0.12+Z359*0.15+AQ359*0.20),1)</x:f>
        <x:v>84.2</x:v>
      </x:c>
      <x:c r="AS359" s="39" t="n">
        <x:f>ROUND((AC359*AF359*120)+(AH359*350)+(MAX(0,AI359-75)*220)+(MAX(0,AQ359-60)*100),0)</x:f>
        <x:v>40546</x:v>
      </x:c>
    </x:row>
    <x:row r="360">
      <x:c r="A360" s="35" t="n">
        <x:v>359</x:v>
      </x:c>
      <x:c r="B360" s="35" t="n">
        <x:v>43</x:v>
      </x:c>
      <x:c r="C360" s="35" t="str">
        <x:v>Female</x:v>
      </x:c>
      <x:c r="D360" s="35" t="str">
        <x:v>Sales</x:v>
      </x:c>
      <x:c r="E360" s="35" t="str">
        <x:v>Sales Representative</x:v>
      </x:c>
      <x:c r="F360" s="35" t="str">
        <x:v>Computer Science</x:v>
      </x:c>
      <x:c r="G360" s="35" t="str">
        <x:v>Married</x:v>
      </x:c>
      <x:c r="H360" s="35" t="n">
        <x:v>3</x:v>
      </x:c>
      <x:c r="I360" s="36" t="n">
        <x:v>14450</x:v>
      </x:c>
      <x:c r="J360" s="35" t="n">
        <x:v>11</x:v>
      </x:c>
      <x:c r="K360" s="35" t="n">
        <x:v>6</x:v>
      </x:c>
      <x:c r="L360" s="35" t="n">
        <x:v>4</x:v>
      </x:c>
      <x:c r="M360" s="35" t="n">
        <x:v>13</x:v>
      </x:c>
      <x:c r="N360" s="35" t="str">
        <x:v>No</x:v>
      </x:c>
      <x:c r="O360" s="35" t="n">
        <x:v>2</x:v>
      </x:c>
      <x:c r="P360" s="35" t="n">
        <x:v>3</x:v>
      </x:c>
      <x:c r="Q360" s="35" t="n">
        <x:v>3</x:v>
      </x:c>
      <x:c r="R360" s="35" t="n">
        <x:v>4</x:v>
      </x:c>
      <x:c r="S360" s="35" t="n">
        <x:v>3</x:v>
      </x:c>
      <x:c r="T360" s="35" t="n">
        <x:v>3</x:v>
      </x:c>
      <x:c r="U360" s="35" t="n">
        <x:v>1</x:v>
      </x:c>
      <x:c r="V360" s="35" t="n">
        <x:v>3</x:v>
      </x:c>
      <x:c r="W360" s="35" t="n">
        <x:v>5</x:v>
      </x:c>
      <x:c r="X360" s="35" t="n">
        <x:v>72</x:v>
      </x:c>
      <x:c r="Y360" s="35" t="n">
        <x:v>4</x:v>
      </x:c>
      <x:c r="Z360" s="35" t="n">
        <x:v>100</x:v>
      </x:c>
      <x:c r="AA360" s="35" t="n">
        <x:v>8</x:v>
      </x:c>
      <x:c r="AB360" s="35" t="n">
        <x:v>8</x:v>
      </x:c>
      <x:c r="AC360" s="35" t="n">
        <x:v>5</x:v>
      </x:c>
      <x:c r="AD360" s="35" t="n">
        <x:v>84</x:v>
      </x:c>
      <x:c r="AE360" s="35" t="n">
        <x:v>63</x:v>
      </x:c>
      <x:c r="AF360" s="35" t="n">
        <x:v>91</x:v>
      </x:c>
      <x:c r="AG360" s="35" t="n">
        <x:v>91</x:v>
      </x:c>
      <x:c r="AH360" s="35" t="n">
        <x:v>10</x:v>
      </x:c>
      <x:c r="AI360" s="37" t="n">
        <x:v>96.5</x:v>
      </x:c>
      <x:c r="AJ360" s="37" t="n">
        <x:v>92.4</x:v>
      </x:c>
      <x:c r="AK360" s="35" t="str">
        <x:v>No</x:v>
      </x:c>
      <x:c r="AL360" s="38" t="n">
        <x:f>IF(AA360=0,0,AB360/AA360)</x:f>
        <x:v>1</x:v>
      </x:c>
      <x:c r="AM360" s="38" t="n">
        <x:f>IF(AB360=0,0,AC360/AB360)</x:f>
        <x:v>0.625</x:v>
      </x:c>
      <x:c r="AN360" s="37" t="n">
        <x:f>ROUND((AD360*0.20+AE360*0.20+AF360*0.25+AG360*0.15+MIN(100,AC360*12)*0.20),1)</x:f>
        <x:v>77.8</x:v>
      </x:c>
      <x:c r="AO360" s="37" t="n">
        <x:f>ROUND(MAX(0,MIN(100,(X360*0.35)+(W360/45*100*0.20)+((5-O360)/4*100*0.15)+((5-P360)/4*100*0.10)+((6-Y360)/5*100*0.10)+((100-Z360)*0.10))),1)</x:f>
        <x:v>47.7</x:v>
      </x:c>
      <x:c r="AP360" s="37" t="str">
        <x:f>IF(AO360&gt;=70,"High",IF(AO360&gt;=40,"Moderate","Low"))</x:f>
        <x:v>Moderate</x:v>
      </x:c>
      <x:c r="AQ360" s="37" t="n">
        <x:f>ROUND(MAX(0,MIN(100,(O360/4*100*0.25)+(P360/4*100*0.20)+(Q360/4*100*0.15)+(Y360/5*100*0.20)+(100-AO360)*0.20)),1)</x:f>
        <x:v>65.2</x:v>
      </x:c>
      <x:c r="AR360" s="37" t="n">
        <x:f>ROUND((AI360*0.20+AJ360*0.15+AN360*0.18+AG360*0.12+Z360*0.15+AQ360*0.20),1)</x:f>
        <x:v>86.1</x:v>
      </x:c>
      <x:c r="AS360" s="39" t="n">
        <x:f>ROUND((AC360*AF360*120)+(AH360*350)+(MAX(0,AI360-75)*220)+(MAX(0,AQ360-60)*100),0)</x:f>
        <x:v>63350</x:v>
      </x:c>
    </x:row>
    <x:row r="361">
      <x:c r="A361" s="35" t="n">
        <x:v>360</x:v>
      </x:c>
      <x:c r="B361" s="35" t="n">
        <x:v>49</x:v>
      </x:c>
      <x:c r="C361" s="35" t="str">
        <x:v>Female</x:v>
      </x:c>
      <x:c r="D361" s="35" t="str">
        <x:v>Research &amp; Development</x:v>
      </x:c>
      <x:c r="E361" s="35" t="str">
        <x:v>Research Scientist</x:v>
      </x:c>
      <x:c r="F361" s="35" t="str">
        <x:v>Marketing</x:v>
      </x:c>
      <x:c r="G361" s="35" t="str">
        <x:v>Single</x:v>
      </x:c>
      <x:c r="H361" s="35" t="n">
        <x:v>3</x:v>
      </x:c>
      <x:c r="I361" s="36" t="n">
        <x:v>11700</x:v>
      </x:c>
      <x:c r="J361" s="35" t="n">
        <x:v>21</x:v>
      </x:c>
      <x:c r="K361" s="35" t="n">
        <x:v>6</x:v>
      </x:c>
      <x:c r="L361" s="35" t="n">
        <x:v>3</x:v>
      </x:c>
      <x:c r="M361" s="35" t="n">
        <x:v>11</x:v>
      </x:c>
      <x:c r="N361" s="35" t="str">
        <x:v>Yes</x:v>
      </x:c>
      <x:c r="O361" s="35" t="n">
        <x:v>2</x:v>
      </x:c>
      <x:c r="P361" s="35" t="n">
        <x:v>2</x:v>
      </x:c>
      <x:c r="Q361" s="35" t="n">
        <x:v>3</x:v>
      </x:c>
      <x:c r="R361" s="35" t="n">
        <x:v>3</x:v>
      </x:c>
      <x:c r="S361" s="35" t="n">
        <x:v>3</x:v>
      </x:c>
      <x:c r="T361" s="35" t="n">
        <x:v>5</x:v>
      </x:c>
      <x:c r="U361" s="35" t="n">
        <x:v>1</x:v>
      </x:c>
      <x:c r="V361" s="35" t="n">
        <x:v>9</x:v>
      </x:c>
      <x:c r="W361" s="35" t="n">
        <x:v>25</x:v>
      </x:c>
      <x:c r="X361" s="35" t="n">
        <x:v>93</x:v>
      </x:c>
      <x:c r="Y361" s="35" t="n">
        <x:v>3</x:v>
      </x:c>
      <x:c r="Z361" s="35" t="n">
        <x:v>95</x:v>
      </x:c>
      <x:c r="AA361" s="35" t="n">
        <x:v>9</x:v>
      </x:c>
      <x:c r="AB361" s="35" t="n">
        <x:v>7</x:v>
      </x:c>
      <x:c r="AC361" s="35" t="n">
        <x:v>6</x:v>
      </x:c>
      <x:c r="AD361" s="35" t="n">
        <x:v>94</x:v>
      </x:c>
      <x:c r="AE361" s="35" t="n">
        <x:v>80</x:v>
      </x:c>
      <x:c r="AF361" s="35" t="n">
        <x:v>74</x:v>
      </x:c>
      <x:c r="AG361" s="35" t="n">
        <x:v>79</x:v>
      </x:c>
      <x:c r="AH361" s="35" t="n">
        <x:v>9</x:v>
      </x:c>
      <x:c r="AI361" s="37" t="n">
        <x:v>91.7</x:v>
      </x:c>
      <x:c r="AJ361" s="37" t="n">
        <x:v>85.3</x:v>
      </x:c>
      <x:c r="AK361" s="35" t="str">
        <x:v>Yes</x:v>
      </x:c>
      <x:c r="AL361" s="38" t="n">
        <x:f>IF(AA361=0,0,AB361/AA361)</x:f>
        <x:v>0.7777777777777778</x:v>
      </x:c>
      <x:c r="AM361" s="38" t="n">
        <x:f>IF(AB361=0,0,AC361/AB361)</x:f>
        <x:v>0.8571428571428571</x:v>
      </x:c>
      <x:c r="AN361" s="37" t="n">
        <x:f>ROUND((AD361*0.20+AE361*0.20+AF361*0.25+AG361*0.15+MIN(100,AC361*12)*0.20),1)</x:f>
        <x:v>79.6</x:v>
      </x:c>
      <x:c r="AO361" s="37" t="n">
        <x:f>ROUND(MAX(0,MIN(100,(X361*0.35)+(W361/45*100*0.20)+((5-O361)/4*100*0.15)+((5-P361)/4*100*0.10)+((6-Y361)/5*100*0.10)+((100-Z361)*0.10))),1)</x:f>
        <x:v>68.9</x:v>
      </x:c>
      <x:c r="AP361" s="37" t="str">
        <x:f>IF(AO361&gt;=70,"High",IF(AO361&gt;=40,"Moderate","Low"))</x:f>
        <x:v>Moderate</x:v>
      </x:c>
      <x:c r="AQ361" s="37" t="n">
        <x:f>ROUND(MAX(0,MIN(100,(O361/4*100*0.25)+(P361/4*100*0.20)+(Q361/4*100*0.15)+(Y361/5*100*0.20)+(100-AO361)*0.20)),1)</x:f>
        <x:v>52</x:v>
      </x:c>
      <x:c r="AR361" s="37" t="n">
        <x:f>ROUND((AI361*0.20+AJ361*0.15+AN361*0.18+AG361*0.12+Z361*0.15+AQ361*0.20),1)</x:f>
        <x:v>79.6</x:v>
      </x:c>
      <x:c r="AS361" s="39" t="n">
        <x:f>ROUND((AC361*AF361*120)+(AH361*350)+(MAX(0,AI361-75)*220)+(MAX(0,AQ361-60)*100),0)</x:f>
        <x:v>60104</x:v>
      </x:c>
    </x:row>
    <x:row r="362">
      <x:c r="A362" s="35" t="n">
        <x:v>361</x:v>
      </x:c>
      <x:c r="B362" s="35" t="n">
        <x:v>37</x:v>
      </x:c>
      <x:c r="C362" s="35" t="str">
        <x:v>Female</x:v>
      </x:c>
      <x:c r="D362" s="35" t="str">
        <x:v>Finance</x:v>
      </x:c>
      <x:c r="E362" s="35" t="str">
        <x:v>Accountant</x:v>
      </x:c>
      <x:c r="F362" s="35" t="str">
        <x:v>Technical Degree</x:v>
      </x:c>
      <x:c r="G362" s="35" t="str">
        <x:v>Married</x:v>
      </x:c>
      <x:c r="H362" s="35" t="n">
        <x:v>2</x:v>
      </x:c>
      <x:c r="I362" s="36" t="n">
        <x:v>10640</x:v>
      </x:c>
      <x:c r="J362" s="35" t="n">
        <x:v>9</x:v>
      </x:c>
      <x:c r="K362" s="35" t="n">
        <x:v>6</x:v>
      </x:c>
      <x:c r="L362" s="35" t="n">
        <x:v>4</x:v>
      </x:c>
      <x:c r="M362" s="35" t="n">
        <x:v>8</x:v>
      </x:c>
      <x:c r="N362" s="35" t="str">
        <x:v>No</x:v>
      </x:c>
      <x:c r="O362" s="35" t="n">
        <x:v>2</x:v>
      </x:c>
      <x:c r="P362" s="35" t="n">
        <x:v>3</x:v>
      </x:c>
      <x:c r="Q362" s="35" t="n">
        <x:v>2</x:v>
      </x:c>
      <x:c r="R362" s="35" t="n">
        <x:v>3</x:v>
      </x:c>
      <x:c r="S362" s="35" t="n">
        <x:v>3</x:v>
      </x:c>
      <x:c r="T362" s="35" t="n">
        <x:v>3</x:v>
      </x:c>
      <x:c r="U362" s="35" t="n">
        <x:v>2</x:v>
      </x:c>
      <x:c r="V362" s="35" t="n">
        <x:v>2</x:v>
      </x:c>
      <x:c r="W362" s="35" t="n">
        <x:v>14</x:v>
      </x:c>
      <x:c r="X362" s="35" t="n">
        <x:v>58</x:v>
      </x:c>
      <x:c r="Y362" s="35" t="n">
        <x:v>4</x:v>
      </x:c>
      <x:c r="Z362" s="35" t="n">
        <x:v>97</x:v>
      </x:c>
      <x:c r="AA362" s="35" t="n">
        <x:v>3</x:v>
      </x:c>
      <x:c r="AB362" s="35" t="n">
        <x:v>3</x:v>
      </x:c>
      <x:c r="AC362" s="35" t="n">
        <x:v>2</x:v>
      </x:c>
      <x:c r="AD362" s="35" t="n">
        <x:v>82</x:v>
      </x:c>
      <x:c r="AE362" s="35" t="n">
        <x:v>81</x:v>
      </x:c>
      <x:c r="AF362" s="35" t="n">
        <x:v>86</x:v>
      </x:c>
      <x:c r="AG362" s="35" t="n">
        <x:v>76</x:v>
      </x:c>
      <x:c r="AH362" s="35" t="n">
        <x:v>4</x:v>
      </x:c>
      <x:c r="AI362" s="37" t="n">
        <x:v>91.7</x:v>
      </x:c>
      <x:c r="AJ362" s="37" t="n">
        <x:v>83.9</x:v>
      </x:c>
      <x:c r="AK362" s="35" t="str">
        <x:v>No</x:v>
      </x:c>
      <x:c r="AL362" s="38" t="n">
        <x:f>IF(AA362=0,0,AB362/AA362)</x:f>
        <x:v>1</x:v>
      </x:c>
      <x:c r="AM362" s="38" t="n">
        <x:f>IF(AB362=0,0,AC362/AB362)</x:f>
        <x:v>0.6666666666666666</x:v>
      </x:c>
      <x:c r="AN362" s="37" t="n">
        <x:f>ROUND((AD362*0.20+AE362*0.20+AF362*0.25+AG362*0.15+MIN(100,AC362*12)*0.20),1)</x:f>
        <x:v>70.3</x:v>
      </x:c>
      <x:c r="AO362" s="37" t="n">
        <x:f>ROUND(MAX(0,MIN(100,(X362*0.35)+(W362/45*100*0.20)+((5-O362)/4*100*0.15)+((5-P362)/4*100*0.10)+((6-Y362)/5*100*0.10)+((100-Z362)*0.10))),1)</x:f>
        <x:v>47.1</x:v>
      </x:c>
      <x:c r="AP362" s="37" t="str">
        <x:f>IF(AO362&gt;=70,"High",IF(AO362&gt;=40,"Moderate","Low"))</x:f>
        <x:v>Moderate</x:v>
      </x:c>
      <x:c r="AQ362" s="37" t="n">
        <x:f>ROUND(MAX(0,MIN(100,(O362/4*100*0.25)+(P362/4*100*0.20)+(Q362/4*100*0.15)+(Y362/5*100*0.20)+(100-AO362)*0.20)),1)</x:f>
        <x:v>61.6</x:v>
      </x:c>
      <x:c r="AR362" s="37" t="n">
        <x:f>ROUND((AI362*0.20+AJ362*0.15+AN362*0.18+AG362*0.12+Z362*0.15+AQ362*0.20),1)</x:f>
        <x:v>79.6</x:v>
      </x:c>
      <x:c r="AS362" s="39" t="n">
        <x:f>ROUND((AC362*AF362*120)+(AH362*350)+(MAX(0,AI362-75)*220)+(MAX(0,AQ362-60)*100),0)</x:f>
        <x:v>25874</x:v>
      </x:c>
    </x:row>
    <x:row r="363">
      <x:c r="A363" s="35" t="n">
        <x:v>362</x:v>
      </x:c>
      <x:c r="B363" s="35" t="n">
        <x:v>21</x:v>
      </x:c>
      <x:c r="C363" s="35" t="str">
        <x:v>Male</x:v>
      </x:c>
      <x:c r="D363" s="35" t="str">
        <x:v>Marketing</x:v>
      </x:c>
      <x:c r="E363" s="35" t="str">
        <x:v>Marketing Specialist</x:v>
      </x:c>
      <x:c r="F363" s="35" t="str">
        <x:v>Computer Science</x:v>
      </x:c>
      <x:c r="G363" s="35" t="str">
        <x:v>Divorced</x:v>
      </x:c>
      <x:c r="H363" s="35" t="n">
        <x:v>1</x:v>
      </x:c>
      <x:c r="I363" s="36" t="n">
        <x:v>5330</x:v>
      </x:c>
      <x:c r="J363" s="35" t="n">
        <x:v>0</x:v>
      </x:c>
      <x:c r="K363" s="35" t="n">
        <x:v>0</x:v>
      </x:c>
      <x:c r="L363" s="35" t="n">
        <x:v>0</x:v>
      </x:c>
      <x:c r="M363" s="35" t="n">
        <x:v>3</x:v>
      </x:c>
      <x:c r="N363" s="35" t="str">
        <x:v>Yes</x:v>
      </x:c>
      <x:c r="O363" s="35" t="n">
        <x:v>2</x:v>
      </x:c>
      <x:c r="P363" s="35" t="n">
        <x:v>4</x:v>
      </x:c>
      <x:c r="Q363" s="35" t="n">
        <x:v>4</x:v>
      </x:c>
      <x:c r="R363" s="35" t="n">
        <x:v>3</x:v>
      </x:c>
      <x:c r="S363" s="35" t="n">
        <x:v>3</x:v>
      </x:c>
      <x:c r="T363" s="35" t="n">
        <x:v>3</x:v>
      </x:c>
      <x:c r="U363" s="35" t="n">
        <x:v>0</x:v>
      </x:c>
      <x:c r="V363" s="35" t="n">
        <x:v>7</x:v>
      </x:c>
      <x:c r="W363" s="35" t="n">
        <x:v>15</x:v>
      </x:c>
      <x:c r="X363" s="35" t="n">
        <x:v>74</x:v>
      </x:c>
      <x:c r="Y363" s="35" t="n">
        <x:v>5</x:v>
      </x:c>
      <x:c r="Z363" s="35" t="n">
        <x:v>100</x:v>
      </x:c>
      <x:c r="AA363" s="35" t="n">
        <x:v>2</x:v>
      </x:c>
      <x:c r="AB363" s="35" t="n">
        <x:v>2</x:v>
      </x:c>
      <x:c r="AC363" s="35" t="n">
        <x:v>2</x:v>
      </x:c>
      <x:c r="AD363" s="35" t="n">
        <x:v>55</x:v>
      </x:c>
      <x:c r="AE363" s="35" t="n">
        <x:v>72</x:v>
      </x:c>
      <x:c r="AF363" s="35" t="n">
        <x:v>57</x:v>
      </x:c>
      <x:c r="AG363" s="35" t="n">
        <x:v>94</x:v>
      </x:c>
      <x:c r="AH363" s="35" t="n">
        <x:v>7</x:v>
      </x:c>
      <x:c r="AI363" s="37" t="n">
        <x:v>98.4</x:v>
      </x:c>
      <x:c r="AJ363" s="37" t="n">
        <x:v>94.8</x:v>
      </x:c>
      <x:c r="AK363" s="35" t="str">
        <x:v>No</x:v>
      </x:c>
      <x:c r="AL363" s="38" t="n">
        <x:f>IF(AA363=0,0,AB363/AA363)</x:f>
        <x:v>1</x:v>
      </x:c>
      <x:c r="AM363" s="38" t="n">
        <x:f>IF(AB363=0,0,AC363/AB363)</x:f>
        <x:v>1</x:v>
      </x:c>
      <x:c r="AN363" s="37" t="n">
        <x:f>ROUND((AD363*0.20+AE363*0.20+AF363*0.25+AG363*0.15+MIN(100,AC363*12)*0.20),1)</x:f>
        <x:v>58.6</x:v>
      </x:c>
      <x:c r="AO363" s="37" t="n">
        <x:f>ROUND(MAX(0,MIN(100,(X363*0.35)+(W363/45*100*0.20)+((5-O363)/4*100*0.15)+((5-P363)/4*100*0.10)+((6-Y363)/5*100*0.10)+((100-Z363)*0.10))),1)</x:f>
        <x:v>48.3</x:v>
      </x:c>
      <x:c r="AP363" s="37" t="str">
        <x:f>IF(AO363&gt;=70,"High",IF(AO363&gt;=40,"Moderate","Low"))</x:f>
        <x:v>Moderate</x:v>
      </x:c>
      <x:c r="AQ363" s="37" t="n">
        <x:f>ROUND(MAX(0,MIN(100,(O363/4*100*0.25)+(P363/4*100*0.20)+(Q363/4*100*0.15)+(Y363/5*100*0.20)+(100-AO363)*0.20)),1)</x:f>
        <x:v>77.8</x:v>
      </x:c>
      <x:c r="AR363" s="37" t="n">
        <x:f>ROUND((AI363*0.20+AJ363*0.15+AN363*0.18+AG363*0.12+Z363*0.15+AQ363*0.20),1)</x:f>
        <x:v>86.3</x:v>
      </x:c>
      <x:c r="AS363" s="39" t="n">
        <x:f>ROUND((AC363*AF363*120)+(AH363*350)+(MAX(0,AI363-75)*220)+(MAX(0,AQ363-60)*100),0)</x:f>
        <x:v>23058</x:v>
      </x:c>
    </x:row>
    <x:row r="364">
      <x:c r="A364" s="35" t="n">
        <x:v>363</x:v>
      </x:c>
      <x:c r="B364" s="35" t="n">
        <x:v>44</x:v>
      </x:c>
      <x:c r="C364" s="35" t="str">
        <x:v>Female</x:v>
      </x:c>
      <x:c r="D364" s="35" t="str">
        <x:v>Information Technology</x:v>
      </x:c>
      <x:c r="E364" s="35" t="str">
        <x:v>Software Engineer</x:v>
      </x:c>
      <x:c r="F364" s="35" t="str">
        <x:v>Computer Science</x:v>
      </x:c>
      <x:c r="G364" s="35" t="str">
        <x:v>Single</x:v>
      </x:c>
      <x:c r="H364" s="35" t="n">
        <x:v>3</x:v>
      </x:c>
      <x:c r="I364" s="36" t="n">
        <x:v>12700</x:v>
      </x:c>
      <x:c r="J364" s="35" t="n">
        <x:v>19</x:v>
      </x:c>
      <x:c r="K364" s="35" t="n">
        <x:v>16</x:v>
      </x:c>
      <x:c r="L364" s="35" t="n">
        <x:v>11</x:v>
      </x:c>
      <x:c r="M364" s="35" t="n">
        <x:v>4</x:v>
      </x:c>
      <x:c r="N364" s="35" t="str">
        <x:v>No</x:v>
      </x:c>
      <x:c r="O364" s="35" t="n">
        <x:v>2</x:v>
      </x:c>
      <x:c r="P364" s="35" t="n">
        <x:v>3</x:v>
      </x:c>
      <x:c r="Q364" s="35" t="n">
        <x:v>3</x:v>
      </x:c>
      <x:c r="R364" s="35" t="n">
        <x:v>3</x:v>
      </x:c>
      <x:c r="S364" s="35" t="n">
        <x:v>4</x:v>
      </x:c>
      <x:c r="T364" s="35" t="n">
        <x:v>4</x:v>
      </x:c>
      <x:c r="U364" s="35" t="n">
        <x:v>0</x:v>
      </x:c>
      <x:c r="V364" s="35" t="n">
        <x:v>9</x:v>
      </x:c>
      <x:c r="W364" s="35" t="n">
        <x:v>2</x:v>
      </x:c>
      <x:c r="X364" s="35" t="n">
        <x:v>62</x:v>
      </x:c>
      <x:c r="Y364" s="35" t="n">
        <x:v>4</x:v>
      </x:c>
      <x:c r="Z364" s="35" t="n">
        <x:v>100</x:v>
      </x:c>
      <x:c r="AA364" s="35" t="n">
        <x:v>10</x:v>
      </x:c>
      <x:c r="AB364" s="35" t="n">
        <x:v>6</x:v>
      </x:c>
      <x:c r="AC364" s="35" t="n">
        <x:v>5</x:v>
      </x:c>
      <x:c r="AD364" s="35" t="n">
        <x:v>87</x:v>
      </x:c>
      <x:c r="AE364" s="35" t="n">
        <x:v>75</x:v>
      </x:c>
      <x:c r="AF364" s="35" t="n">
        <x:v>100</x:v>
      </x:c>
      <x:c r="AG364" s="35" t="n">
        <x:v>88</x:v>
      </x:c>
      <x:c r="AH364" s="35" t="n">
        <x:v>12</x:v>
      </x:c>
      <x:c r="AI364" s="37" t="n">
        <x:v>100</x:v>
      </x:c>
      <x:c r="AJ364" s="37" t="n">
        <x:v>100</x:v>
      </x:c>
      <x:c r="AK364" s="35" t="str">
        <x:v>Yes</x:v>
      </x:c>
      <x:c r="AL364" s="38" t="n">
        <x:f>IF(AA364=0,0,AB364/AA364)</x:f>
        <x:v>0.6</x:v>
      </x:c>
      <x:c r="AM364" s="38" t="n">
        <x:f>IF(AB364=0,0,AC364/AB364)</x:f>
        <x:v>0.8333333333333334</x:v>
      </x:c>
      <x:c r="AN364" s="37" t="n">
        <x:f>ROUND((AD364*0.20+AE364*0.20+AF364*0.25+AG364*0.15+MIN(100,AC364*12)*0.20),1)</x:f>
        <x:v>82.6</x:v>
      </x:c>
      <x:c r="AO364" s="37" t="n">
        <x:f>ROUND(MAX(0,MIN(100,(X364*0.35)+(W364/45*100*0.20)+((5-O364)/4*100*0.15)+((5-P364)/4*100*0.10)+((6-Y364)/5*100*0.10)+((100-Z364)*0.10))),1)</x:f>
        <x:v>42.8</x:v>
      </x:c>
      <x:c r="AP364" s="37" t="str">
        <x:f>IF(AO364&gt;=70,"High",IF(AO364&gt;=40,"Moderate","Low"))</x:f>
        <x:v>Moderate</x:v>
      </x:c>
      <x:c r="AQ364" s="37" t="n">
        <x:f>ROUND(MAX(0,MIN(100,(O364/4*100*0.25)+(P364/4*100*0.20)+(Q364/4*100*0.15)+(Y364/5*100*0.20)+(100-AO364)*0.20)),1)</x:f>
        <x:v>66.2</x:v>
      </x:c>
      <x:c r="AR364" s="37" t="n">
        <x:f>ROUND((AI364*0.20+AJ364*0.15+AN364*0.18+AG364*0.12+Z364*0.15+AQ364*0.20),1)</x:f>
        <x:v>88.7</x:v>
      </x:c>
      <x:c r="AS364" s="39" t="n">
        <x:f>ROUND((AC364*AF364*120)+(AH364*350)+(MAX(0,AI364-75)*220)+(MAX(0,AQ364-60)*100),0)</x:f>
        <x:v>70320</x:v>
      </x:c>
    </x:row>
    <x:row r="365">
      <x:c r="A365" s="35" t="n">
        <x:v>364</x:v>
      </x:c>
      <x:c r="B365" s="35" t="n">
        <x:v>21</x:v>
      </x:c>
      <x:c r="C365" s="35" t="str">
        <x:v>Female</x:v>
      </x:c>
      <x:c r="D365" s="35" t="str">
        <x:v>Marketing</x:v>
      </x:c>
      <x:c r="E365" s="35" t="str">
        <x:v>Marketing Specialist</x:v>
      </x:c>
      <x:c r="F365" s="35" t="str">
        <x:v>Marketing</x:v>
      </x:c>
      <x:c r="G365" s="35" t="str">
        <x:v>Married</x:v>
      </x:c>
      <x:c r="H365" s="35" t="n">
        <x:v>1</x:v>
      </x:c>
      <x:c r="I365" s="36" t="n">
        <x:v>6340</x:v>
      </x:c>
      <x:c r="J365" s="35" t="n">
        <x:v>0</x:v>
      </x:c>
      <x:c r="K365" s="35" t="n">
        <x:v>0</x:v>
      </x:c>
      <x:c r="L365" s="35" t="n">
        <x:v>0</x:v>
      </x:c>
      <x:c r="M365" s="35" t="n">
        <x:v>12</x:v>
      </x:c>
      <x:c r="N365" s="35" t="str">
        <x:v>Yes</x:v>
      </x:c>
      <x:c r="O365" s="35" t="n">
        <x:v>4</x:v>
      </x:c>
      <x:c r="P365" s="35" t="n">
        <x:v>3</x:v>
      </x:c>
      <x:c r="Q365" s="35" t="n">
        <x:v>3</x:v>
      </x:c>
      <x:c r="R365" s="35" t="n">
        <x:v>3</x:v>
      </x:c>
      <x:c r="S365" s="35" t="n">
        <x:v>3</x:v>
      </x:c>
      <x:c r="T365" s="35" t="n">
        <x:v>4</x:v>
      </x:c>
      <x:c r="U365" s="35" t="n">
        <x:v>1</x:v>
      </x:c>
      <x:c r="V365" s="35" t="n">
        <x:v>16</x:v>
      </x:c>
      <x:c r="W365" s="35" t="n">
        <x:v>14</x:v>
      </x:c>
      <x:c r="X365" s="35" t="n">
        <x:v>72</x:v>
      </x:c>
      <x:c r="Y365" s="35" t="n">
        <x:v>5</x:v>
      </x:c>
      <x:c r="Z365" s="35" t="n">
        <x:v>100</x:v>
      </x:c>
      <x:c r="AA365" s="35" t="n">
        <x:v>7</x:v>
      </x:c>
      <x:c r="AB365" s="35" t="n">
        <x:v>4</x:v>
      </x:c>
      <x:c r="AC365" s="35" t="n">
        <x:v>4</x:v>
      </x:c>
      <x:c r="AD365" s="35" t="n">
        <x:v>61</x:v>
      </x:c>
      <x:c r="AE365" s="35" t="n">
        <x:v>75</x:v>
      </x:c>
      <x:c r="AF365" s="35" t="n">
        <x:v>82</x:v>
      </x:c>
      <x:c r="AG365" s="35" t="n">
        <x:v>100</x:v>
      </x:c>
      <x:c r="AH365" s="35" t="n">
        <x:v>8</x:v>
      </x:c>
      <x:c r="AI365" s="37" t="n">
        <x:v>100</x:v>
      </x:c>
      <x:c r="AJ365" s="37" t="n">
        <x:v>100</x:v>
      </x:c>
      <x:c r="AK365" s="35" t="str">
        <x:v>No</x:v>
      </x:c>
      <x:c r="AL365" s="38" t="n">
        <x:f>IF(AA365=0,0,AB365/AA365)</x:f>
        <x:v>0.5714285714285714</x:v>
      </x:c>
      <x:c r="AM365" s="38" t="n">
        <x:f>IF(AB365=0,0,AC365/AB365)</x:f>
        <x:v>1</x:v>
      </x:c>
      <x:c r="AN365" s="37" t="n">
        <x:f>ROUND((AD365*0.20+AE365*0.20+AF365*0.25+AG365*0.15+MIN(100,AC365*12)*0.20),1)</x:f>
        <x:v>72.3</x:v>
      </x:c>
      <x:c r="AO365" s="37" t="n">
        <x:f>ROUND(MAX(0,MIN(100,(X365*0.35)+(W365/45*100*0.20)+((5-O365)/4*100*0.15)+((5-P365)/4*100*0.10)+((6-Y365)/5*100*0.10)+((100-Z365)*0.10))),1)</x:f>
        <x:v>42.2</x:v>
      </x:c>
      <x:c r="AP365" s="37" t="str">
        <x:f>IF(AO365&gt;=70,"High",IF(AO365&gt;=40,"Moderate","Low"))</x:f>
        <x:v>Moderate</x:v>
      </x:c>
      <x:c r="AQ365" s="37" t="n">
        <x:f>ROUND(MAX(0,MIN(100,(O365/4*100*0.25)+(P365/4*100*0.20)+(Q365/4*100*0.15)+(Y365/5*100*0.20)+(100-AO365)*0.20)),1)</x:f>
        <x:v>82.8</x:v>
      </x:c>
      <x:c r="AR365" s="37" t="n">
        <x:f>ROUND((AI365*0.20+AJ365*0.15+AN365*0.18+AG365*0.12+Z365*0.15+AQ365*0.20),1)</x:f>
        <x:v>91.6</x:v>
      </x:c>
      <x:c r="AS365" s="39" t="n">
        <x:f>ROUND((AC365*AF365*120)+(AH365*350)+(MAX(0,AI365-75)*220)+(MAX(0,AQ365-60)*100),0)</x:f>
        <x:v>49940</x:v>
      </x:c>
    </x:row>
    <x:row r="366">
      <x:c r="A366" s="35" t="n">
        <x:v>365</x:v>
      </x:c>
      <x:c r="B366" s="35" t="n">
        <x:v>40</x:v>
      </x:c>
      <x:c r="C366" s="35" t="str">
        <x:v>Male</x:v>
      </x:c>
      <x:c r="D366" s="35" t="str">
        <x:v>Sales</x:v>
      </x:c>
      <x:c r="E366" s="35" t="str">
        <x:v>Account Manager</x:v>
      </x:c>
      <x:c r="F366" s="35" t="str">
        <x:v>Medical</x:v>
      </x:c>
      <x:c r="G366" s="35" t="str">
        <x:v>Single</x:v>
      </x:c>
      <x:c r="H366" s="35" t="n">
        <x:v>3</x:v>
      </x:c>
      <x:c r="I366" s="36" t="n">
        <x:v>14750</x:v>
      </x:c>
      <x:c r="J366" s="35" t="n">
        <x:v>17</x:v>
      </x:c>
      <x:c r="K366" s="35" t="n">
        <x:v>11</x:v>
      </x:c>
      <x:c r="L366" s="35" t="n">
        <x:v>4</x:v>
      </x:c>
      <x:c r="M366" s="35" t="n">
        <x:v>6</x:v>
      </x:c>
      <x:c r="N366" s="35" t="str">
        <x:v>No</x:v>
      </x:c>
      <x:c r="O366" s="35" t="n">
        <x:v>2</x:v>
      </x:c>
      <x:c r="P366" s="35" t="n">
        <x:v>3</x:v>
      </x:c>
      <x:c r="Q366" s="35" t="n">
        <x:v>3</x:v>
      </x:c>
      <x:c r="R366" s="35" t="n">
        <x:v>2</x:v>
      </x:c>
      <x:c r="S366" s="35" t="n">
        <x:v>3</x:v>
      </x:c>
      <x:c r="T366" s="35" t="n">
        <x:v>1</x:v>
      </x:c>
      <x:c r="U366" s="35" t="n">
        <x:v>0</x:v>
      </x:c>
      <x:c r="V366" s="35" t="n">
        <x:v>8</x:v>
      </x:c>
      <x:c r="W366" s="35" t="n">
        <x:v>0</x:v>
      </x:c>
      <x:c r="X366" s="35" t="n">
        <x:v>68</x:v>
      </x:c>
      <x:c r="Y366" s="35" t="n">
        <x:v>4</x:v>
      </x:c>
      <x:c r="Z366" s="35" t="n">
        <x:v>95</x:v>
      </x:c>
      <x:c r="AA366" s="35" t="n">
        <x:v>6</x:v>
      </x:c>
      <x:c r="AB366" s="35" t="n">
        <x:v>3</x:v>
      </x:c>
      <x:c r="AC366" s="35" t="n">
        <x:v>2</x:v>
      </x:c>
      <x:c r="AD366" s="35" t="n">
        <x:v>63</x:v>
      </x:c>
      <x:c r="AE366" s="35" t="n">
        <x:v>81</x:v>
      </x:c>
      <x:c r="AF366" s="35" t="n">
        <x:v>81</x:v>
      </x:c>
      <x:c r="AG366" s="35" t="n">
        <x:v>79</x:v>
      </x:c>
      <x:c r="AH366" s="35" t="n">
        <x:v>5</x:v>
      </x:c>
      <x:c r="AI366" s="37" t="n">
        <x:v>95</x:v>
      </x:c>
      <x:c r="AJ366" s="37" t="n">
        <x:v>89.6</x:v>
      </x:c>
      <x:c r="AK366" s="35" t="str">
        <x:v>Yes</x:v>
      </x:c>
      <x:c r="AL366" s="38" t="n">
        <x:f>IF(AA366=0,0,AB366/AA366)</x:f>
        <x:v>0.5</x:v>
      </x:c>
      <x:c r="AM366" s="38" t="n">
        <x:f>IF(AB366=0,0,AC366/AB366)</x:f>
        <x:v>0.6666666666666666</x:v>
      </x:c>
      <x:c r="AN366" s="37" t="n">
        <x:f>ROUND((AD366*0.20+AE366*0.20+AF366*0.25+AG366*0.15+MIN(100,AC366*12)*0.20),1)</x:f>
        <x:v>65.7</x:v>
      </x:c>
      <x:c r="AO366" s="37" t="n">
        <x:f>ROUND(MAX(0,MIN(100,(X366*0.35)+(W366/45*100*0.20)+((5-O366)/4*100*0.15)+((5-P366)/4*100*0.10)+((6-Y366)/5*100*0.10)+((100-Z366)*0.10))),1)</x:f>
        <x:v>44.6</x:v>
      </x:c>
      <x:c r="AP366" s="37" t="str">
        <x:f>IF(AO366&gt;=70,"High",IF(AO366&gt;=40,"Moderate","Low"))</x:f>
        <x:v>Moderate</x:v>
      </x:c>
      <x:c r="AQ366" s="37" t="n">
        <x:f>ROUND(MAX(0,MIN(100,(O366/4*100*0.25)+(P366/4*100*0.20)+(Q366/4*100*0.15)+(Y366/5*100*0.20)+(100-AO366)*0.20)),1)</x:f>
        <x:v>65.8</x:v>
      </x:c>
      <x:c r="AR366" s="37" t="n">
        <x:f>ROUND((AI366*0.20+AJ366*0.15+AN366*0.18+AG366*0.12+Z366*0.15+AQ366*0.20),1)</x:f>
        <x:v>81.2</x:v>
      </x:c>
      <x:c r="AS366" s="39" t="n">
        <x:f>ROUND((AC366*AF366*120)+(AH366*350)+(MAX(0,AI366-75)*220)+(MAX(0,AQ366-60)*100),0)</x:f>
        <x:v>26170</x:v>
      </x:c>
    </x:row>
    <x:row r="367">
      <x:c r="A367" s="35" t="n">
        <x:v>366</x:v>
      </x:c>
      <x:c r="B367" s="35" t="n">
        <x:v>32</x:v>
      </x:c>
      <x:c r="C367" s="35" t="str">
        <x:v>Male</x:v>
      </x:c>
      <x:c r="D367" s="35" t="str">
        <x:v>Sales</x:v>
      </x:c>
      <x:c r="E367" s="35" t="str">
        <x:v>Sales Executive</x:v>
      </x:c>
      <x:c r="F367" s="35" t="str">
        <x:v>Life Sciences</x:v>
      </x:c>
      <x:c r="G367" s="35" t="str">
        <x:v>Married</x:v>
      </x:c>
      <x:c r="H367" s="35" t="n">
        <x:v>2</x:v>
      </x:c>
      <x:c r="I367" s="36" t="n">
        <x:v>9400</x:v>
      </x:c>
      <x:c r="J367" s="35" t="n">
        <x:v>8</x:v>
      </x:c>
      <x:c r="K367" s="35" t="n">
        <x:v>3</x:v>
      </x:c>
      <x:c r="L367" s="35" t="n">
        <x:v>2</x:v>
      </x:c>
      <x:c r="M367" s="35" t="n">
        <x:v>8</x:v>
      </x:c>
      <x:c r="N367" s="35" t="str">
        <x:v>No</x:v>
      </x:c>
      <x:c r="O367" s="35" t="n">
        <x:v>2</x:v>
      </x:c>
      <x:c r="P367" s="35" t="n">
        <x:v>4</x:v>
      </x:c>
      <x:c r="Q367" s="35" t="n">
        <x:v>3</x:v>
      </x:c>
      <x:c r="R367" s="35" t="n">
        <x:v>3</x:v>
      </x:c>
      <x:c r="S367" s="35" t="n">
        <x:v>3</x:v>
      </x:c>
      <x:c r="T367" s="35" t="n">
        <x:v>3</x:v>
      </x:c>
      <x:c r="U367" s="35" t="n">
        <x:v>0</x:v>
      </x:c>
      <x:c r="V367" s="35" t="n">
        <x:v>6</x:v>
      </x:c>
      <x:c r="W367" s="35" t="n">
        <x:v>10</x:v>
      </x:c>
      <x:c r="X367" s="35" t="n">
        <x:v>31</x:v>
      </x:c>
      <x:c r="Y367" s="35" t="n">
        <x:v>5</x:v>
      </x:c>
      <x:c r="Z367" s="35" t="n">
        <x:v>100</x:v>
      </x:c>
      <x:c r="AA367" s="35" t="n">
        <x:v>1</x:v>
      </x:c>
      <x:c r="AB367" s="35" t="n">
        <x:v>0</x:v>
      </x:c>
      <x:c r="AC367" s="35" t="n">
        <x:v>0</x:v>
      </x:c>
      <x:c r="AD367" s="35" t="n">
        <x:v>68</x:v>
      </x:c>
      <x:c r="AE367" s="35" t="n">
        <x:v>74</x:v>
      </x:c>
      <x:c r="AF367" s="35" t="n">
        <x:v>49</x:v>
      </x:c>
      <x:c r="AG367" s="35" t="n">
        <x:v>98</x:v>
      </x:c>
      <x:c r="AH367" s="35" t="n">
        <x:v>2</x:v>
      </x:c>
      <x:c r="AI367" s="37" t="n">
        <x:v>92.4</x:v>
      </x:c>
      <x:c r="AJ367" s="37" t="n">
        <x:v>84.6</x:v>
      </x:c>
      <x:c r="AK367" s="35" t="str">
        <x:v>No</x:v>
      </x:c>
      <x:c r="AL367" s="38" t="n">
        <x:f>IF(AA367=0,0,AB367/AA367)</x:f>
        <x:v>0</x:v>
      </x:c>
      <x:c r="AM367" s="38" t="n">
        <x:f>IF(AB367=0,0,AC367/AB367)</x:f>
        <x:v>0</x:v>
      </x:c>
      <x:c r="AN367" s="37" t="n">
        <x:f>ROUND((AD367*0.20+AE367*0.20+AF367*0.25+AG367*0.15+MIN(100,AC367*12)*0.20),1)</x:f>
        <x:v>55.4</x:v>
      </x:c>
      <x:c r="AO367" s="37" t="n">
        <x:f>ROUND(MAX(0,MIN(100,(X367*0.35)+(W367/45*100*0.20)+((5-O367)/4*100*0.15)+((5-P367)/4*100*0.10)+((6-Y367)/5*100*0.10)+((100-Z367)*0.10))),1)</x:f>
        <x:v>31</x:v>
      </x:c>
      <x:c r="AP367" s="37" t="str">
        <x:f>IF(AO367&gt;=70,"High",IF(AO367&gt;=40,"Moderate","Low"))</x:f>
        <x:v>Low</x:v>
      </x:c>
      <x:c r="AQ367" s="37" t="n">
        <x:f>ROUND(MAX(0,MIN(100,(O367/4*100*0.25)+(P367/4*100*0.20)+(Q367/4*100*0.15)+(Y367/5*100*0.20)+(100-AO367)*0.20)),1)</x:f>
        <x:v>77.6</x:v>
      </x:c>
      <x:c r="AR367" s="37" t="n">
        <x:f>ROUND((AI367*0.20+AJ367*0.15+AN367*0.18+AG367*0.12+Z367*0.15+AQ367*0.20),1)</x:f>
        <x:v>83.4</x:v>
      </x:c>
      <x:c r="AS367" s="39" t="n">
        <x:f>ROUND((AC367*AF367*120)+(AH367*350)+(MAX(0,AI367-75)*220)+(MAX(0,AQ367-60)*100),0)</x:f>
        <x:v>6288</x:v>
      </x:c>
    </x:row>
    <x:row r="368">
      <x:c r="A368" s="35" t="n">
        <x:v>367</x:v>
      </x:c>
      <x:c r="B368" s="35" t="n">
        <x:v>31</x:v>
      </x:c>
      <x:c r="C368" s="35" t="str">
        <x:v>Male</x:v>
      </x:c>
      <x:c r="D368" s="35" t="str">
        <x:v>Information Technology</x:v>
      </x:c>
      <x:c r="E368" s="35" t="str">
        <x:v>Software Engineer</x:v>
      </x:c>
      <x:c r="F368" s="35" t="str">
        <x:v>Medical</x:v>
      </x:c>
      <x:c r="G368" s="35" t="str">
        <x:v>Married</x:v>
      </x:c>
      <x:c r="H368" s="35" t="n">
        <x:v>1</x:v>
      </x:c>
      <x:c r="I368" s="36" t="n">
        <x:v>5370</x:v>
      </x:c>
      <x:c r="J368" s="35" t="n">
        <x:v>7</x:v>
      </x:c>
      <x:c r="K368" s="35" t="n">
        <x:v>6</x:v>
      </x:c>
      <x:c r="L368" s="35" t="n">
        <x:v>2</x:v>
      </x:c>
      <x:c r="M368" s="35" t="n">
        <x:v>4</x:v>
      </x:c>
      <x:c r="N368" s="35" t="str">
        <x:v>No</x:v>
      </x:c>
      <x:c r="O368" s="35" t="n">
        <x:v>4</x:v>
      </x:c>
      <x:c r="P368" s="35" t="n">
        <x:v>4</x:v>
      </x:c>
      <x:c r="Q368" s="35" t="n">
        <x:v>3</x:v>
      </x:c>
      <x:c r="R368" s="35" t="n">
        <x:v>2</x:v>
      </x:c>
      <x:c r="S368" s="35" t="n">
        <x:v>4</x:v>
      </x:c>
      <x:c r="T368" s="35" t="n">
        <x:v>3</x:v>
      </x:c>
      <x:c r="U368" s="35" t="n">
        <x:v>2</x:v>
      </x:c>
      <x:c r="V368" s="35" t="n">
        <x:v>3</x:v>
      </x:c>
      <x:c r="W368" s="35" t="n">
        <x:v>11</x:v>
      </x:c>
      <x:c r="X368" s="35" t="n">
        <x:v>74</x:v>
      </x:c>
      <x:c r="Y368" s="35" t="n">
        <x:v>4</x:v>
      </x:c>
      <x:c r="Z368" s="35" t="n">
        <x:v>92</x:v>
      </x:c>
      <x:c r="AA368" s="35" t="n">
        <x:v>9</x:v>
      </x:c>
      <x:c r="AB368" s="35" t="n">
        <x:v>7</x:v>
      </x:c>
      <x:c r="AC368" s="35" t="n">
        <x:v>4</x:v>
      </x:c>
      <x:c r="AD368" s="35" t="n">
        <x:v>77</x:v>
      </x:c>
      <x:c r="AE368" s="35" t="n">
        <x:v>95</x:v>
      </x:c>
      <x:c r="AF368" s="35" t="n">
        <x:v>92</x:v>
      </x:c>
      <x:c r="AG368" s="35" t="n">
        <x:v>88</x:v>
      </x:c>
      <x:c r="AH368" s="35" t="n">
        <x:v>12</x:v>
      </x:c>
      <x:c r="AI368" s="37" t="n">
        <x:v>97.4</x:v>
      </x:c>
      <x:c r="AJ368" s="37" t="n">
        <x:v>98.4</x:v>
      </x:c>
      <x:c r="AK368" s="35" t="str">
        <x:v>No</x:v>
      </x:c>
      <x:c r="AL368" s="38" t="n">
        <x:f>IF(AA368=0,0,AB368/AA368)</x:f>
        <x:v>0.7777777777777778</x:v>
      </x:c>
      <x:c r="AM368" s="38" t="n">
        <x:f>IF(AB368=0,0,AC368/AB368)</x:f>
        <x:v>0.5714285714285714</x:v>
      </x:c>
      <x:c r="AN368" s="37" t="n">
        <x:f>ROUND((AD368*0.20+AE368*0.20+AF368*0.25+AG368*0.15+MIN(100,AC368*12)*0.20),1)</x:f>
        <x:v>80.2</x:v>
      </x:c>
      <x:c r="AO368" s="37" t="n">
        <x:f>ROUND(MAX(0,MIN(100,(X368*0.35)+(W368/45*100*0.20)+((5-O368)/4*100*0.15)+((5-P368)/4*100*0.10)+((6-Y368)/5*100*0.10)+((100-Z368)*0.10))),1)</x:f>
        <x:v>41.8</x:v>
      </x:c>
      <x:c r="AP368" s="37" t="str">
        <x:f>IF(AO368&gt;=70,"High",IF(AO368&gt;=40,"Moderate","Low"))</x:f>
        <x:v>Moderate</x:v>
      </x:c>
      <x:c r="AQ368" s="37" t="n">
        <x:f>ROUND(MAX(0,MIN(100,(O368/4*100*0.25)+(P368/4*100*0.20)+(Q368/4*100*0.15)+(Y368/5*100*0.20)+(100-AO368)*0.20)),1)</x:f>
        <x:v>83.9</x:v>
      </x:c>
      <x:c r="AR368" s="37" t="n">
        <x:f>ROUND((AI368*0.20+AJ368*0.15+AN368*0.18+AG368*0.12+Z368*0.15+AQ368*0.20),1)</x:f>
        <x:v>89.8</x:v>
      </x:c>
      <x:c r="AS368" s="39" t="n">
        <x:f>ROUND((AC368*AF368*120)+(AH368*350)+(MAX(0,AI368-75)*220)+(MAX(0,AQ368-60)*100),0)</x:f>
        <x:v>55678</x:v>
      </x:c>
    </x:row>
    <x:row r="369">
      <x:c r="A369" s="35" t="n">
        <x:v>368</x:v>
      </x:c>
      <x:c r="B369" s="35" t="n">
        <x:v>28</x:v>
      </x:c>
      <x:c r="C369" s="35" t="str">
        <x:v>Male</x:v>
      </x:c>
      <x:c r="D369" s="35" t="str">
        <x:v>Information Technology</x:v>
      </x:c>
      <x:c r="E369" s="35" t="str">
        <x:v>Software Engineer</x:v>
      </x:c>
      <x:c r="F369" s="35" t="str">
        <x:v>Human Resources</x:v>
      </x:c>
      <x:c r="G369" s="35" t="str">
        <x:v>Married</x:v>
      </x:c>
      <x:c r="H369" s="35" t="n">
        <x:v>1</x:v>
      </x:c>
      <x:c r="I369" s="36" t="n">
        <x:v>5430</x:v>
      </x:c>
      <x:c r="J369" s="35" t="n">
        <x:v>5</x:v>
      </x:c>
      <x:c r="K369" s="35" t="n">
        <x:v>2</x:v>
      </x:c>
      <x:c r="L369" s="35" t="n">
        <x:v>2</x:v>
      </x:c>
      <x:c r="M369" s="35" t="n">
        <x:v>7</x:v>
      </x:c>
      <x:c r="N369" s="35" t="str">
        <x:v>No</x:v>
      </x:c>
      <x:c r="O369" s="35" t="n">
        <x:v>2</x:v>
      </x:c>
      <x:c r="P369" s="35" t="n">
        <x:v>4</x:v>
      </x:c>
      <x:c r="Q369" s="35" t="n">
        <x:v>3</x:v>
      </x:c>
      <x:c r="R369" s="35" t="n">
        <x:v>3</x:v>
      </x:c>
      <x:c r="S369" s="35" t="n">
        <x:v>3</x:v>
      </x:c>
      <x:c r="T369" s="35" t="n">
        <x:v>4</x:v>
      </x:c>
      <x:c r="U369" s="35" t="n">
        <x:v>0</x:v>
      </x:c>
      <x:c r="V369" s="35" t="n">
        <x:v>7</x:v>
      </x:c>
      <x:c r="W369" s="35" t="n">
        <x:v>1</x:v>
      </x:c>
      <x:c r="X369" s="35" t="n">
        <x:v>69</x:v>
      </x:c>
      <x:c r="Y369" s="35" t="n">
        <x:v>5</x:v>
      </x:c>
      <x:c r="Z369" s="35" t="n">
        <x:v>100</x:v>
      </x:c>
      <x:c r="AA369" s="35" t="n">
        <x:v>6</x:v>
      </x:c>
      <x:c r="AB369" s="35" t="n">
        <x:v>5</x:v>
      </x:c>
      <x:c r="AC369" s="35" t="n">
        <x:v>4</x:v>
      </x:c>
      <x:c r="AD369" s="35" t="n">
        <x:v>96</x:v>
      </x:c>
      <x:c r="AE369" s="35" t="n">
        <x:v>73</x:v>
      </x:c>
      <x:c r="AF369" s="35" t="n">
        <x:v>75</x:v>
      </x:c>
      <x:c r="AG369" s="35" t="n">
        <x:v>100</x:v>
      </x:c>
      <x:c r="AH369" s="35" t="n">
        <x:v>5</x:v>
      </x:c>
      <x:c r="AI369" s="37" t="n">
        <x:v>100</x:v>
      </x:c>
      <x:c r="AJ369" s="37" t="n">
        <x:v>92</x:v>
      </x:c>
      <x:c r="AK369" s="35" t="str">
        <x:v>No</x:v>
      </x:c>
      <x:c r="AL369" s="38" t="n">
        <x:f>IF(AA369=0,0,AB369/AA369)</x:f>
        <x:v>0.8333333333333334</x:v>
      </x:c>
      <x:c r="AM369" s="38" t="n">
        <x:f>IF(AB369=0,0,AC369/AB369)</x:f>
        <x:v>0.8</x:v>
      </x:c>
      <x:c r="AN369" s="37" t="n">
        <x:f>ROUND((AD369*0.20+AE369*0.20+AF369*0.25+AG369*0.15+MIN(100,AC369*12)*0.20),1)</x:f>
        <x:v>77.2</x:v>
      </x:c>
      <x:c r="AO369" s="37" t="n">
        <x:f>ROUND(MAX(0,MIN(100,(X369*0.35)+(W369/45*100*0.20)+((5-O369)/4*100*0.15)+((5-P369)/4*100*0.10)+((6-Y369)/5*100*0.10)+((100-Z369)*0.10))),1)</x:f>
        <x:v>40.3</x:v>
      </x:c>
      <x:c r="AP369" s="37" t="str">
        <x:f>IF(AO369&gt;=70,"High",IF(AO369&gt;=40,"Moderate","Low"))</x:f>
        <x:v>Moderate</x:v>
      </x:c>
      <x:c r="AQ369" s="37" t="n">
        <x:f>ROUND(MAX(0,MIN(100,(O369/4*100*0.25)+(P369/4*100*0.20)+(Q369/4*100*0.15)+(Y369/5*100*0.20)+(100-AO369)*0.20)),1)</x:f>
        <x:v>75.7</x:v>
      </x:c>
      <x:c r="AR369" s="37" t="n">
        <x:f>ROUND((AI369*0.20+AJ369*0.15+AN369*0.18+AG369*0.12+Z369*0.15+AQ369*0.20),1)</x:f>
        <x:v>89.8</x:v>
      </x:c>
      <x:c r="AS369" s="39" t="n">
        <x:f>ROUND((AC369*AF369*120)+(AH369*350)+(MAX(0,AI369-75)*220)+(MAX(0,AQ369-60)*100),0)</x:f>
        <x:v>44820</x:v>
      </x:c>
    </x:row>
    <x:row r="370">
      <x:c r="A370" s="35" t="n">
        <x:v>369</x:v>
      </x:c>
      <x:c r="B370" s="35" t="n">
        <x:v>32</x:v>
      </x:c>
      <x:c r="C370" s="35" t="str">
        <x:v>Male</x:v>
      </x:c>
      <x:c r="D370" s="35" t="str">
        <x:v>Research &amp; Development</x:v>
      </x:c>
      <x:c r="E370" s="35" t="str">
        <x:v>Data Scientist</x:v>
      </x:c>
      <x:c r="F370" s="35" t="str">
        <x:v>Technical Degree</x:v>
      </x:c>
      <x:c r="G370" s="35" t="str">
        <x:v>Single</x:v>
      </x:c>
      <x:c r="H370" s="35" t="n">
        <x:v>2</x:v>
      </x:c>
      <x:c r="I370" s="36" t="n">
        <x:v>7810</x:v>
      </x:c>
      <x:c r="J370" s="35" t="n">
        <x:v>6</x:v>
      </x:c>
      <x:c r="K370" s="35" t="n">
        <x:v>3</x:v>
      </x:c>
      <x:c r="L370" s="35" t="n">
        <x:v>1</x:v>
      </x:c>
      <x:c r="M370" s="35" t="n">
        <x:v>8</x:v>
      </x:c>
      <x:c r="N370" s="35" t="str">
        <x:v>No</x:v>
      </x:c>
      <x:c r="O370" s="35" t="n">
        <x:v>3</x:v>
      </x:c>
      <x:c r="P370" s="35" t="n">
        <x:v>3</x:v>
      </x:c>
      <x:c r="Q370" s="35" t="n">
        <x:v>2</x:v>
      </x:c>
      <x:c r="R370" s="35" t="n">
        <x:v>2</x:v>
      </x:c>
      <x:c r="S370" s="35" t="n">
        <x:v>3</x:v>
      </x:c>
      <x:c r="T370" s="35" t="n">
        <x:v>4</x:v>
      </x:c>
      <x:c r="U370" s="35" t="n">
        <x:v>0</x:v>
      </x:c>
      <x:c r="V370" s="35" t="n">
        <x:v>7</x:v>
      </x:c>
      <x:c r="W370" s="35" t="n">
        <x:v>9</x:v>
      </x:c>
      <x:c r="X370" s="35" t="n">
        <x:v>47</x:v>
      </x:c>
      <x:c r="Y370" s="35" t="n">
        <x:v>5</x:v>
      </x:c>
      <x:c r="Z370" s="35" t="n">
        <x:v>96</x:v>
      </x:c>
      <x:c r="AA370" s="35" t="n">
        <x:v>4</x:v>
      </x:c>
      <x:c r="AB370" s="35" t="n">
        <x:v>2</x:v>
      </x:c>
      <x:c r="AC370" s="35" t="n">
        <x:v>1</x:v>
      </x:c>
      <x:c r="AD370" s="35" t="n">
        <x:v>94</x:v>
      </x:c>
      <x:c r="AE370" s="35" t="n">
        <x:v>87</x:v>
      </x:c>
      <x:c r="AF370" s="35" t="n">
        <x:v>83</x:v>
      </x:c>
      <x:c r="AG370" s="35" t="n">
        <x:v>84</x:v>
      </x:c>
      <x:c r="AH370" s="35" t="n">
        <x:v>4</x:v>
      </x:c>
      <x:c r="AI370" s="37" t="n">
        <x:v>95.4</x:v>
      </x:c>
      <x:c r="AJ370" s="37" t="n">
        <x:v>92</x:v>
      </x:c>
      <x:c r="AK370" s="35" t="str">
        <x:v>Yes</x:v>
      </x:c>
      <x:c r="AL370" s="38" t="n">
        <x:f>IF(AA370=0,0,AB370/AA370)</x:f>
        <x:v>0.5</x:v>
      </x:c>
      <x:c r="AM370" s="38" t="n">
        <x:f>IF(AB370=0,0,AC370/AB370)</x:f>
        <x:v>0.5</x:v>
      </x:c>
      <x:c r="AN370" s="37" t="n">
        <x:f>ROUND((AD370*0.20+AE370*0.20+AF370*0.25+AG370*0.15+MIN(100,AC370*12)*0.20),1)</x:f>
        <x:v>72</x:v>
      </x:c>
      <x:c r="AO370" s="37" t="n">
        <x:f>ROUND(MAX(0,MIN(100,(X370*0.35)+(W370/45*100*0.20)+((5-O370)/4*100*0.15)+((5-P370)/4*100*0.10)+((6-Y370)/5*100*0.10)+((100-Z370)*0.10))),1)</x:f>
        <x:v>35.4</x:v>
      </x:c>
      <x:c r="AP370" s="37" t="str">
        <x:f>IF(AO370&gt;=70,"High",IF(AO370&gt;=40,"Moderate","Low"))</x:f>
        <x:v>Low</x:v>
      </x:c>
      <x:c r="AQ370" s="37" t="n">
        <x:f>ROUND(MAX(0,MIN(100,(O370/4*100*0.25)+(P370/4*100*0.20)+(Q370/4*100*0.15)+(Y370/5*100*0.20)+(100-AO370)*0.20)),1)</x:f>
        <x:v>74.2</x:v>
      </x:c>
      <x:c r="AR370" s="37" t="n">
        <x:f>ROUND((AI370*0.20+AJ370*0.15+AN370*0.18+AG370*0.12+Z370*0.15+AQ370*0.20),1)</x:f>
        <x:v>85.2</x:v>
      </x:c>
      <x:c r="AS370" s="39" t="n">
        <x:f>ROUND((AC370*AF370*120)+(AH370*350)+(MAX(0,AI370-75)*220)+(MAX(0,AQ370-60)*100),0)</x:f>
        <x:v>17268</x:v>
      </x:c>
    </x:row>
    <x:row r="371">
      <x:c r="A371" s="35" t="n">
        <x:v>370</x:v>
      </x:c>
      <x:c r="B371" s="35" t="n">
        <x:v>36</x:v>
      </x:c>
      <x:c r="C371" s="35" t="str">
        <x:v>Female</x:v>
      </x:c>
      <x:c r="D371" s="35" t="str">
        <x:v>Sales</x:v>
      </x:c>
      <x:c r="E371" s="35" t="str">
        <x:v>Sales Executive</x:v>
      </x:c>
      <x:c r="F371" s="35" t="str">
        <x:v>Computer Science</x:v>
      </x:c>
      <x:c r="G371" s="35" t="str">
        <x:v>Divorced</x:v>
      </x:c>
      <x:c r="H371" s="35" t="n">
        <x:v>1</x:v>
      </x:c>
      <x:c r="I371" s="36" t="n">
        <x:v>7040</x:v>
      </x:c>
      <x:c r="J371" s="35" t="n">
        <x:v>11</x:v>
      </x:c>
      <x:c r="K371" s="35" t="n">
        <x:v>7</x:v>
      </x:c>
      <x:c r="L371" s="35" t="n">
        <x:v>3</x:v>
      </x:c>
      <x:c r="M371" s="35" t="n">
        <x:v>14</x:v>
      </x:c>
      <x:c r="N371" s="35" t="str">
        <x:v>No</x:v>
      </x:c>
      <x:c r="O371" s="35" t="n">
        <x:v>3</x:v>
      </x:c>
      <x:c r="P371" s="35" t="n">
        <x:v>2</x:v>
      </x:c>
      <x:c r="Q371" s="35" t="n">
        <x:v>4</x:v>
      </x:c>
      <x:c r="R371" s="35" t="n">
        <x:v>2</x:v>
      </x:c>
      <x:c r="S371" s="35" t="n">
        <x:v>3</x:v>
      </x:c>
      <x:c r="T371" s="35" t="n">
        <x:v>3</x:v>
      </x:c>
      <x:c r="U371" s="35" t="n">
        <x:v>0</x:v>
      </x:c>
      <x:c r="V371" s="35" t="n">
        <x:v>6</x:v>
      </x:c>
      <x:c r="W371" s="35" t="n">
        <x:v>5</x:v>
      </x:c>
      <x:c r="X371" s="35" t="n">
        <x:v>57</x:v>
      </x:c>
      <x:c r="Y371" s="35" t="n">
        <x:v>4</x:v>
      </x:c>
      <x:c r="Z371" s="35" t="n">
        <x:v>86</x:v>
      </x:c>
      <x:c r="AA371" s="35" t="n">
        <x:v>9</x:v>
      </x:c>
      <x:c r="AB371" s="35" t="n">
        <x:v>4</x:v>
      </x:c>
      <x:c r="AC371" s="35" t="n">
        <x:v>3</x:v>
      </x:c>
      <x:c r="AD371" s="35" t="n">
        <x:v>90</x:v>
      </x:c>
      <x:c r="AE371" s="35" t="n">
        <x:v>75</x:v>
      </x:c>
      <x:c r="AF371" s="35" t="n">
        <x:v>58</x:v>
      </x:c>
      <x:c r="AG371" s="35" t="n">
        <x:v>73</x:v>
      </x:c>
      <x:c r="AH371" s="35" t="n">
        <x:v>5</x:v>
      </x:c>
      <x:c r="AI371" s="37" t="n">
        <x:v>94</x:v>
      </x:c>
      <x:c r="AJ371" s="37" t="n">
        <x:v>95.7</x:v>
      </x:c>
      <x:c r="AK371" s="35" t="str">
        <x:v>No</x:v>
      </x:c>
      <x:c r="AL371" s="38" t="n">
        <x:f>IF(AA371=0,0,AB371/AA371)</x:f>
        <x:v>0.4444444444444444</x:v>
      </x:c>
      <x:c r="AM371" s="38" t="n">
        <x:f>IF(AB371=0,0,AC371/AB371)</x:f>
        <x:v>0.75</x:v>
      </x:c>
      <x:c r="AN371" s="37" t="n">
        <x:f>ROUND((AD371*0.20+AE371*0.20+AF371*0.25+AG371*0.15+MIN(100,AC371*12)*0.20),1)</x:f>
        <x:v>65.7</x:v>
      </x:c>
      <x:c r="AO371" s="37" t="n">
        <x:f>ROUND(MAX(0,MIN(100,(X371*0.35)+(W371/45*100*0.20)+((5-O371)/4*100*0.15)+((5-P371)/4*100*0.10)+((6-Y371)/5*100*0.10)+((100-Z371)*0.10))),1)</x:f>
        <x:v>42.6</x:v>
      </x:c>
      <x:c r="AP371" s="37" t="str">
        <x:f>IF(AO371&gt;=70,"High",IF(AO371&gt;=40,"Moderate","Low"))</x:f>
        <x:v>Moderate</x:v>
      </x:c>
      <x:c r="AQ371" s="37" t="n">
        <x:f>ROUND(MAX(0,MIN(100,(O371/4*100*0.25)+(P371/4*100*0.20)+(Q371/4*100*0.15)+(Y371/5*100*0.20)+(100-AO371)*0.20)),1)</x:f>
        <x:v>71.2</x:v>
      </x:c>
      <x:c r="AR371" s="37" t="n">
        <x:f>ROUND((AI371*0.20+AJ371*0.15+AN371*0.18+AG371*0.12+Z371*0.15+AQ371*0.20),1)</x:f>
        <x:v>80.9</x:v>
      </x:c>
      <x:c r="AS371" s="39" t="n">
        <x:f>ROUND((AC371*AF371*120)+(AH371*350)+(MAX(0,AI371-75)*220)+(MAX(0,AQ371-60)*100),0)</x:f>
        <x:v>27930</x:v>
      </x:c>
    </x:row>
    <x:row r="372">
      <x:c r="A372" s="35" t="n">
        <x:v>371</x:v>
      </x:c>
      <x:c r="B372" s="35" t="n">
        <x:v>48</x:v>
      </x:c>
      <x:c r="C372" s="35" t="str">
        <x:v>Male</x:v>
      </x:c>
      <x:c r="D372" s="35" t="str">
        <x:v>Sales</x:v>
      </x:c>
      <x:c r="E372" s="35" t="str">
        <x:v>Sales Representative</x:v>
      </x:c>
      <x:c r="F372" s="35" t="str">
        <x:v>Marketing</x:v>
      </x:c>
      <x:c r="G372" s="35" t="str">
        <x:v>Single</x:v>
      </x:c>
      <x:c r="H372" s="35" t="n">
        <x:v>5</x:v>
      </x:c>
      <x:c r="I372" s="36" t="n">
        <x:v>35810</x:v>
      </x:c>
      <x:c r="J372" s="35" t="n">
        <x:v>19</x:v>
      </x:c>
      <x:c r="K372" s="35" t="n">
        <x:v>15</x:v>
      </x:c>
      <x:c r="L372" s="35" t="n">
        <x:v>9</x:v>
      </x:c>
      <x:c r="M372" s="35" t="n">
        <x:v>8</x:v>
      </x:c>
      <x:c r="N372" s="35" t="str">
        <x:v>No</x:v>
      </x:c>
      <x:c r="O372" s="35" t="n">
        <x:v>2</x:v>
      </x:c>
      <x:c r="P372" s="35" t="n">
        <x:v>3</x:v>
      </x:c>
      <x:c r="Q372" s="35" t="n">
        <x:v>4</x:v>
      </x:c>
      <x:c r="R372" s="35" t="n">
        <x:v>3</x:v>
      </x:c>
      <x:c r="S372" s="35" t="n">
        <x:v>3</x:v>
      </x:c>
      <x:c r="T372" s="35" t="n">
        <x:v>2</x:v>
      </x:c>
      <x:c r="U372" s="35" t="n">
        <x:v>1</x:v>
      </x:c>
      <x:c r="V372" s="35" t="n">
        <x:v>12</x:v>
      </x:c>
      <x:c r="W372" s="35" t="n">
        <x:v>10</x:v>
      </x:c>
      <x:c r="X372" s="35" t="n">
        <x:v>44</x:v>
      </x:c>
      <x:c r="Y372" s="35" t="n">
        <x:v>5</x:v>
      </x:c>
      <x:c r="Z372" s="35" t="n">
        <x:v>100</x:v>
      </x:c>
      <x:c r="AA372" s="35" t="n">
        <x:v>7</x:v>
      </x:c>
      <x:c r="AB372" s="35" t="n">
        <x:v>6</x:v>
      </x:c>
      <x:c r="AC372" s="35" t="n">
        <x:v>6</x:v>
      </x:c>
      <x:c r="AD372" s="35" t="n">
        <x:v>72</x:v>
      </x:c>
      <x:c r="AE372" s="35" t="n">
        <x:v>100</x:v>
      </x:c>
      <x:c r="AF372" s="35" t="n">
        <x:v>100</x:v>
      </x:c>
      <x:c r="AG372" s="35" t="n">
        <x:v>100</x:v>
      </x:c>
      <x:c r="AH372" s="35" t="n">
        <x:v>12</x:v>
      </x:c>
      <x:c r="AI372" s="37" t="n">
        <x:v>96.6</x:v>
      </x:c>
      <x:c r="AJ372" s="37" t="n">
        <x:v>94.6</x:v>
      </x:c>
      <x:c r="AK372" s="35" t="str">
        <x:v>No</x:v>
      </x:c>
      <x:c r="AL372" s="38" t="n">
        <x:f>IF(AA372=0,0,AB372/AA372)</x:f>
        <x:v>0.8571428571428571</x:v>
      </x:c>
      <x:c r="AM372" s="38" t="n">
        <x:f>IF(AB372=0,0,AC372/AB372)</x:f>
        <x:v>1</x:v>
      </x:c>
      <x:c r="AN372" s="37" t="n">
        <x:f>ROUND((AD372*0.20+AE372*0.20+AF372*0.25+AG372*0.15+MIN(100,AC372*12)*0.20),1)</x:f>
        <x:v>88.8</x:v>
      </x:c>
      <x:c r="AO372" s="37" t="n">
        <x:f>ROUND(MAX(0,MIN(100,(X372*0.35)+(W372/45*100*0.20)+((5-O372)/4*100*0.15)+((5-P372)/4*100*0.10)+((6-Y372)/5*100*0.10)+((100-Z372)*0.10))),1)</x:f>
        <x:v>38.1</x:v>
      </x:c>
      <x:c r="AP372" s="37" t="str">
        <x:f>IF(AO372&gt;=70,"High",IF(AO372&gt;=40,"Moderate","Low"))</x:f>
        <x:v>Low</x:v>
      </x:c>
      <x:c r="AQ372" s="37" t="n">
        <x:f>ROUND(MAX(0,MIN(100,(O372/4*100*0.25)+(P372/4*100*0.20)+(Q372/4*100*0.15)+(Y372/5*100*0.20)+(100-AO372)*0.20)),1)</x:f>
        <x:v>74.9</x:v>
      </x:c>
      <x:c r="AR372" s="37" t="n">
        <x:f>ROUND((AI372*0.20+AJ372*0.15+AN372*0.18+AG372*0.12+Z372*0.15+AQ372*0.20),1)</x:f>
        <x:v>91.5</x:v>
      </x:c>
      <x:c r="AS372" s="39" t="n">
        <x:f>ROUND((AC372*AF372*120)+(AH372*350)+(MAX(0,AI372-75)*220)+(MAX(0,AQ372-60)*100),0)</x:f>
        <x:v>82442</x:v>
      </x:c>
    </x:row>
    <x:row r="373">
      <x:c r="A373" s="35" t="n">
        <x:v>372</x:v>
      </x:c>
      <x:c r="B373" s="35" t="n">
        <x:v>45</x:v>
      </x:c>
      <x:c r="C373" s="35" t="str">
        <x:v>Male</x:v>
      </x:c>
      <x:c r="D373" s="35" t="str">
        <x:v>Operations</x:v>
      </x:c>
      <x:c r="E373" s="35" t="str">
        <x:v>Quality Specialist</x:v>
      </x:c>
      <x:c r="F373" s="35" t="str">
        <x:v>Medical</x:v>
      </x:c>
      <x:c r="G373" s="35" t="str">
        <x:v>Married</x:v>
      </x:c>
      <x:c r="H373" s="35" t="n">
        <x:v>3</x:v>
      </x:c>
      <x:c r="I373" s="36" t="n">
        <x:v>13140</x:v>
      </x:c>
      <x:c r="J373" s="35" t="n">
        <x:v>19</x:v>
      </x:c>
      <x:c r="K373" s="35" t="n">
        <x:v>11</x:v>
      </x:c>
      <x:c r="L373" s="35" t="n">
        <x:v>3</x:v>
      </x:c>
      <x:c r="M373" s="35" t="n">
        <x:v>19</x:v>
      </x:c>
      <x:c r="N373" s="35" t="str">
        <x:v>Yes</x:v>
      </x:c>
      <x:c r="O373" s="35" t="n">
        <x:v>1</x:v>
      </x:c>
      <x:c r="P373" s="35" t="n">
        <x:v>3</x:v>
      </x:c>
      <x:c r="Q373" s="35" t="n">
        <x:v>3</x:v>
      </x:c>
      <x:c r="R373" s="35" t="n">
        <x:v>4</x:v>
      </x:c>
      <x:c r="S373" s="35" t="n">
        <x:v>3</x:v>
      </x:c>
      <x:c r="T373" s="35" t="n">
        <x:v>2</x:v>
      </x:c>
      <x:c r="U373" s="35" t="n">
        <x:v>2</x:v>
      </x:c>
      <x:c r="V373" s="35" t="n">
        <x:v>12</x:v>
      </x:c>
      <x:c r="W373" s="35" t="n">
        <x:v>16</x:v>
      </x:c>
      <x:c r="X373" s="35" t="n">
        <x:v>100</x:v>
      </x:c>
      <x:c r="Y373" s="35" t="n">
        <x:v>3</x:v>
      </x:c>
      <x:c r="Z373" s="35" t="n">
        <x:v>91</x:v>
      </x:c>
      <x:c r="AA373" s="35" t="n">
        <x:v>5</x:v>
      </x:c>
      <x:c r="AB373" s="35" t="n">
        <x:v>4</x:v>
      </x:c>
      <x:c r="AC373" s="35" t="n">
        <x:v>3</x:v>
      </x:c>
      <x:c r="AD373" s="35" t="n">
        <x:v>60</x:v>
      </x:c>
      <x:c r="AE373" s="35" t="n">
        <x:v>99</x:v>
      </x:c>
      <x:c r="AF373" s="35" t="n">
        <x:v>81</x:v>
      </x:c>
      <x:c r="AG373" s="35" t="n">
        <x:v>100</x:v>
      </x:c>
      <x:c r="AH373" s="35" t="n">
        <x:v>5</x:v>
      </x:c>
      <x:c r="AI373" s="37" t="n">
        <x:v>100</x:v>
      </x:c>
      <x:c r="AJ373" s="37" t="n">
        <x:v>100</x:v>
      </x:c>
      <x:c r="AK373" s="35" t="str">
        <x:v>Yes</x:v>
      </x:c>
      <x:c r="AL373" s="38" t="n">
        <x:f>IF(AA373=0,0,AB373/AA373)</x:f>
        <x:v>0.8</x:v>
      </x:c>
      <x:c r="AM373" s="38" t="n">
        <x:f>IF(AB373=0,0,AC373/AB373)</x:f>
        <x:v>0.75</x:v>
      </x:c>
      <x:c r="AN373" s="37" t="n">
        <x:f>ROUND((AD373*0.20+AE373*0.20+AF373*0.25+AG373*0.15+MIN(100,AC373*12)*0.20),1)</x:f>
        <x:v>74.3</x:v>
      </x:c>
      <x:c r="AO373" s="37" t="n">
        <x:f>ROUND(MAX(0,MIN(100,(X373*0.35)+(W373/45*100*0.20)+((5-O373)/4*100*0.15)+((5-P373)/4*100*0.10)+((6-Y373)/5*100*0.10)+((100-Z373)*0.10))),1)</x:f>
        <x:v>69</x:v>
      </x:c>
      <x:c r="AP373" s="37" t="str">
        <x:f>IF(AO373&gt;=70,"High",IF(AO373&gt;=40,"Moderate","Low"))</x:f>
        <x:v>Moderate</x:v>
      </x:c>
      <x:c r="AQ373" s="37" t="n">
        <x:f>ROUND(MAX(0,MIN(100,(O373/4*100*0.25)+(P373/4*100*0.20)+(Q373/4*100*0.15)+(Y373/5*100*0.20)+(100-AO373)*0.20)),1)</x:f>
        <x:v>50.7</x:v>
      </x:c>
      <x:c r="AR373" s="37" t="n">
        <x:f>ROUND((AI373*0.20+AJ373*0.15+AN373*0.18+AG373*0.12+Z373*0.15+AQ373*0.20),1)</x:f>
        <x:v>84.2</x:v>
      </x:c>
      <x:c r="AS373" s="39" t="n">
        <x:f>ROUND((AC373*AF373*120)+(AH373*350)+(MAX(0,AI373-75)*220)+(MAX(0,AQ373-60)*100),0)</x:f>
        <x:v>36410</x:v>
      </x:c>
    </x:row>
    <x:row r="374">
      <x:c r="A374" s="35" t="n">
        <x:v>373</x:v>
      </x:c>
      <x:c r="B374" s="35" t="n">
        <x:v>45</x:v>
      </x:c>
      <x:c r="C374" s="35" t="str">
        <x:v>Female</x:v>
      </x:c>
      <x:c r="D374" s="35" t="str">
        <x:v>Operations</x:v>
      </x:c>
      <x:c r="E374" s="35" t="str">
        <x:v>Quality Specialist</x:v>
      </x:c>
      <x:c r="F374" s="35" t="str">
        <x:v>Technical Degree</x:v>
      </x:c>
      <x:c r="G374" s="35" t="str">
        <x:v>Married</x:v>
      </x:c>
      <x:c r="H374" s="35" t="n">
        <x:v>3</x:v>
      </x:c>
      <x:c r="I374" s="36" t="n">
        <x:v>16150</x:v>
      </x:c>
      <x:c r="J374" s="35" t="n">
        <x:v>20</x:v>
      </x:c>
      <x:c r="K374" s="35" t="n">
        <x:v>12</x:v>
      </x:c>
      <x:c r="L374" s="35" t="n">
        <x:v>8</x:v>
      </x:c>
      <x:c r="M374" s="35" t="n">
        <x:v>8</x:v>
      </x:c>
      <x:c r="N374" s="35" t="str">
        <x:v>Yes</x:v>
      </x:c>
      <x:c r="O374" s="35" t="n">
        <x:v>3</x:v>
      </x:c>
      <x:c r="P374" s="35" t="n">
        <x:v>4</x:v>
      </x:c>
      <x:c r="Q374" s="35" t="n">
        <x:v>3</x:v>
      </x:c>
      <x:c r="R374" s="35" t="n">
        <x:v>3</x:v>
      </x:c>
      <x:c r="S374" s="35" t="n">
        <x:v>3</x:v>
      </x:c>
      <x:c r="T374" s="35" t="n">
        <x:v>4</x:v>
      </x:c>
      <x:c r="U374" s="35" t="n">
        <x:v>0</x:v>
      </x:c>
      <x:c r="V374" s="35" t="n">
        <x:v>7</x:v>
      </x:c>
      <x:c r="W374" s="35" t="n">
        <x:v>20</x:v>
      </x:c>
      <x:c r="X374" s="35" t="n">
        <x:v>61</x:v>
      </x:c>
      <x:c r="Y374" s="35" t="n">
        <x:v>4</x:v>
      </x:c>
      <x:c r="Z374" s="35" t="n">
        <x:v>100</x:v>
      </x:c>
      <x:c r="AA374" s="35" t="n">
        <x:v>3</x:v>
      </x:c>
      <x:c r="AB374" s="35" t="n">
        <x:v>1</x:v>
      </x:c>
      <x:c r="AC374" s="35" t="n">
        <x:v>1</x:v>
      </x:c>
      <x:c r="AD374" s="35" t="n">
        <x:v>89</x:v>
      </x:c>
      <x:c r="AE374" s="35" t="n">
        <x:v>76</x:v>
      </x:c>
      <x:c r="AF374" s="35" t="n">
        <x:v>66</x:v>
      </x:c>
      <x:c r="AG374" s="35" t="n">
        <x:v>95</x:v>
      </x:c>
      <x:c r="AH374" s="35" t="n">
        <x:v>6</x:v>
      </x:c>
      <x:c r="AI374" s="37" t="n">
        <x:v>92.7</x:v>
      </x:c>
      <x:c r="AJ374" s="37" t="n">
        <x:v>96.5</x:v>
      </x:c>
      <x:c r="AK374" s="35" t="str">
        <x:v>No</x:v>
      </x:c>
      <x:c r="AL374" s="38" t="n">
        <x:f>IF(AA374=0,0,AB374/AA374)</x:f>
        <x:v>0.3333333333333333</x:v>
      </x:c>
      <x:c r="AM374" s="38" t="n">
        <x:f>IF(AB374=0,0,AC374/AB374)</x:f>
        <x:v>1</x:v>
      </x:c>
      <x:c r="AN374" s="37" t="n">
        <x:f>ROUND((AD374*0.20+AE374*0.20+AF374*0.25+AG374*0.15+MIN(100,AC374*12)*0.20),1)</x:f>
        <x:v>66.2</x:v>
      </x:c>
      <x:c r="AO374" s="37" t="n">
        <x:f>ROUND(MAX(0,MIN(100,(X374*0.35)+(W374/45*100*0.20)+((5-O374)/4*100*0.15)+((5-P374)/4*100*0.10)+((6-Y374)/5*100*0.10)+((100-Z374)*0.10))),1)</x:f>
        <x:v>44.2</x:v>
      </x:c>
      <x:c r="AP374" s="37" t="str">
        <x:f>IF(AO374&gt;=70,"High",IF(AO374&gt;=40,"Moderate","Low"))</x:f>
        <x:v>Moderate</x:v>
      </x:c>
      <x:c r="AQ374" s="37" t="n">
        <x:f>ROUND(MAX(0,MIN(100,(O374/4*100*0.25)+(P374/4*100*0.20)+(Q374/4*100*0.15)+(Y374/5*100*0.20)+(100-AO374)*0.20)),1)</x:f>
        <x:v>77.2</x:v>
      </x:c>
      <x:c r="AR374" s="37" t="n">
        <x:f>ROUND((AI374*0.20+AJ374*0.15+AN374*0.18+AG374*0.12+Z374*0.15+AQ374*0.20),1)</x:f>
        <x:v>86.8</x:v>
      </x:c>
      <x:c r="AS374" s="39" t="n">
        <x:f>ROUND((AC374*AF374*120)+(AH374*350)+(MAX(0,AI374-75)*220)+(MAX(0,AQ374-60)*100),0)</x:f>
        <x:v>15634</x:v>
      </x:c>
    </x:row>
    <x:row r="375">
      <x:c r="A375" s="35" t="n">
        <x:v>374</x:v>
      </x:c>
      <x:c r="B375" s="35" t="n">
        <x:v>37</x:v>
      </x:c>
      <x:c r="C375" s="35" t="str">
        <x:v>Female</x:v>
      </x:c>
      <x:c r="D375" s="35" t="str">
        <x:v>Finance</x:v>
      </x:c>
      <x:c r="E375" s="35" t="str">
        <x:v>Accountant</x:v>
      </x:c>
      <x:c r="F375" s="35" t="str">
        <x:v>Life Sciences</x:v>
      </x:c>
      <x:c r="G375" s="35" t="str">
        <x:v>Married</x:v>
      </x:c>
      <x:c r="H375" s="35" t="n">
        <x:v>2</x:v>
      </x:c>
      <x:c r="I375" s="36" t="n">
        <x:v>7400</x:v>
      </x:c>
      <x:c r="J375" s="35" t="n">
        <x:v>9</x:v>
      </x:c>
      <x:c r="K375" s="35" t="n">
        <x:v>4</x:v>
      </x:c>
      <x:c r="L375" s="35" t="n">
        <x:v>2</x:v>
      </x:c>
      <x:c r="M375" s="35" t="n">
        <x:v>10</x:v>
      </x:c>
      <x:c r="N375" s="35" t="str">
        <x:v>No</x:v>
      </x:c>
      <x:c r="O375" s="35" t="n">
        <x:v>3</x:v>
      </x:c>
      <x:c r="P375" s="35" t="n">
        <x:v>3</x:v>
      </x:c>
      <x:c r="Q375" s="35" t="n">
        <x:v>2</x:v>
      </x:c>
      <x:c r="R375" s="35" t="n">
        <x:v>3</x:v>
      </x:c>
      <x:c r="S375" s="35" t="n">
        <x:v>3</x:v>
      </x:c>
      <x:c r="T375" s="35" t="n">
        <x:v>3</x:v>
      </x:c>
      <x:c r="U375" s="35" t="n">
        <x:v>1</x:v>
      </x:c>
      <x:c r="V375" s="35" t="n">
        <x:v>10</x:v>
      </x:c>
      <x:c r="W375" s="35" t="n">
        <x:v>8</x:v>
      </x:c>
      <x:c r="X375" s="35" t="n">
        <x:v>58</x:v>
      </x:c>
      <x:c r="Y375" s="35" t="n">
        <x:v>4</x:v>
      </x:c>
      <x:c r="Z375" s="35" t="n">
        <x:v>100</x:v>
      </x:c>
      <x:c r="AA375" s="35" t="n">
        <x:v>4</x:v>
      </x:c>
      <x:c r="AB375" s="35" t="n">
        <x:v>4</x:v>
      </x:c>
      <x:c r="AC375" s="35" t="n">
        <x:v>3</x:v>
      </x:c>
      <x:c r="AD375" s="35" t="n">
        <x:v>61</x:v>
      </x:c>
      <x:c r="AE375" s="35" t="n">
        <x:v>71</x:v>
      </x:c>
      <x:c r="AF375" s="35" t="n">
        <x:v>70</x:v>
      </x:c>
      <x:c r="AG375" s="35" t="n">
        <x:v>97</x:v>
      </x:c>
      <x:c r="AH375" s="35" t="n">
        <x:v>8</x:v>
      </x:c>
      <x:c r="AI375" s="37" t="n">
        <x:v>100</x:v>
      </x:c>
      <x:c r="AJ375" s="37" t="n">
        <x:v>98.7</x:v>
      </x:c>
      <x:c r="AK375" s="35" t="str">
        <x:v>No</x:v>
      </x:c>
      <x:c r="AL375" s="38" t="n">
        <x:f>IF(AA375=0,0,AB375/AA375)</x:f>
        <x:v>1</x:v>
      </x:c>
      <x:c r="AM375" s="38" t="n">
        <x:f>IF(AB375=0,0,AC375/AB375)</x:f>
        <x:v>0.75</x:v>
      </x:c>
      <x:c r="AN375" s="37" t="n">
        <x:f>ROUND((AD375*0.20+AE375*0.20+AF375*0.25+AG375*0.15+MIN(100,AC375*12)*0.20),1)</x:f>
        <x:v>65.7</x:v>
      </x:c>
      <x:c r="AO375" s="37" t="n">
        <x:f>ROUND(MAX(0,MIN(100,(X375*0.35)+(W375/45*100*0.20)+((5-O375)/4*100*0.15)+((5-P375)/4*100*0.10)+((6-Y375)/5*100*0.10)+((100-Z375)*0.10))),1)</x:f>
        <x:v>40.4</x:v>
      </x:c>
      <x:c r="AP375" s="37" t="str">
        <x:f>IF(AO375&gt;=70,"High",IF(AO375&gt;=40,"Moderate","Low"))</x:f>
        <x:v>Moderate</x:v>
      </x:c>
      <x:c r="AQ375" s="37" t="n">
        <x:f>ROUND(MAX(0,MIN(100,(O375/4*100*0.25)+(P375/4*100*0.20)+(Q375/4*100*0.15)+(Y375/5*100*0.20)+(100-AO375)*0.20)),1)</x:f>
        <x:v>69.2</x:v>
      </x:c>
      <x:c r="AR375" s="37" t="n">
        <x:f>ROUND((AI375*0.20+AJ375*0.15+AN375*0.18+AG375*0.12+Z375*0.15+AQ375*0.20),1)</x:f>
        <x:v>87.1</x:v>
      </x:c>
      <x:c r="AS375" s="39" t="n">
        <x:f>ROUND((AC375*AF375*120)+(AH375*350)+(MAX(0,AI375-75)*220)+(MAX(0,AQ375-60)*100),0)</x:f>
        <x:v>34420</x:v>
      </x:c>
    </x:row>
    <x:row r="376">
      <x:c r="A376" s="35" t="n">
        <x:v>375</x:v>
      </x:c>
      <x:c r="B376" s="35" t="n">
        <x:v>24</x:v>
      </x:c>
      <x:c r="C376" s="35" t="str">
        <x:v>Female</x:v>
      </x:c>
      <x:c r="D376" s="35" t="str">
        <x:v>Research &amp; Development</x:v>
      </x:c>
      <x:c r="E376" s="35" t="str">
        <x:v>Laboratory Technician</x:v>
      </x:c>
      <x:c r="F376" s="35" t="str">
        <x:v>Human Resources</x:v>
      </x:c>
      <x:c r="G376" s="35" t="str">
        <x:v>Married</x:v>
      </x:c>
      <x:c r="H376" s="35" t="n">
        <x:v>1</x:v>
      </x:c>
      <x:c r="I376" s="36" t="n">
        <x:v>4990</x:v>
      </x:c>
      <x:c r="J376" s="35" t="n">
        <x:v>2</x:v>
      </x:c>
      <x:c r="K376" s="35" t="n">
        <x:v>2</x:v>
      </x:c>
      <x:c r="L376" s="35" t="n">
        <x:v>1</x:v>
      </x:c>
      <x:c r="M376" s="35" t="n">
        <x:v>7</x:v>
      </x:c>
      <x:c r="N376" s="35" t="str">
        <x:v>No</x:v>
      </x:c>
      <x:c r="O376" s="35" t="n">
        <x:v>1</x:v>
      </x:c>
      <x:c r="P376" s="35" t="n">
        <x:v>3</x:v>
      </x:c>
      <x:c r="Q376" s="35" t="n">
        <x:v>3</x:v>
      </x:c>
      <x:c r="R376" s="35" t="n">
        <x:v>3</x:v>
      </x:c>
      <x:c r="S376" s="35" t="n">
        <x:v>4</x:v>
      </x:c>
      <x:c r="T376" s="35" t="n">
        <x:v>3</x:v>
      </x:c>
      <x:c r="U376" s="35" t="n">
        <x:v>0</x:v>
      </x:c>
      <x:c r="V376" s="35" t="n">
        <x:v>7</x:v>
      </x:c>
      <x:c r="W376" s="35" t="n">
        <x:v>5</x:v>
      </x:c>
      <x:c r="X376" s="35" t="n">
        <x:v>56</x:v>
      </x:c>
      <x:c r="Y376" s="35" t="n">
        <x:v>4</x:v>
      </x:c>
      <x:c r="Z376" s="35" t="n">
        <x:v>95</x:v>
      </x:c>
      <x:c r="AA376" s="35" t="n">
        <x:v>7</x:v>
      </x:c>
      <x:c r="AB376" s="35" t="n">
        <x:v>5</x:v>
      </x:c>
      <x:c r="AC376" s="35" t="n">
        <x:v>5</x:v>
      </x:c>
      <x:c r="AD376" s="35" t="n">
        <x:v>81</x:v>
      </x:c>
      <x:c r="AE376" s="35" t="n">
        <x:v>91</x:v>
      </x:c>
      <x:c r="AF376" s="35" t="n">
        <x:v>100</x:v>
      </x:c>
      <x:c r="AG376" s="35" t="n">
        <x:v>87</x:v>
      </x:c>
      <x:c r="AH376" s="35" t="n">
        <x:v>12</x:v>
      </x:c>
      <x:c r="AI376" s="37" t="n">
        <x:v>95.8</x:v>
      </x:c>
      <x:c r="AJ376" s="37" t="n">
        <x:v>88.6</x:v>
      </x:c>
      <x:c r="AK376" s="35" t="str">
        <x:v>No</x:v>
      </x:c>
      <x:c r="AL376" s="38" t="n">
        <x:f>IF(AA376=0,0,AB376/AA376)</x:f>
        <x:v>0.7142857142857143</x:v>
      </x:c>
      <x:c r="AM376" s="38" t="n">
        <x:f>IF(AB376=0,0,AC376/AB376)</x:f>
        <x:v>1</x:v>
      </x:c>
      <x:c r="AN376" s="37" t="n">
        <x:f>ROUND((AD376*0.20+AE376*0.20+AF376*0.25+AG376*0.15+MIN(100,AC376*12)*0.20),1)</x:f>
        <x:v>84.5</x:v>
      </x:c>
      <x:c r="AO376" s="37" t="n">
        <x:f>ROUND(MAX(0,MIN(100,(X376*0.35)+(W376/45*100*0.20)+((5-O376)/4*100*0.15)+((5-P376)/4*100*0.10)+((6-Y376)/5*100*0.10)+((100-Z376)*0.10))),1)</x:f>
        <x:v>46.3</x:v>
      </x:c>
      <x:c r="AP376" s="37" t="str">
        <x:f>IF(AO376&gt;=70,"High",IF(AO376&gt;=40,"Moderate","Low"))</x:f>
        <x:v>Moderate</x:v>
      </x:c>
      <x:c r="AQ376" s="37" t="n">
        <x:f>ROUND(MAX(0,MIN(100,(O376/4*100*0.25)+(P376/4*100*0.20)+(Q376/4*100*0.15)+(Y376/5*100*0.20)+(100-AO376)*0.20)),1)</x:f>
        <x:v>59.2</x:v>
      </x:c>
      <x:c r="AR376" s="37" t="n">
        <x:f>ROUND((AI376*0.20+AJ376*0.15+AN376*0.18+AG376*0.12+Z376*0.15+AQ376*0.20),1)</x:f>
        <x:v>84.2</x:v>
      </x:c>
      <x:c r="AS376" s="39" t="n">
        <x:f>ROUND((AC376*AF376*120)+(AH376*350)+(MAX(0,AI376-75)*220)+(MAX(0,AQ376-60)*100),0)</x:f>
        <x:v>68776</x:v>
      </x:c>
    </x:row>
    <x:row r="377">
      <x:c r="A377" s="35" t="n">
        <x:v>376</x:v>
      </x:c>
      <x:c r="B377" s="35" t="n">
        <x:v>48</x:v>
      </x:c>
      <x:c r="C377" s="35" t="str">
        <x:v>Female</x:v>
      </x:c>
      <x:c r="D377" s="35" t="str">
        <x:v>Operations</x:v>
      </x:c>
      <x:c r="E377" s="35" t="str">
        <x:v>Operations Manager</x:v>
      </x:c>
      <x:c r="F377" s="35" t="str">
        <x:v>Marketing</x:v>
      </x:c>
      <x:c r="G377" s="35" t="str">
        <x:v>Divorced</x:v>
      </x:c>
      <x:c r="H377" s="35" t="n">
        <x:v>4</x:v>
      </x:c>
      <x:c r="I377" s="36" t="n">
        <x:v>16300</x:v>
      </x:c>
      <x:c r="J377" s="35" t="n">
        <x:v>20</x:v>
      </x:c>
      <x:c r="K377" s="35" t="n">
        <x:v>11</x:v>
      </x:c>
      <x:c r="L377" s="35" t="n">
        <x:v>7</x:v>
      </x:c>
      <x:c r="M377" s="35" t="n">
        <x:v>3</x:v>
      </x:c>
      <x:c r="N377" s="35" t="str">
        <x:v>Yes</x:v>
      </x:c>
      <x:c r="O377" s="35" t="n">
        <x:v>2</x:v>
      </x:c>
      <x:c r="P377" s="35" t="n">
        <x:v>3</x:v>
      </x:c>
      <x:c r="Q377" s="35" t="n">
        <x:v>3</x:v>
      </x:c>
      <x:c r="R377" s="35" t="n">
        <x:v>3</x:v>
      </x:c>
      <x:c r="S377" s="35" t="n">
        <x:v>4</x:v>
      </x:c>
      <x:c r="T377" s="35" t="n">
        <x:v>2</x:v>
      </x:c>
      <x:c r="U377" s="35" t="n">
        <x:v>1</x:v>
      </x:c>
      <x:c r="V377" s="35" t="n">
        <x:v>8</x:v>
      </x:c>
      <x:c r="W377" s="35" t="n">
        <x:v>20</x:v>
      </x:c>
      <x:c r="X377" s="35" t="n">
        <x:v>63</x:v>
      </x:c>
      <x:c r="Y377" s="35" t="n">
        <x:v>5</x:v>
      </x:c>
      <x:c r="Z377" s="35" t="n">
        <x:v>99</x:v>
      </x:c>
      <x:c r="AA377" s="35" t="n">
        <x:v>12</x:v>
      </x:c>
      <x:c r="AB377" s="35" t="n">
        <x:v>10</x:v>
      </x:c>
      <x:c r="AC377" s="35" t="n">
        <x:v>6</x:v>
      </x:c>
      <x:c r="AD377" s="35" t="n">
        <x:v>71</x:v>
      </x:c>
      <x:c r="AE377" s="35" t="n">
        <x:v>100</x:v>
      </x:c>
      <x:c r="AF377" s="35" t="n">
        <x:v>97</x:v>
      </x:c>
      <x:c r="AG377" s="35" t="n">
        <x:v>100</x:v>
      </x:c>
      <x:c r="AH377" s="35" t="n">
        <x:v>12</x:v>
      </x:c>
      <x:c r="AI377" s="37" t="n">
        <x:v>96.9</x:v>
      </x:c>
      <x:c r="AJ377" s="37" t="n">
        <x:v>100</x:v>
      </x:c>
      <x:c r="AK377" s="35" t="str">
        <x:v>No</x:v>
      </x:c>
      <x:c r="AL377" s="38" t="n">
        <x:f>IF(AA377=0,0,AB377/AA377)</x:f>
        <x:v>0.8333333333333334</x:v>
      </x:c>
      <x:c r="AM377" s="38" t="n">
        <x:f>IF(AB377=0,0,AC377/AB377)</x:f>
        <x:v>0.6</x:v>
      </x:c>
      <x:c r="AN377" s="37" t="n">
        <x:f>ROUND((AD377*0.20+AE377*0.20+AF377*0.25+AG377*0.15+MIN(100,AC377*12)*0.20),1)</x:f>
        <x:v>87.9</x:v>
      </x:c>
      <x:c r="AO377" s="37" t="n">
        <x:f>ROUND(MAX(0,MIN(100,(X377*0.35)+(W377/45*100*0.20)+((5-O377)/4*100*0.15)+((5-P377)/4*100*0.10)+((6-Y377)/5*100*0.10)+((100-Z377)*0.10))),1)</x:f>
        <x:v>49.3</x:v>
      </x:c>
      <x:c r="AP377" s="37" t="str">
        <x:f>IF(AO377&gt;=70,"High",IF(AO377&gt;=40,"Moderate","Low"))</x:f>
        <x:v>Moderate</x:v>
      </x:c>
      <x:c r="AQ377" s="37" t="n">
        <x:f>ROUND(MAX(0,MIN(100,(O377/4*100*0.25)+(P377/4*100*0.20)+(Q377/4*100*0.15)+(Y377/5*100*0.20)+(100-AO377)*0.20)),1)</x:f>
        <x:v>68.9</x:v>
      </x:c>
      <x:c r="AR377" s="37" t="n">
        <x:f>ROUND((AI377*0.20+AJ377*0.15+AN377*0.18+AG377*0.12+Z377*0.15+AQ377*0.20),1)</x:f>
        <x:v>90.8</x:v>
      </x:c>
      <x:c r="AS377" s="39" t="n">
        <x:f>ROUND((AC377*AF377*120)+(AH377*350)+(MAX(0,AI377-75)*220)+(MAX(0,AQ377-60)*100),0)</x:f>
        <x:v>79748</x:v>
      </x:c>
    </x:row>
    <x:row r="378">
      <x:c r="A378" s="35" t="n">
        <x:v>377</x:v>
      </x:c>
      <x:c r="B378" s="35" t="n">
        <x:v>36</x:v>
      </x:c>
      <x:c r="C378" s="35" t="str">
        <x:v>Female</x:v>
      </x:c>
      <x:c r="D378" s="35" t="str">
        <x:v>Operations</x:v>
      </x:c>
      <x:c r="E378" s="35" t="str">
        <x:v>Operations Specialist</x:v>
      </x:c>
      <x:c r="F378" s="35" t="str">
        <x:v>Human Resources</x:v>
      </x:c>
      <x:c r="G378" s="35" t="str">
        <x:v>Married</x:v>
      </x:c>
      <x:c r="H378" s="35" t="n">
        <x:v>2</x:v>
      </x:c>
      <x:c r="I378" s="36" t="n">
        <x:v>8920</x:v>
      </x:c>
      <x:c r="J378" s="35" t="n">
        <x:v>13</x:v>
      </x:c>
      <x:c r="K378" s="35" t="n">
        <x:v>5</x:v>
      </x:c>
      <x:c r="L378" s="35" t="n">
        <x:v>2</x:v>
      </x:c>
      <x:c r="M378" s="35" t="n">
        <x:v>28</x:v>
      </x:c>
      <x:c r="N378" s="35" t="str">
        <x:v>No</x:v>
      </x:c>
      <x:c r="O378" s="35" t="n">
        <x:v>2</x:v>
      </x:c>
      <x:c r="P378" s="35" t="n">
        <x:v>3</x:v>
      </x:c>
      <x:c r="Q378" s="35" t="n">
        <x:v>3</x:v>
      </x:c>
      <x:c r="R378" s="35" t="n">
        <x:v>3</x:v>
      </x:c>
      <x:c r="S378" s="35" t="n">
        <x:v>3</x:v>
      </x:c>
      <x:c r="T378" s="35" t="n">
        <x:v>4</x:v>
      </x:c>
      <x:c r="U378" s="35" t="n">
        <x:v>0</x:v>
      </x:c>
      <x:c r="V378" s="35" t="n">
        <x:v>15</x:v>
      </x:c>
      <x:c r="W378" s="35" t="n">
        <x:v>5</x:v>
      </x:c>
      <x:c r="X378" s="35" t="n">
        <x:v>61</x:v>
      </x:c>
      <x:c r="Y378" s="35" t="n">
        <x:v>5</x:v>
      </x:c>
      <x:c r="Z378" s="35" t="n">
        <x:v>100</x:v>
      </x:c>
      <x:c r="AA378" s="35" t="n">
        <x:v>4</x:v>
      </x:c>
      <x:c r="AB378" s="35" t="n">
        <x:v>2</x:v>
      </x:c>
      <x:c r="AC378" s="35" t="n">
        <x:v>1</x:v>
      </x:c>
      <x:c r="AD378" s="35" t="n">
        <x:v>65</x:v>
      </x:c>
      <x:c r="AE378" s="35" t="n">
        <x:v>75</x:v>
      </x:c>
      <x:c r="AF378" s="35" t="n">
        <x:v>55</x:v>
      </x:c>
      <x:c r="AG378" s="35" t="n">
        <x:v>96</x:v>
      </x:c>
      <x:c r="AH378" s="35" t="n">
        <x:v>3</x:v>
      </x:c>
      <x:c r="AI378" s="37" t="n">
        <x:v>100</x:v>
      </x:c>
      <x:c r="AJ378" s="37" t="n">
        <x:v>100</x:v>
      </x:c>
      <x:c r="AK378" s="35" t="str">
        <x:v>No</x:v>
      </x:c>
      <x:c r="AL378" s="38" t="n">
        <x:f>IF(AA378=0,0,AB378/AA378)</x:f>
        <x:v>0.5</x:v>
      </x:c>
      <x:c r="AM378" s="38" t="n">
        <x:f>IF(AB378=0,0,AC378/AB378)</x:f>
        <x:v>0.5</x:v>
      </x:c>
      <x:c r="AN378" s="37" t="n">
        <x:f>ROUND((AD378*0.20+AE378*0.20+AF378*0.25+AG378*0.15+MIN(100,AC378*12)*0.20),1)</x:f>
        <x:v>58.6</x:v>
      </x:c>
      <x:c r="AO378" s="37" t="n">
        <x:f>ROUND(MAX(0,MIN(100,(X378*0.35)+(W378/45*100*0.20)+((5-O378)/4*100*0.15)+((5-P378)/4*100*0.10)+((6-Y378)/5*100*0.10)+((100-Z378)*0.10))),1)</x:f>
        <x:v>41.8</x:v>
      </x:c>
      <x:c r="AP378" s="37" t="str">
        <x:f>IF(AO378&gt;=70,"High",IF(AO378&gt;=40,"Moderate","Low"))</x:f>
        <x:v>Moderate</x:v>
      </x:c>
      <x:c r="AQ378" s="37" t="n">
        <x:f>ROUND(MAX(0,MIN(100,(O378/4*100*0.25)+(P378/4*100*0.20)+(Q378/4*100*0.15)+(Y378/5*100*0.20)+(100-AO378)*0.20)),1)</x:f>
        <x:v>70.4</x:v>
      </x:c>
      <x:c r="AR378" s="37" t="n">
        <x:f>ROUND((AI378*0.20+AJ378*0.15+AN378*0.18+AG378*0.12+Z378*0.15+AQ378*0.20),1)</x:f>
        <x:v>86.1</x:v>
      </x:c>
      <x:c r="AS378" s="39" t="n">
        <x:f>ROUND((AC378*AF378*120)+(AH378*350)+(MAX(0,AI378-75)*220)+(MAX(0,AQ378-60)*100),0)</x:f>
        <x:v>14190</x:v>
      </x:c>
    </x:row>
    <x:row r="379">
      <x:c r="A379" s="35" t="n">
        <x:v>378</x:v>
      </x:c>
      <x:c r="B379" s="35" t="n">
        <x:v>45</x:v>
      </x:c>
      <x:c r="C379" s="35" t="str">
        <x:v>Female</x:v>
      </x:c>
      <x:c r="D379" s="35" t="str">
        <x:v>Information Technology</x:v>
      </x:c>
      <x:c r="E379" s="35" t="str">
        <x:v>Systems Analyst</x:v>
      </x:c>
      <x:c r="F379" s="35" t="str">
        <x:v>Human Resources</x:v>
      </x:c>
      <x:c r="G379" s="35" t="str">
        <x:v>Married</x:v>
      </x:c>
      <x:c r="H379" s="35" t="n">
        <x:v>2</x:v>
      </x:c>
      <x:c r="I379" s="36" t="n">
        <x:v>7670</x:v>
      </x:c>
      <x:c r="J379" s="35" t="n">
        <x:v>13</x:v>
      </x:c>
      <x:c r="K379" s="35" t="n">
        <x:v>7</x:v>
      </x:c>
      <x:c r="L379" s="35" t="n">
        <x:v>4</x:v>
      </x:c>
      <x:c r="M379" s="35" t="n">
        <x:v>4</x:v>
      </x:c>
      <x:c r="N379" s="35" t="str">
        <x:v>No</x:v>
      </x:c>
      <x:c r="O379" s="35" t="n">
        <x:v>3</x:v>
      </x:c>
      <x:c r="P379" s="35" t="n">
        <x:v>4</x:v>
      </x:c>
      <x:c r="Q379" s="35" t="n">
        <x:v>2</x:v>
      </x:c>
      <x:c r="R379" s="35" t="n">
        <x:v>3</x:v>
      </x:c>
      <x:c r="S379" s="35" t="n">
        <x:v>4</x:v>
      </x:c>
      <x:c r="T379" s="35" t="n">
        <x:v>1</x:v>
      </x:c>
      <x:c r="U379" s="35" t="n">
        <x:v>2</x:v>
      </x:c>
      <x:c r="V379" s="35" t="n">
        <x:v>7</x:v>
      </x:c>
      <x:c r="W379" s="35" t="n">
        <x:v>5</x:v>
      </x:c>
      <x:c r="X379" s="35" t="n">
        <x:v>56</x:v>
      </x:c>
      <x:c r="Y379" s="35" t="n">
        <x:v>5</x:v>
      </x:c>
      <x:c r="Z379" s="35" t="n">
        <x:v>100</x:v>
      </x:c>
      <x:c r="AA379" s="35" t="n">
        <x:v>7</x:v>
      </x:c>
      <x:c r="AB379" s="35" t="n">
        <x:v>4</x:v>
      </x:c>
      <x:c r="AC379" s="35" t="n">
        <x:v>2</x:v>
      </x:c>
      <x:c r="AD379" s="35" t="n">
        <x:v>99</x:v>
      </x:c>
      <x:c r="AE379" s="35" t="n">
        <x:v>86</x:v>
      </x:c>
      <x:c r="AF379" s="35" t="n">
        <x:v>58</x:v>
      </x:c>
      <x:c r="AG379" s="35" t="n">
        <x:v>95</x:v>
      </x:c>
      <x:c r="AH379" s="35" t="n">
        <x:v>10</x:v>
      </x:c>
      <x:c r="AI379" s="37" t="n">
        <x:v>100</x:v>
      </x:c>
      <x:c r="AJ379" s="37" t="n">
        <x:v>96.1</x:v>
      </x:c>
      <x:c r="AK379" s="35" t="str">
        <x:v>No</x:v>
      </x:c>
      <x:c r="AL379" s="38" t="n">
        <x:f>IF(AA379=0,0,AB379/AA379)</x:f>
        <x:v>0.5714285714285714</x:v>
      </x:c>
      <x:c r="AM379" s="38" t="n">
        <x:f>IF(AB379=0,0,AC379/AB379)</x:f>
        <x:v>0.5</x:v>
      </x:c>
      <x:c r="AN379" s="37" t="n">
        <x:f>ROUND((AD379*0.20+AE379*0.20+AF379*0.25+AG379*0.15+MIN(100,AC379*12)*0.20),1)</x:f>
        <x:v>70.6</x:v>
      </x:c>
      <x:c r="AO379" s="37" t="n">
        <x:f>ROUND(MAX(0,MIN(100,(X379*0.35)+(W379/45*100*0.20)+((5-O379)/4*100*0.15)+((5-P379)/4*100*0.10)+((6-Y379)/5*100*0.10)+((100-Z379)*0.10))),1)</x:f>
        <x:v>33.8</x:v>
      </x:c>
      <x:c r="AP379" s="37" t="str">
        <x:f>IF(AO379&gt;=70,"High",IF(AO379&gt;=40,"Moderate","Low"))</x:f>
        <x:v>Low</x:v>
      </x:c>
      <x:c r="AQ379" s="37" t="n">
        <x:f>ROUND(MAX(0,MIN(100,(O379/4*100*0.25)+(P379/4*100*0.20)+(Q379/4*100*0.15)+(Y379/5*100*0.20)+(100-AO379)*0.20)),1)</x:f>
        <x:v>79.5</x:v>
      </x:c>
      <x:c r="AR379" s="37" t="n">
        <x:f>ROUND((AI379*0.20+AJ379*0.15+AN379*0.18+AG379*0.12+Z379*0.15+AQ379*0.20),1)</x:f>
        <x:v>89.4</x:v>
      </x:c>
      <x:c r="AS379" s="39" t="n">
        <x:f>ROUND((AC379*AF379*120)+(AH379*350)+(MAX(0,AI379-75)*220)+(MAX(0,AQ379-60)*100),0)</x:f>
        <x:v>24870</x:v>
      </x:c>
    </x:row>
    <x:row r="380">
      <x:c r="A380" s="35" t="n">
        <x:v>379</x:v>
      </x:c>
      <x:c r="B380" s="35" t="n">
        <x:v>33</x:v>
      </x:c>
      <x:c r="C380" s="35" t="str">
        <x:v>Female</x:v>
      </x:c>
      <x:c r="D380" s="35" t="str">
        <x:v>Research &amp; Development</x:v>
      </x:c>
      <x:c r="E380" s="35" t="str">
        <x:v>R&amp;D Manager</x:v>
      </x:c>
      <x:c r="F380" s="35" t="str">
        <x:v>Human Resources</x:v>
      </x:c>
      <x:c r="G380" s="35" t="str">
        <x:v>Married</x:v>
      </x:c>
      <x:c r="H380" s="35" t="n">
        <x:v>2</x:v>
      </x:c>
      <x:c r="I380" s="36" t="n">
        <x:v>9540</x:v>
      </x:c>
      <x:c r="J380" s="35" t="n">
        <x:v>7</x:v>
      </x:c>
      <x:c r="K380" s="35" t="n">
        <x:v>3</x:v>
      </x:c>
      <x:c r="L380" s="35" t="n">
        <x:v>2</x:v>
      </x:c>
      <x:c r="M380" s="35" t="n">
        <x:v>11</x:v>
      </x:c>
      <x:c r="N380" s="35" t="str">
        <x:v>Yes</x:v>
      </x:c>
      <x:c r="O380" s="35" t="n">
        <x:v>3</x:v>
      </x:c>
      <x:c r="P380" s="35" t="n">
        <x:v>4</x:v>
      </x:c>
      <x:c r="Q380" s="35" t="n">
        <x:v>2</x:v>
      </x:c>
      <x:c r="R380" s="35" t="n">
        <x:v>3</x:v>
      </x:c>
      <x:c r="S380" s="35" t="n">
        <x:v>4</x:v>
      </x:c>
      <x:c r="T380" s="35" t="n">
        <x:v>6</x:v>
      </x:c>
      <x:c r="U380" s="35" t="n">
        <x:v>1</x:v>
      </x:c>
      <x:c r="V380" s="35" t="n">
        <x:v>0</x:v>
      </x:c>
      <x:c r="W380" s="35" t="n">
        <x:v>24</x:v>
      </x:c>
      <x:c r="X380" s="35" t="n">
        <x:v>82</x:v>
      </x:c>
      <x:c r="Y380" s="35" t="n">
        <x:v>4</x:v>
      </x:c>
      <x:c r="Z380" s="35" t="n">
        <x:v>100</x:v>
      </x:c>
      <x:c r="AA380" s="35" t="n">
        <x:v>4</x:v>
      </x:c>
      <x:c r="AB380" s="35" t="n">
        <x:v>1</x:v>
      </x:c>
      <x:c r="AC380" s="35" t="n">
        <x:v>1</x:v>
      </x:c>
      <x:c r="AD380" s="35" t="n">
        <x:v>89</x:v>
      </x:c>
      <x:c r="AE380" s="35" t="n">
        <x:v>84</x:v>
      </x:c>
      <x:c r="AF380" s="35" t="n">
        <x:v>70</x:v>
      </x:c>
      <x:c r="AG380" s="35" t="n">
        <x:v>82</x:v>
      </x:c>
      <x:c r="AH380" s="35" t="n">
        <x:v>10</x:v>
      </x:c>
      <x:c r="AI380" s="37" t="n">
        <x:v>100</x:v>
      </x:c>
      <x:c r="AJ380" s="37" t="n">
        <x:v>100</x:v>
      </x:c>
      <x:c r="AK380" s="35" t="str">
        <x:v>No</x:v>
      </x:c>
      <x:c r="AL380" s="38" t="n">
        <x:f>IF(AA380=0,0,AB380/AA380)</x:f>
        <x:v>0.25</x:v>
      </x:c>
      <x:c r="AM380" s="38" t="n">
        <x:f>IF(AB380=0,0,AC380/AB380)</x:f>
        <x:v>1</x:v>
      </x:c>
      <x:c r="AN380" s="37" t="n">
        <x:f>ROUND((AD380*0.20+AE380*0.20+AF380*0.25+AG380*0.15+MIN(100,AC380*12)*0.20),1)</x:f>
        <x:v>66.8</x:v>
      </x:c>
      <x:c r="AO380" s="37" t="n">
        <x:f>ROUND(MAX(0,MIN(100,(X380*0.35)+(W380/45*100*0.20)+((5-O380)/4*100*0.15)+((5-P380)/4*100*0.10)+((6-Y380)/5*100*0.10)+((100-Z380)*0.10))),1)</x:f>
        <x:v>53.4</x:v>
      </x:c>
      <x:c r="AP380" s="37" t="str">
        <x:f>IF(AO380&gt;=70,"High",IF(AO380&gt;=40,"Moderate","Low"))</x:f>
        <x:v>Moderate</x:v>
      </x:c>
      <x:c r="AQ380" s="37" t="n">
        <x:f>ROUND(MAX(0,MIN(100,(O380/4*100*0.25)+(P380/4*100*0.20)+(Q380/4*100*0.15)+(Y380/5*100*0.20)+(100-AO380)*0.20)),1)</x:f>
        <x:v>71.6</x:v>
      </x:c>
      <x:c r="AR380" s="37" t="n">
        <x:f>ROUND((AI380*0.20+AJ380*0.15+AN380*0.18+AG380*0.12+Z380*0.15+AQ380*0.20),1)</x:f>
        <x:v>86.2</x:v>
      </x:c>
      <x:c r="AS380" s="39" t="n">
        <x:f>ROUND((AC380*AF380*120)+(AH380*350)+(MAX(0,AI380-75)*220)+(MAX(0,AQ380-60)*100),0)</x:f>
        <x:v>18560</x:v>
      </x:c>
    </x:row>
    <x:row r="381">
      <x:c r="A381" s="35" t="n">
        <x:v>380</x:v>
      </x:c>
      <x:c r="B381" s="35" t="n">
        <x:v>27</x:v>
      </x:c>
      <x:c r="C381" s="35" t="str">
        <x:v>Female</x:v>
      </x:c>
      <x:c r="D381" s="35" t="str">
        <x:v>Research &amp; Development</x:v>
      </x:c>
      <x:c r="E381" s="35" t="str">
        <x:v>Data Scientist</x:v>
      </x:c>
      <x:c r="F381" s="35" t="str">
        <x:v>Computer Science</x:v>
      </x:c>
      <x:c r="G381" s="35" t="str">
        <x:v>Divorced</x:v>
      </x:c>
      <x:c r="H381" s="35" t="n">
        <x:v>1</x:v>
      </x:c>
      <x:c r="I381" s="36" t="n">
        <x:v>5520</x:v>
      </x:c>
      <x:c r="J381" s="35" t="n">
        <x:v>5</x:v>
      </x:c>
      <x:c r="K381" s="35" t="n">
        <x:v>3</x:v>
      </x:c>
      <x:c r="L381" s="35" t="n">
        <x:v>2</x:v>
      </x:c>
      <x:c r="M381" s="35" t="n">
        <x:v>6</x:v>
      </x:c>
      <x:c r="N381" s="35" t="str">
        <x:v>No</x:v>
      </x:c>
      <x:c r="O381" s="35" t="n">
        <x:v>2</x:v>
      </x:c>
      <x:c r="P381" s="35" t="n">
        <x:v>2</x:v>
      </x:c>
      <x:c r="Q381" s="35" t="n">
        <x:v>2</x:v>
      </x:c>
      <x:c r="R381" s="35" t="n">
        <x:v>2</x:v>
      </x:c>
      <x:c r="S381" s="35" t="n">
        <x:v>3</x:v>
      </x:c>
      <x:c r="T381" s="35" t="n">
        <x:v>2</x:v>
      </x:c>
      <x:c r="U381" s="35" t="n">
        <x:v>1</x:v>
      </x:c>
      <x:c r="V381" s="35" t="n">
        <x:v>2</x:v>
      </x:c>
      <x:c r="W381" s="35" t="n">
        <x:v>5</x:v>
      </x:c>
      <x:c r="X381" s="35" t="n">
        <x:v>76</x:v>
      </x:c>
      <x:c r="Y381" s="35" t="n">
        <x:v>4</x:v>
      </x:c>
      <x:c r="Z381" s="35" t="n">
        <x:v>86</x:v>
      </x:c>
      <x:c r="AA381" s="35" t="n">
        <x:v>9</x:v>
      </x:c>
      <x:c r="AB381" s="35" t="n">
        <x:v>8</x:v>
      </x:c>
      <x:c r="AC381" s="35" t="n">
        <x:v>6</x:v>
      </x:c>
      <x:c r="AD381" s="35" t="n">
        <x:v>83</x:v>
      </x:c>
      <x:c r="AE381" s="35" t="n">
        <x:v>78</x:v>
      </x:c>
      <x:c r="AF381" s="35" t="n">
        <x:v>75</x:v>
      </x:c>
      <x:c r="AG381" s="35" t="n">
        <x:v>79</x:v>
      </x:c>
      <x:c r="AH381" s="35" t="n">
        <x:v>11</x:v>
      </x:c>
      <x:c r="AI381" s="37" t="n">
        <x:v>98</x:v>
      </x:c>
      <x:c r="AJ381" s="37" t="n">
        <x:v>81.2</x:v>
      </x:c>
      <x:c r="AK381" s="35" t="str">
        <x:v>Yes</x:v>
      </x:c>
      <x:c r="AL381" s="38" t="n">
        <x:f>IF(AA381=0,0,AB381/AA381)</x:f>
        <x:v>0.8888888888888888</x:v>
      </x:c>
      <x:c r="AM381" s="38" t="n">
        <x:f>IF(AB381=0,0,AC381/AB381)</x:f>
        <x:v>0.75</x:v>
      </x:c>
      <x:c r="AN381" s="37" t="n">
        <x:f>ROUND((AD381*0.20+AE381*0.20+AF381*0.25+AG381*0.15+MIN(100,AC381*12)*0.20),1)</x:f>
        <x:v>77.2</x:v>
      </x:c>
      <x:c r="AO381" s="37" t="n">
        <x:f>ROUND(MAX(0,MIN(100,(X381*0.35)+(W381/45*100*0.20)+((5-O381)/4*100*0.15)+((5-P381)/4*100*0.10)+((6-Y381)/5*100*0.10)+((100-Z381)*0.10))),1)</x:f>
        <x:v>53</x:v>
      </x:c>
      <x:c r="AP381" s="37" t="str">
        <x:f>IF(AO381&gt;=70,"High",IF(AO381&gt;=40,"Moderate","Low"))</x:f>
        <x:v>Moderate</x:v>
      </x:c>
      <x:c r="AQ381" s="37" t="n">
        <x:f>ROUND(MAX(0,MIN(100,(O381/4*100*0.25)+(P381/4*100*0.20)+(Q381/4*100*0.15)+(Y381/5*100*0.20)+(100-AO381)*0.20)),1)</x:f>
        <x:v>55.4</x:v>
      </x:c>
      <x:c r="AR381" s="37" t="n">
        <x:f>ROUND((AI381*0.20+AJ381*0.15+AN381*0.18+AG381*0.12+Z381*0.15+AQ381*0.20),1)</x:f>
        <x:v>79.1</x:v>
      </x:c>
      <x:c r="AS381" s="39" t="n">
        <x:f>ROUND((AC381*AF381*120)+(AH381*350)+(MAX(0,AI381-75)*220)+(MAX(0,AQ381-60)*100),0)</x:f>
        <x:v>62910</x:v>
      </x:c>
    </x:row>
    <x:row r="382">
      <x:c r="A382" s="35" t="n">
        <x:v>381</x:v>
      </x:c>
      <x:c r="B382" s="35" t="n">
        <x:v>25</x:v>
      </x:c>
      <x:c r="C382" s="35" t="str">
        <x:v>Female</x:v>
      </x:c>
      <x:c r="D382" s="35" t="str">
        <x:v>Finance</x:v>
      </x:c>
      <x:c r="E382" s="35" t="str">
        <x:v>Accountant</x:v>
      </x:c>
      <x:c r="F382" s="35" t="str">
        <x:v>Medical</x:v>
      </x:c>
      <x:c r="G382" s="35" t="str">
        <x:v>Single</x:v>
      </x:c>
      <x:c r="H382" s="35" t="n">
        <x:v>1</x:v>
      </x:c>
      <x:c r="I382" s="36" t="n">
        <x:v>5860</x:v>
      </x:c>
      <x:c r="J382" s="35" t="n">
        <x:v>3</x:v>
      </x:c>
      <x:c r="K382" s="35" t="n">
        <x:v>2</x:v>
      </x:c>
      <x:c r="L382" s="35" t="n">
        <x:v>1</x:v>
      </x:c>
      <x:c r="M382" s="35" t="n">
        <x:v>14</x:v>
      </x:c>
      <x:c r="N382" s="35" t="str">
        <x:v>No</x:v>
      </x:c>
      <x:c r="O382" s="35" t="n">
        <x:v>1</x:v>
      </x:c>
      <x:c r="P382" s="35" t="n">
        <x:v>3</x:v>
      </x:c>
      <x:c r="Q382" s="35" t="n">
        <x:v>4</x:v>
      </x:c>
      <x:c r="R382" s="35" t="n">
        <x:v>3</x:v>
      </x:c>
      <x:c r="S382" s="35" t="n">
        <x:v>3</x:v>
      </x:c>
      <x:c r="T382" s="35" t="n">
        <x:v>4</x:v>
      </x:c>
      <x:c r="U382" s="35" t="n">
        <x:v>1</x:v>
      </x:c>
      <x:c r="V382" s="35" t="n">
        <x:v>6</x:v>
      </x:c>
      <x:c r="W382" s="35" t="n">
        <x:v>1</x:v>
      </x:c>
      <x:c r="X382" s="35" t="n">
        <x:v>74</x:v>
      </x:c>
      <x:c r="Y382" s="35" t="n">
        <x:v>4</x:v>
      </x:c>
      <x:c r="Z382" s="35" t="n">
        <x:v>95</x:v>
      </x:c>
      <x:c r="AA382" s="35" t="n">
        <x:v>8</x:v>
      </x:c>
      <x:c r="AB382" s="35" t="n">
        <x:v>5</x:v>
      </x:c>
      <x:c r="AC382" s="35" t="n">
        <x:v>3</x:v>
      </x:c>
      <x:c r="AD382" s="35" t="n">
        <x:v>79</x:v>
      </x:c>
      <x:c r="AE382" s="35" t="n">
        <x:v>83</x:v>
      </x:c>
      <x:c r="AF382" s="35" t="n">
        <x:v>83</x:v>
      </x:c>
      <x:c r="AG382" s="35" t="n">
        <x:v>86</x:v>
      </x:c>
      <x:c r="AH382" s="35" t="n">
        <x:v>8</x:v>
      </x:c>
      <x:c r="AI382" s="37" t="n">
        <x:v>93.9</x:v>
      </x:c>
      <x:c r="AJ382" s="37" t="n">
        <x:v>100</x:v>
      </x:c>
      <x:c r="AK382" s="35" t="str">
        <x:v>No</x:v>
      </x:c>
      <x:c r="AL382" s="38" t="n">
        <x:f>IF(AA382=0,0,AB382/AA382)</x:f>
        <x:v>0.625</x:v>
      </x:c>
      <x:c r="AM382" s="38" t="n">
        <x:f>IF(AB382=0,0,AC382/AB382)</x:f>
        <x:v>0.6</x:v>
      </x:c>
      <x:c r="AN382" s="37" t="n">
        <x:f>ROUND((AD382*0.20+AE382*0.20+AF382*0.25+AG382*0.15+MIN(100,AC382*12)*0.20),1)</x:f>
        <x:v>73.3</x:v>
      </x:c>
      <x:c r="AO382" s="37" t="n">
        <x:f>ROUND(MAX(0,MIN(100,(X382*0.35)+(W382/45*100*0.20)+((5-O382)/4*100*0.15)+((5-P382)/4*100*0.10)+((6-Y382)/5*100*0.10)+((100-Z382)*0.10))),1)</x:f>
        <x:v>50.8</x:v>
      </x:c>
      <x:c r="AP382" s="37" t="str">
        <x:f>IF(AO382&gt;=70,"High",IF(AO382&gt;=40,"Moderate","Low"))</x:f>
        <x:v>Moderate</x:v>
      </x:c>
      <x:c r="AQ382" s="37" t="n">
        <x:f>ROUND(MAX(0,MIN(100,(O382/4*100*0.25)+(P382/4*100*0.20)+(Q382/4*100*0.15)+(Y382/5*100*0.20)+(100-AO382)*0.20)),1)</x:f>
        <x:v>62.1</x:v>
      </x:c>
      <x:c r="AR382" s="37" t="n">
        <x:f>ROUND((AI382*0.20+AJ382*0.15+AN382*0.18+AG382*0.12+Z382*0.15+AQ382*0.20),1)</x:f>
        <x:v>84</x:v>
      </x:c>
      <x:c r="AS382" s="39" t="n">
        <x:f>ROUND((AC382*AF382*120)+(AH382*350)+(MAX(0,AI382-75)*220)+(MAX(0,AQ382-60)*100),0)</x:f>
        <x:v>37048</x:v>
      </x:c>
    </x:row>
    <x:row r="383">
      <x:c r="A383" s="35" t="n">
        <x:v>382</x:v>
      </x:c>
      <x:c r="B383" s="35" t="n">
        <x:v>43</x:v>
      </x:c>
      <x:c r="C383" s="35" t="str">
        <x:v>Male</x:v>
      </x:c>
      <x:c r="D383" s="35" t="str">
        <x:v>Sales</x:v>
      </x:c>
      <x:c r="E383" s="35" t="str">
        <x:v>Sales Executive</x:v>
      </x:c>
      <x:c r="F383" s="35" t="str">
        <x:v>Medical</x:v>
      </x:c>
      <x:c r="G383" s="35" t="str">
        <x:v>Single</x:v>
      </x:c>
      <x:c r="H383" s="35" t="n">
        <x:v>3</x:v>
      </x:c>
      <x:c r="I383" s="36" t="n">
        <x:v>12410</x:v>
      </x:c>
      <x:c r="J383" s="35" t="n">
        <x:v>14</x:v>
      </x:c>
      <x:c r="K383" s="35" t="n">
        <x:v>8</x:v>
      </x:c>
      <x:c r="L383" s="35" t="n">
        <x:v>5</x:v>
      </x:c>
      <x:c r="M383" s="35" t="n">
        <x:v>5</x:v>
      </x:c>
      <x:c r="N383" s="35" t="str">
        <x:v>No</x:v>
      </x:c>
      <x:c r="O383" s="35" t="n">
        <x:v>2</x:v>
      </x:c>
      <x:c r="P383" s="35" t="n">
        <x:v>3</x:v>
      </x:c>
      <x:c r="Q383" s="35" t="n">
        <x:v>3</x:v>
      </x:c>
      <x:c r="R383" s="35" t="n">
        <x:v>4</x:v>
      </x:c>
      <x:c r="S383" s="35" t="n">
        <x:v>3</x:v>
      </x:c>
      <x:c r="T383" s="35" t="n">
        <x:v>3</x:v>
      </x:c>
      <x:c r="U383" s="35" t="n">
        <x:v>1</x:v>
      </x:c>
      <x:c r="V383" s="35" t="n">
        <x:v>10</x:v>
      </x:c>
      <x:c r="W383" s="35" t="n">
        <x:v>22</x:v>
      </x:c>
      <x:c r="X383" s="35" t="n">
        <x:v>43</x:v>
      </x:c>
      <x:c r="Y383" s="35" t="n">
        <x:v>5</x:v>
      </x:c>
      <x:c r="Z383" s="35" t="n">
        <x:v>100</x:v>
      </x:c>
      <x:c r="AA383" s="35" t="n">
        <x:v>10</x:v>
      </x:c>
      <x:c r="AB383" s="35" t="n">
        <x:v>6</x:v>
      </x:c>
      <x:c r="AC383" s="35" t="n">
        <x:v>4</x:v>
      </x:c>
      <x:c r="AD383" s="35" t="n">
        <x:v>84</x:v>
      </x:c>
      <x:c r="AE383" s="35" t="n">
        <x:v>77</x:v>
      </x:c>
      <x:c r="AF383" s="35" t="n">
        <x:v>94</x:v>
      </x:c>
      <x:c r="AG383" s="35" t="n">
        <x:v>100</x:v>
      </x:c>
      <x:c r="AH383" s="35" t="n">
        <x:v>7</x:v>
      </x:c>
      <x:c r="AI383" s="37" t="n">
        <x:v>97.6</x:v>
      </x:c>
      <x:c r="AJ383" s="37" t="n">
        <x:v>100</x:v>
      </x:c>
      <x:c r="AK383" s="35" t="str">
        <x:v>No</x:v>
      </x:c>
      <x:c r="AL383" s="38" t="n">
        <x:f>IF(AA383=0,0,AB383/AA383)</x:f>
        <x:v>0.6</x:v>
      </x:c>
      <x:c r="AM383" s="38" t="n">
        <x:f>IF(AB383=0,0,AC383/AB383)</x:f>
        <x:v>0.6666666666666666</x:v>
      </x:c>
      <x:c r="AN383" s="37" t="n">
        <x:f>ROUND((AD383*0.20+AE383*0.20+AF383*0.25+AG383*0.15+MIN(100,AC383*12)*0.20),1)</x:f>
        <x:v>80.3</x:v>
      </x:c>
      <x:c r="AO383" s="37" t="n">
        <x:f>ROUND(MAX(0,MIN(100,(X383*0.35)+(W383/45*100*0.20)+((5-O383)/4*100*0.15)+((5-P383)/4*100*0.10)+((6-Y383)/5*100*0.10)+((100-Z383)*0.10))),1)</x:f>
        <x:v>43.1</x:v>
      </x:c>
      <x:c r="AP383" s="37" t="str">
        <x:f>IF(AO383&gt;=70,"High",IF(AO383&gt;=40,"Moderate","Low"))</x:f>
        <x:v>Moderate</x:v>
      </x:c>
      <x:c r="AQ383" s="37" t="n">
        <x:f>ROUND(MAX(0,MIN(100,(O383/4*100*0.25)+(P383/4*100*0.20)+(Q383/4*100*0.15)+(Y383/5*100*0.20)+(100-AO383)*0.20)),1)</x:f>
        <x:v>70.1</x:v>
      </x:c>
      <x:c r="AR383" s="37" t="n">
        <x:f>ROUND((AI383*0.20+AJ383*0.15+AN383*0.18+AG383*0.12+Z383*0.15+AQ383*0.20),1)</x:f>
        <x:v>90</x:v>
      </x:c>
      <x:c r="AS383" s="39" t="n">
        <x:f>ROUND((AC383*AF383*120)+(AH383*350)+(MAX(0,AI383-75)*220)+(MAX(0,AQ383-60)*100),0)</x:f>
        <x:v>53552</x:v>
      </x:c>
    </x:row>
    <x:row r="384">
      <x:c r="A384" s="35" t="n">
        <x:v>383</x:v>
      </x:c>
      <x:c r="B384" s="35" t="n">
        <x:v>35</x:v>
      </x:c>
      <x:c r="C384" s="35" t="str">
        <x:v>Male</x:v>
      </x:c>
      <x:c r="D384" s="35" t="str">
        <x:v>Research &amp; Development</x:v>
      </x:c>
      <x:c r="E384" s="35" t="str">
        <x:v>Research Scientist</x:v>
      </x:c>
      <x:c r="F384" s="35" t="str">
        <x:v>Human Resources</x:v>
      </x:c>
      <x:c r="G384" s="35" t="str">
        <x:v>Married</x:v>
      </x:c>
      <x:c r="H384" s="35" t="n">
        <x:v>3</x:v>
      </x:c>
      <x:c r="I384" s="36" t="n">
        <x:v>10130</x:v>
      </x:c>
      <x:c r="J384" s="35" t="n">
        <x:v>6</x:v>
      </x:c>
      <x:c r="K384" s="35" t="n">
        <x:v>3</x:v>
      </x:c>
      <x:c r="L384" s="35" t="n">
        <x:v>1</x:v>
      </x:c>
      <x:c r="M384" s="35" t="n">
        <x:v>11</x:v>
      </x:c>
      <x:c r="N384" s="35" t="str">
        <x:v>No</x:v>
      </x:c>
      <x:c r="O384" s="35" t="n">
        <x:v>2</x:v>
      </x:c>
      <x:c r="P384" s="35" t="n">
        <x:v>4</x:v>
      </x:c>
      <x:c r="Q384" s="35" t="n">
        <x:v>3</x:v>
      </x:c>
      <x:c r="R384" s="35" t="n">
        <x:v>4</x:v>
      </x:c>
      <x:c r="S384" s="35" t="n">
        <x:v>3</x:v>
      </x:c>
      <x:c r="T384" s="35" t="n">
        <x:v>3</x:v>
      </x:c>
      <x:c r="U384" s="35" t="n">
        <x:v>0</x:v>
      </x:c>
      <x:c r="V384" s="35" t="n">
        <x:v>6</x:v>
      </x:c>
      <x:c r="W384" s="35" t="n">
        <x:v>5</x:v>
      </x:c>
      <x:c r="X384" s="35" t="n">
        <x:v>60</x:v>
      </x:c>
      <x:c r="Y384" s="35" t="n">
        <x:v>5</x:v>
      </x:c>
      <x:c r="Z384" s="35" t="n">
        <x:v>100</x:v>
      </x:c>
      <x:c r="AA384" s="35" t="n">
        <x:v>4</x:v>
      </x:c>
      <x:c r="AB384" s="35" t="n">
        <x:v>4</x:v>
      </x:c>
      <x:c r="AC384" s="35" t="n">
        <x:v>1</x:v>
      </x:c>
      <x:c r="AD384" s="35" t="n">
        <x:v>75</x:v>
      </x:c>
      <x:c r="AE384" s="35" t="n">
        <x:v>76</x:v>
      </x:c>
      <x:c r="AF384" s="35" t="n">
        <x:v>96</x:v>
      </x:c>
      <x:c r="AG384" s="35" t="n">
        <x:v>96</x:v>
      </x:c>
      <x:c r="AH384" s="35" t="n">
        <x:v>6</x:v>
      </x:c>
      <x:c r="AI384" s="37" t="n">
        <x:v>96.5</x:v>
      </x:c>
      <x:c r="AJ384" s="37" t="n">
        <x:v>89.9</x:v>
      </x:c>
      <x:c r="AK384" s="35" t="str">
        <x:v>No</x:v>
      </x:c>
      <x:c r="AL384" s="38" t="n">
        <x:f>IF(AA384=0,0,AB384/AA384)</x:f>
        <x:v>1</x:v>
      </x:c>
      <x:c r="AM384" s="38" t="n">
        <x:f>IF(AB384=0,0,AC384/AB384)</x:f>
        <x:v>0.25</x:v>
      </x:c>
      <x:c r="AN384" s="37" t="n">
        <x:f>ROUND((AD384*0.20+AE384*0.20+AF384*0.25+AG384*0.15+MIN(100,AC384*12)*0.20),1)</x:f>
        <x:v>71</x:v>
      </x:c>
      <x:c r="AO384" s="37" t="n">
        <x:f>ROUND(MAX(0,MIN(100,(X384*0.35)+(W384/45*100*0.20)+((5-O384)/4*100*0.15)+((5-P384)/4*100*0.10)+((6-Y384)/5*100*0.10)+((100-Z384)*0.10))),1)</x:f>
        <x:v>39</x:v>
      </x:c>
      <x:c r="AP384" s="37" t="str">
        <x:f>IF(AO384&gt;=70,"High",IF(AO384&gt;=40,"Moderate","Low"))</x:f>
        <x:v>Low</x:v>
      </x:c>
      <x:c r="AQ384" s="37" t="n">
        <x:f>ROUND(MAX(0,MIN(100,(O384/4*100*0.25)+(P384/4*100*0.20)+(Q384/4*100*0.15)+(Y384/5*100*0.20)+(100-AO384)*0.20)),1)</x:f>
        <x:v>76</x:v>
      </x:c>
      <x:c r="AR384" s="37" t="n">
        <x:f>ROUND((AI384*0.20+AJ384*0.15+AN384*0.18+AG384*0.12+Z384*0.15+AQ384*0.20),1)</x:f>
        <x:v>87.3</x:v>
      </x:c>
      <x:c r="AS384" s="39" t="n">
        <x:f>ROUND((AC384*AF384*120)+(AH384*350)+(MAX(0,AI384-75)*220)+(MAX(0,AQ384-60)*100),0)</x:f>
        <x:v>19950</x:v>
      </x:c>
    </x:row>
    <x:row r="385">
      <x:c r="A385" s="35" t="n">
        <x:v>384</x:v>
      </x:c>
      <x:c r="B385" s="35" t="n">
        <x:v>48</x:v>
      </x:c>
      <x:c r="C385" s="35" t="str">
        <x:v>Male</x:v>
      </x:c>
      <x:c r="D385" s="35" t="str">
        <x:v>Information Technology</x:v>
      </x:c>
      <x:c r="E385" s="35" t="str">
        <x:v>IT Support</x:v>
      </x:c>
      <x:c r="F385" s="35" t="str">
        <x:v>Human Resources</x:v>
      </x:c>
      <x:c r="G385" s="35" t="str">
        <x:v>Married</x:v>
      </x:c>
      <x:c r="H385" s="35" t="n">
        <x:v>4</x:v>
      </x:c>
      <x:c r="I385" s="36" t="n">
        <x:v>19820</x:v>
      </x:c>
      <x:c r="J385" s="35" t="n">
        <x:v>15</x:v>
      </x:c>
      <x:c r="K385" s="35" t="n">
        <x:v>11</x:v>
      </x:c>
      <x:c r="L385" s="35" t="n">
        <x:v>5</x:v>
      </x:c>
      <x:c r="M385" s="35" t="n">
        <x:v>12</x:v>
      </x:c>
      <x:c r="N385" s="35" t="str">
        <x:v>No</x:v>
      </x:c>
      <x:c r="O385" s="35" t="n">
        <x:v>3</x:v>
      </x:c>
      <x:c r="P385" s="35" t="n">
        <x:v>3</x:v>
      </x:c>
      <x:c r="Q385" s="35" t="n">
        <x:v>3</x:v>
      </x:c>
      <x:c r="R385" s="35" t="n">
        <x:v>4</x:v>
      </x:c>
      <x:c r="S385" s="35" t="n">
        <x:v>3</x:v>
      </x:c>
      <x:c r="T385" s="35" t="n">
        <x:v>1</x:v>
      </x:c>
      <x:c r="U385" s="35" t="n">
        <x:v>1</x:v>
      </x:c>
      <x:c r="V385" s="35" t="n">
        <x:v>0</x:v>
      </x:c>
      <x:c r="W385" s="35" t="n">
        <x:v>6</x:v>
      </x:c>
      <x:c r="X385" s="35" t="n">
        <x:v>64</x:v>
      </x:c>
      <x:c r="Y385" s="35" t="n">
        <x:v>4</x:v>
      </x:c>
      <x:c r="Z385" s="35" t="n">
        <x:v>100</x:v>
      </x:c>
      <x:c r="AA385" s="35" t="n">
        <x:v>2</x:v>
      </x:c>
      <x:c r="AB385" s="35" t="n">
        <x:v>2</x:v>
      </x:c>
      <x:c r="AC385" s="35" t="n">
        <x:v>2</x:v>
      </x:c>
      <x:c r="AD385" s="35" t="n">
        <x:v>65</x:v>
      </x:c>
      <x:c r="AE385" s="35" t="n">
        <x:v>83</x:v>
      </x:c>
      <x:c r="AF385" s="35" t="n">
        <x:v>68</x:v>
      </x:c>
      <x:c r="AG385" s="35" t="n">
        <x:v>97</x:v>
      </x:c>
      <x:c r="AH385" s="35" t="n">
        <x:v>7</x:v>
      </x:c>
      <x:c r="AI385" s="37" t="n">
        <x:v>96.4</x:v>
      </x:c>
      <x:c r="AJ385" s="37" t="n">
        <x:v>93.1</x:v>
      </x:c>
      <x:c r="AK385" s="35" t="str">
        <x:v>No</x:v>
      </x:c>
      <x:c r="AL385" s="38" t="n">
        <x:f>IF(AA385=0,0,AB385/AA385)</x:f>
        <x:v>1</x:v>
      </x:c>
      <x:c r="AM385" s="38" t="n">
        <x:f>IF(AB385=0,0,AC385/AB385)</x:f>
        <x:v>1</x:v>
      </x:c>
      <x:c r="AN385" s="37" t="n">
        <x:f>ROUND((AD385*0.20+AE385*0.20+AF385*0.25+AG385*0.15+MIN(100,AC385*12)*0.20),1)</x:f>
        <x:v>66</x:v>
      </x:c>
      <x:c r="AO385" s="37" t="n">
        <x:f>ROUND(MAX(0,MIN(100,(X385*0.35)+(W385/45*100*0.20)+((5-O385)/4*100*0.15)+((5-P385)/4*100*0.10)+((6-Y385)/5*100*0.10)+((100-Z385)*0.10))),1)</x:f>
        <x:v>41.6</x:v>
      </x:c>
      <x:c r="AP385" s="37" t="str">
        <x:f>IF(AO385&gt;=70,"High",IF(AO385&gt;=40,"Moderate","Low"))</x:f>
        <x:v>Moderate</x:v>
      </x:c>
      <x:c r="AQ385" s="37" t="n">
        <x:f>ROUND(MAX(0,MIN(100,(O385/4*100*0.25)+(P385/4*100*0.20)+(Q385/4*100*0.15)+(Y385/5*100*0.20)+(100-AO385)*0.20)),1)</x:f>
        <x:v>72.7</x:v>
      </x:c>
      <x:c r="AR385" s="37" t="n">
        <x:f>ROUND((AI385*0.20+AJ385*0.15+AN385*0.18+AG385*0.12+Z385*0.15+AQ385*0.20),1)</x:f>
        <x:v>86.3</x:v>
      </x:c>
      <x:c r="AS385" s="39" t="n">
        <x:f>ROUND((AC385*AF385*120)+(AH385*350)+(MAX(0,AI385-75)*220)+(MAX(0,AQ385-60)*100),0)</x:f>
        <x:v>24748</x:v>
      </x:c>
    </x:row>
    <x:row r="386">
      <x:c r="A386" s="35" t="n">
        <x:v>385</x:v>
      </x:c>
      <x:c r="B386" s="35" t="n">
        <x:v>46</x:v>
      </x:c>
      <x:c r="C386" s="35" t="str">
        <x:v>Male</x:v>
      </x:c>
      <x:c r="D386" s="35" t="str">
        <x:v>Information Technology</x:v>
      </x:c>
      <x:c r="E386" s="35" t="str">
        <x:v>Software Engineer</x:v>
      </x:c>
      <x:c r="F386" s="35" t="str">
        <x:v>Technical Degree</x:v>
      </x:c>
      <x:c r="G386" s="35" t="str">
        <x:v>Divorced</x:v>
      </x:c>
      <x:c r="H386" s="35" t="n">
        <x:v>4</x:v>
      </x:c>
      <x:c r="I386" s="36" t="n">
        <x:v>18520</x:v>
      </x:c>
      <x:c r="J386" s="35" t="n">
        <x:v>16</x:v>
      </x:c>
      <x:c r="K386" s="35" t="n">
        <x:v>5</x:v>
      </x:c>
      <x:c r="L386" s="35" t="n">
        <x:v>2</x:v>
      </x:c>
      <x:c r="M386" s="35" t="n">
        <x:v>5</x:v>
      </x:c>
      <x:c r="N386" s="35" t="str">
        <x:v>No</x:v>
      </x:c>
      <x:c r="O386" s="35" t="n">
        <x:v>2</x:v>
      </x:c>
      <x:c r="P386" s="35" t="n">
        <x:v>4</x:v>
      </x:c>
      <x:c r="Q386" s="35" t="n">
        <x:v>3</x:v>
      </x:c>
      <x:c r="R386" s="35" t="n">
        <x:v>3</x:v>
      </x:c>
      <x:c r="S386" s="35" t="n">
        <x:v>3</x:v>
      </x:c>
      <x:c r="T386" s="35" t="n">
        <x:v>4</x:v>
      </x:c>
      <x:c r="U386" s="35" t="n">
        <x:v>0</x:v>
      </x:c>
      <x:c r="V386" s="35" t="n">
        <x:v>1</x:v>
      </x:c>
      <x:c r="W386" s="35" t="n">
        <x:v>9</x:v>
      </x:c>
      <x:c r="X386" s="35" t="n">
        <x:v>47</x:v>
      </x:c>
      <x:c r="Y386" s="35" t="n">
        <x:v>5</x:v>
      </x:c>
      <x:c r="Z386" s="35" t="n">
        <x:v>100</x:v>
      </x:c>
      <x:c r="AA386" s="35" t="n">
        <x:v>8</x:v>
      </x:c>
      <x:c r="AB386" s="35" t="n">
        <x:v>6</x:v>
      </x:c>
      <x:c r="AC386" s="35" t="n">
        <x:v>5</x:v>
      </x:c>
      <x:c r="AD386" s="35" t="n">
        <x:v>91</x:v>
      </x:c>
      <x:c r="AE386" s="35" t="n">
        <x:v>94</x:v>
      </x:c>
      <x:c r="AF386" s="35" t="n">
        <x:v>93</x:v>
      </x:c>
      <x:c r="AG386" s="35" t="n">
        <x:v>78</x:v>
      </x:c>
      <x:c r="AH386" s="35" t="n">
        <x:v>8</x:v>
      </x:c>
      <x:c r="AI386" s="37" t="n">
        <x:v>100</x:v>
      </x:c>
      <x:c r="AJ386" s="37" t="n">
        <x:v>83.2</x:v>
      </x:c>
      <x:c r="AK386" s="35" t="str">
        <x:v>No</x:v>
      </x:c>
      <x:c r="AL386" s="38" t="n">
        <x:f>IF(AA386=0,0,AB386/AA386)</x:f>
        <x:v>0.75</x:v>
      </x:c>
      <x:c r="AM386" s="38" t="n">
        <x:f>IF(AB386=0,0,AC386/AB386)</x:f>
        <x:v>0.8333333333333334</x:v>
      </x:c>
      <x:c r="AN386" s="37" t="n">
        <x:f>ROUND((AD386*0.20+AE386*0.20+AF386*0.25+AG386*0.15+MIN(100,AC386*12)*0.20),1)</x:f>
        <x:v>84</x:v>
      </x:c>
      <x:c r="AO386" s="37" t="n">
        <x:f>ROUND(MAX(0,MIN(100,(X386*0.35)+(W386/45*100*0.20)+((5-O386)/4*100*0.15)+((5-P386)/4*100*0.10)+((6-Y386)/5*100*0.10)+((100-Z386)*0.10))),1)</x:f>
        <x:v>36.2</x:v>
      </x:c>
      <x:c r="AP386" s="37" t="str">
        <x:f>IF(AO386&gt;=70,"High",IF(AO386&gt;=40,"Moderate","Low"))</x:f>
        <x:v>Low</x:v>
      </x:c>
      <x:c r="AQ386" s="37" t="n">
        <x:f>ROUND(MAX(0,MIN(100,(O386/4*100*0.25)+(P386/4*100*0.20)+(Q386/4*100*0.15)+(Y386/5*100*0.20)+(100-AO386)*0.20)),1)</x:f>
        <x:v>76.5</x:v>
      </x:c>
      <x:c r="AR386" s="37" t="n">
        <x:f>ROUND((AI386*0.20+AJ386*0.15+AN386*0.18+AG386*0.12+Z386*0.15+AQ386*0.20),1)</x:f>
        <x:v>87.3</x:v>
      </x:c>
      <x:c r="AS386" s="39" t="n">
        <x:f>ROUND((AC386*AF386*120)+(AH386*350)+(MAX(0,AI386-75)*220)+(MAX(0,AQ386-60)*100),0)</x:f>
        <x:v>65750</x:v>
      </x:c>
    </x:row>
    <x:row r="387">
      <x:c r="A387" s="35" t="n">
        <x:v>386</x:v>
      </x:c>
      <x:c r="B387" s="35" t="n">
        <x:v>40</x:v>
      </x:c>
      <x:c r="C387" s="35" t="str">
        <x:v>Male</x:v>
      </x:c>
      <x:c r="D387" s="35" t="str">
        <x:v>Research &amp; Development</x:v>
      </x:c>
      <x:c r="E387" s="35" t="str">
        <x:v>Research Scientist</x:v>
      </x:c>
      <x:c r="F387" s="35" t="str">
        <x:v>Human Resources</x:v>
      </x:c>
      <x:c r="G387" s="35" t="str">
        <x:v>Single</x:v>
      </x:c>
      <x:c r="H387" s="35" t="n">
        <x:v>3</x:v>
      </x:c>
      <x:c r="I387" s="36" t="n">
        <x:v>13700</x:v>
      </x:c>
      <x:c r="J387" s="35" t="n">
        <x:v>13</x:v>
      </x:c>
      <x:c r="K387" s="35" t="n">
        <x:v>6</x:v>
      </x:c>
      <x:c r="L387" s="35" t="n">
        <x:v>4</x:v>
      </x:c>
      <x:c r="M387" s="35" t="n">
        <x:v>15</x:v>
      </x:c>
      <x:c r="N387" s="35" t="str">
        <x:v>No</x:v>
      </x:c>
      <x:c r="O387" s="35" t="n">
        <x:v>2</x:v>
      </x:c>
      <x:c r="P387" s="35" t="n">
        <x:v>2</x:v>
      </x:c>
      <x:c r="Q387" s="35" t="n">
        <x:v>3</x:v>
      </x:c>
      <x:c r="R387" s="35" t="n">
        <x:v>2</x:v>
      </x:c>
      <x:c r="S387" s="35" t="n">
        <x:v>3</x:v>
      </x:c>
      <x:c r="T387" s="35" t="n">
        <x:v>1</x:v>
      </x:c>
      <x:c r="U387" s="35" t="n">
        <x:v>1</x:v>
      </x:c>
      <x:c r="V387" s="35" t="n">
        <x:v>7</x:v>
      </x:c>
      <x:c r="W387" s="35" t="n">
        <x:v>2</x:v>
      </x:c>
      <x:c r="X387" s="35" t="n">
        <x:v>75</x:v>
      </x:c>
      <x:c r="Y387" s="35" t="n">
        <x:v>4</x:v>
      </x:c>
      <x:c r="Z387" s="35" t="n">
        <x:v>92</x:v>
      </x:c>
      <x:c r="AA387" s="35" t="n">
        <x:v>6</x:v>
      </x:c>
      <x:c r="AB387" s="35" t="n">
        <x:v>6</x:v>
      </x:c>
      <x:c r="AC387" s="35" t="n">
        <x:v>5</x:v>
      </x:c>
      <x:c r="AD387" s="35" t="n">
        <x:v>83</x:v>
      </x:c>
      <x:c r="AE387" s="35" t="n">
        <x:v>100</x:v>
      </x:c>
      <x:c r="AF387" s="35" t="n">
        <x:v>74</x:v>
      </x:c>
      <x:c r="AG387" s="35" t="n">
        <x:v>85</x:v>
      </x:c>
      <x:c r="AH387" s="35" t="n">
        <x:v>7</x:v>
      </x:c>
      <x:c r="AI387" s="37" t="n">
        <x:v>93.5</x:v>
      </x:c>
      <x:c r="AJ387" s="37" t="n">
        <x:v>95.7</x:v>
      </x:c>
      <x:c r="AK387" s="35" t="str">
        <x:v>No</x:v>
      </x:c>
      <x:c r="AL387" s="38" t="n">
        <x:f>IF(AA387=0,0,AB387/AA387)</x:f>
        <x:v>1</x:v>
      </x:c>
      <x:c r="AM387" s="38" t="n">
        <x:f>IF(AB387=0,0,AC387/AB387)</x:f>
        <x:v>0.8333333333333334</x:v>
      </x:c>
      <x:c r="AN387" s="37" t="n">
        <x:f>ROUND((AD387*0.20+AE387*0.20+AF387*0.25+AG387*0.15+MIN(100,AC387*12)*0.20),1)</x:f>
        <x:v>79.9</x:v>
      </x:c>
      <x:c r="AO387" s="37" t="n">
        <x:f>ROUND(MAX(0,MIN(100,(X387*0.35)+(W387/45*100*0.20)+((5-O387)/4*100*0.15)+((5-P387)/4*100*0.10)+((6-Y387)/5*100*0.10)+((100-Z387)*0.10))),1)</x:f>
        <x:v>50.7</x:v>
      </x:c>
      <x:c r="AP387" s="37" t="str">
        <x:f>IF(AO387&gt;=70,"High",IF(AO387&gt;=40,"Moderate","Low"))</x:f>
        <x:v>Moderate</x:v>
      </x:c>
      <x:c r="AQ387" s="37" t="n">
        <x:f>ROUND(MAX(0,MIN(100,(O387/4*100*0.25)+(P387/4*100*0.20)+(Q387/4*100*0.15)+(Y387/5*100*0.20)+(100-AO387)*0.20)),1)</x:f>
        <x:v>59.6</x:v>
      </x:c>
      <x:c r="AR387" s="37" t="n">
        <x:f>ROUND((AI387*0.20+AJ387*0.15+AN387*0.18+AG387*0.12+Z387*0.15+AQ387*0.20),1)</x:f>
        <x:v>83.4</x:v>
      </x:c>
      <x:c r="AS387" s="39" t="n">
        <x:f>ROUND((AC387*AF387*120)+(AH387*350)+(MAX(0,AI387-75)*220)+(MAX(0,AQ387-60)*100),0)</x:f>
        <x:v>50920</x:v>
      </x:c>
    </x:row>
    <x:row r="388">
      <x:c r="A388" s="35" t="n">
        <x:v>387</x:v>
      </x:c>
      <x:c r="B388" s="35" t="n">
        <x:v>40</x:v>
      </x:c>
      <x:c r="C388" s="35" t="str">
        <x:v>Male</x:v>
      </x:c>
      <x:c r="D388" s="35" t="str">
        <x:v>Research &amp; Development</x:v>
      </x:c>
      <x:c r="E388" s="35" t="str">
        <x:v>Data Scientist</x:v>
      </x:c>
      <x:c r="F388" s="35" t="str">
        <x:v>Human Resources</x:v>
      </x:c>
      <x:c r="G388" s="35" t="str">
        <x:v>Married</x:v>
      </x:c>
      <x:c r="H388" s="35" t="n">
        <x:v>2</x:v>
      </x:c>
      <x:c r="I388" s="36" t="n">
        <x:v>7680</x:v>
      </x:c>
      <x:c r="J388" s="35" t="n">
        <x:v>14</x:v>
      </x:c>
      <x:c r="K388" s="35" t="n">
        <x:v>10</x:v>
      </x:c>
      <x:c r="L388" s="35" t="n">
        <x:v>3</x:v>
      </x:c>
      <x:c r="M388" s="35" t="n">
        <x:v>5</x:v>
      </x:c>
      <x:c r="N388" s="35" t="str">
        <x:v>Yes</x:v>
      </x:c>
      <x:c r="O388" s="35" t="n">
        <x:v>2</x:v>
      </x:c>
      <x:c r="P388" s="35" t="n">
        <x:v>2</x:v>
      </x:c>
      <x:c r="Q388" s="35" t="n">
        <x:v>3</x:v>
      </x:c>
      <x:c r="R388" s="35" t="n">
        <x:v>3</x:v>
      </x:c>
      <x:c r="S388" s="35" t="n">
        <x:v>3</x:v>
      </x:c>
      <x:c r="T388" s="35" t="n">
        <x:v>3</x:v>
      </x:c>
      <x:c r="U388" s="35" t="n">
        <x:v>1</x:v>
      </x:c>
      <x:c r="V388" s="35" t="n">
        <x:v>17</x:v>
      </x:c>
      <x:c r="W388" s="35" t="n">
        <x:v>11</x:v>
      </x:c>
      <x:c r="X388" s="35" t="n">
        <x:v>100</x:v>
      </x:c>
      <x:c r="Y388" s="35" t="n">
        <x:v>3</x:v>
      </x:c>
      <x:c r="Z388" s="35" t="n">
        <x:v>81</x:v>
      </x:c>
      <x:c r="AA388" s="35" t="n">
        <x:v>15</x:v>
      </x:c>
      <x:c r="AB388" s="35" t="n">
        <x:v>10</x:v>
      </x:c>
      <x:c r="AC388" s="35" t="n">
        <x:v>9</x:v>
      </x:c>
      <x:c r="AD388" s="35" t="n">
        <x:v>83</x:v>
      </x:c>
      <x:c r="AE388" s="35" t="n">
        <x:v>92</x:v>
      </x:c>
      <x:c r="AF388" s="35" t="n">
        <x:v>100</x:v>
      </x:c>
      <x:c r="AG388" s="35" t="n">
        <x:v>87</x:v>
      </x:c>
      <x:c r="AH388" s="35" t="n">
        <x:v>12</x:v>
      </x:c>
      <x:c r="AI388" s="37" t="n">
        <x:v>98</x:v>
      </x:c>
      <x:c r="AJ388" s="37" t="n">
        <x:v>87.8</x:v>
      </x:c>
      <x:c r="AK388" s="35" t="str">
        <x:v>No</x:v>
      </x:c>
      <x:c r="AL388" s="38" t="n">
        <x:f>IF(AA388=0,0,AB388/AA388)</x:f>
        <x:v>0.6666666666666666</x:v>
      </x:c>
      <x:c r="AM388" s="38" t="n">
        <x:f>IF(AB388=0,0,AC388/AB388)</x:f>
        <x:v>0.9</x:v>
      </x:c>
      <x:c r="AN388" s="37" t="n">
        <x:f>ROUND((AD388*0.20+AE388*0.20+AF388*0.25+AG388*0.15+MIN(100,AC388*12)*0.20),1)</x:f>
        <x:v>93.1</x:v>
      </x:c>
      <x:c r="AO388" s="37" t="n">
        <x:f>ROUND(MAX(0,MIN(100,(X388*0.35)+(W388/45*100*0.20)+((5-O388)/4*100*0.15)+((5-P388)/4*100*0.10)+((6-Y388)/5*100*0.10)+((100-Z388)*0.10))),1)</x:f>
        <x:v>66.5</x:v>
      </x:c>
      <x:c r="AP388" s="37" t="str">
        <x:f>IF(AO388&gt;=70,"High",IF(AO388&gt;=40,"Moderate","Low"))</x:f>
        <x:v>Moderate</x:v>
      </x:c>
      <x:c r="AQ388" s="37" t="n">
        <x:f>ROUND(MAX(0,MIN(100,(O388/4*100*0.25)+(P388/4*100*0.20)+(Q388/4*100*0.15)+(Y388/5*100*0.20)+(100-AO388)*0.20)),1)</x:f>
        <x:v>52.5</x:v>
      </x:c>
      <x:c r="AR388" s="37" t="n">
        <x:f>ROUND((AI388*0.20+AJ388*0.15+AN388*0.18+AG388*0.12+Z388*0.15+AQ388*0.20),1)</x:f>
        <x:v>82.6</x:v>
      </x:c>
      <x:c r="AS388" s="39" t="n">
        <x:f>ROUND((AC388*AF388*120)+(AH388*350)+(MAX(0,AI388-75)*220)+(MAX(0,AQ388-60)*100),0)</x:f>
        <x:v>117260</x:v>
      </x:c>
    </x:row>
    <x:row r="389">
      <x:c r="A389" s="35" t="n">
        <x:v>388</x:v>
      </x:c>
      <x:c r="B389" s="35" t="n">
        <x:v>34</x:v>
      </x:c>
      <x:c r="C389" s="35" t="str">
        <x:v>Female</x:v>
      </x:c>
      <x:c r="D389" s="35" t="str">
        <x:v>Information Technology</x:v>
      </x:c>
      <x:c r="E389" s="35" t="str">
        <x:v>IT Manager</x:v>
      </x:c>
      <x:c r="F389" s="35" t="str">
        <x:v>Marketing</x:v>
      </x:c>
      <x:c r="G389" s="35" t="str">
        <x:v>Married</x:v>
      </x:c>
      <x:c r="H389" s="35" t="n">
        <x:v>2</x:v>
      </x:c>
      <x:c r="I389" s="36" t="n">
        <x:v>7500</x:v>
      </x:c>
      <x:c r="J389" s="35" t="n">
        <x:v>7</x:v>
      </x:c>
      <x:c r="K389" s="35" t="n">
        <x:v>5</x:v>
      </x:c>
      <x:c r="L389" s="35" t="n">
        <x:v>3</x:v>
      </x:c>
      <x:c r="M389" s="35" t="n">
        <x:v>7</x:v>
      </x:c>
      <x:c r="N389" s="35" t="str">
        <x:v>No</x:v>
      </x:c>
      <x:c r="O389" s="35" t="n">
        <x:v>3</x:v>
      </x:c>
      <x:c r="P389" s="35" t="n">
        <x:v>3</x:v>
      </x:c>
      <x:c r="Q389" s="35" t="n">
        <x:v>1</x:v>
      </x:c>
      <x:c r="R389" s="35" t="n">
        <x:v>2</x:v>
      </x:c>
      <x:c r="S389" s="35" t="n">
        <x:v>3</x:v>
      </x:c>
      <x:c r="T389" s="35" t="n">
        <x:v>3</x:v>
      </x:c>
      <x:c r="U389" s="35" t="n">
        <x:v>1</x:v>
      </x:c>
      <x:c r="V389" s="35" t="n">
        <x:v>7</x:v>
      </x:c>
      <x:c r="W389" s="35" t="n">
        <x:v>0</x:v>
      </x:c>
      <x:c r="X389" s="35" t="n">
        <x:v>69</x:v>
      </x:c>
      <x:c r="Y389" s="35" t="n">
        <x:v>5</x:v>
      </x:c>
      <x:c r="Z389" s="35" t="n">
        <x:v>99</x:v>
      </x:c>
      <x:c r="AA389" s="35" t="n">
        <x:v>5</x:v>
      </x:c>
      <x:c r="AB389" s="35" t="n">
        <x:v>2</x:v>
      </x:c>
      <x:c r="AC389" s="35" t="n">
        <x:v>2</x:v>
      </x:c>
      <x:c r="AD389" s="35" t="n">
        <x:v>70</x:v>
      </x:c>
      <x:c r="AE389" s="35" t="n">
        <x:v>74</x:v>
      </x:c>
      <x:c r="AF389" s="35" t="n">
        <x:v>85</x:v>
      </x:c>
      <x:c r="AG389" s="35" t="n">
        <x:v>86</x:v>
      </x:c>
      <x:c r="AH389" s="35" t="n">
        <x:v>7</x:v>
      </x:c>
      <x:c r="AI389" s="37" t="n">
        <x:v>96</x:v>
      </x:c>
      <x:c r="AJ389" s="37" t="n">
        <x:v>90.4</x:v>
      </x:c>
      <x:c r="AK389" s="35" t="str">
        <x:v>No</x:v>
      </x:c>
      <x:c r="AL389" s="38" t="n">
        <x:f>IF(AA389=0,0,AB389/AA389)</x:f>
        <x:v>0.4</x:v>
      </x:c>
      <x:c r="AM389" s="38" t="n">
        <x:f>IF(AB389=0,0,AC389/AB389)</x:f>
        <x:v>1</x:v>
      </x:c>
      <x:c r="AN389" s="37" t="n">
        <x:f>ROUND((AD389*0.20+AE389*0.20+AF389*0.25+AG389*0.15+MIN(100,AC389*12)*0.20),1)</x:f>
        <x:v>67.8</x:v>
      </x:c>
      <x:c r="AO389" s="37" t="n">
        <x:f>ROUND(MAX(0,MIN(100,(X389*0.35)+(W389/45*100*0.20)+((5-O389)/4*100*0.15)+((5-P389)/4*100*0.10)+((6-Y389)/5*100*0.10)+((100-Z389)*0.10))),1)</x:f>
        <x:v>38.8</x:v>
      </x:c>
      <x:c r="AP389" s="37" t="str">
        <x:f>IF(AO389&gt;=70,"High",IF(AO389&gt;=40,"Moderate","Low"))</x:f>
        <x:v>Low</x:v>
      </x:c>
      <x:c r="AQ389" s="37" t="n">
        <x:f>ROUND(MAX(0,MIN(100,(O389/4*100*0.25)+(P389/4*100*0.20)+(Q389/4*100*0.15)+(Y389/5*100*0.20)+(100-AO389)*0.20)),1)</x:f>
        <x:v>69.7</x:v>
      </x:c>
      <x:c r="AR389" s="37" t="n">
        <x:f>ROUND((AI389*0.20+AJ389*0.15+AN389*0.18+AG389*0.12+Z389*0.15+AQ389*0.20),1)</x:f>
        <x:v>84.1</x:v>
      </x:c>
      <x:c r="AS389" s="39" t="n">
        <x:f>ROUND((AC389*AF389*120)+(AH389*350)+(MAX(0,AI389-75)*220)+(MAX(0,AQ389-60)*100),0)</x:f>
        <x:v>28440</x:v>
      </x:c>
    </x:row>
    <x:row r="390">
      <x:c r="A390" s="35" t="n">
        <x:v>389</x:v>
      </x:c>
      <x:c r="B390" s="35" t="n">
        <x:v>23</x:v>
      </x:c>
      <x:c r="C390" s="35" t="str">
        <x:v>Female</x:v>
      </x:c>
      <x:c r="D390" s="35" t="str">
        <x:v>Information Technology</x:v>
      </x:c>
      <x:c r="E390" s="35" t="str">
        <x:v>IT Support</x:v>
      </x:c>
      <x:c r="F390" s="35" t="str">
        <x:v>Business</x:v>
      </x:c>
      <x:c r="G390" s="35" t="str">
        <x:v>Single</x:v>
      </x:c>
      <x:c r="H390" s="35" t="n">
        <x:v>1</x:v>
      </x:c>
      <x:c r="I390" s="36" t="n">
        <x:v>4830</x:v>
      </x:c>
      <x:c r="J390" s="35" t="n">
        <x:v>1</x:v>
      </x:c>
      <x:c r="K390" s="35" t="n">
        <x:v>0</x:v>
      </x:c>
      <x:c r="L390" s="35" t="n">
        <x:v>0</x:v>
      </x:c>
      <x:c r="M390" s="35" t="n">
        <x:v>5</x:v>
      </x:c>
      <x:c r="N390" s="35" t="str">
        <x:v>Yes</x:v>
      </x:c>
      <x:c r="O390" s="35" t="n">
        <x:v>4</x:v>
      </x:c>
      <x:c r="P390" s="35" t="n">
        <x:v>3</x:v>
      </x:c>
      <x:c r="Q390" s="35" t="n">
        <x:v>1</x:v>
      </x:c>
      <x:c r="R390" s="35" t="n">
        <x:v>3</x:v>
      </x:c>
      <x:c r="S390" s="35" t="n">
        <x:v>3</x:v>
      </x:c>
      <x:c r="T390" s="35" t="n">
        <x:v>3</x:v>
      </x:c>
      <x:c r="U390" s="35" t="n">
        <x:v>2</x:v>
      </x:c>
      <x:c r="V390" s="35" t="n">
        <x:v>7</x:v>
      </x:c>
      <x:c r="W390" s="35" t="n">
        <x:v>30</x:v>
      </x:c>
      <x:c r="X390" s="35" t="n">
        <x:v>67</x:v>
      </x:c>
      <x:c r="Y390" s="35" t="n">
        <x:v>4</x:v>
      </x:c>
      <x:c r="Z390" s="35" t="n">
        <x:v>100</x:v>
      </x:c>
      <x:c r="AA390" s="35" t="n">
        <x:v>10</x:v>
      </x:c>
      <x:c r="AB390" s="35" t="n">
        <x:v>8</x:v>
      </x:c>
      <x:c r="AC390" s="35" t="n">
        <x:v>8</x:v>
      </x:c>
      <x:c r="AD390" s="35" t="n">
        <x:v>83</x:v>
      </x:c>
      <x:c r="AE390" s="35" t="n">
        <x:v>84</x:v>
      </x:c>
      <x:c r="AF390" s="35" t="n">
        <x:v>99</x:v>
      </x:c>
      <x:c r="AG390" s="35" t="n">
        <x:v>86</x:v>
      </x:c>
      <x:c r="AH390" s="35" t="n">
        <x:v>10</x:v>
      </x:c>
      <x:c r="AI390" s="37" t="n">
        <x:v>100</x:v>
      </x:c>
      <x:c r="AJ390" s="37" t="n">
        <x:v>92.9</x:v>
      </x:c>
      <x:c r="AK390" s="35" t="str">
        <x:v>No</x:v>
      </x:c>
      <x:c r="AL390" s="38" t="n">
        <x:f>IF(AA390=0,0,AB390/AA390)</x:f>
        <x:v>0.8</x:v>
      </x:c>
      <x:c r="AM390" s="38" t="n">
        <x:f>IF(AB390=0,0,AC390/AB390)</x:f>
        <x:v>1</x:v>
      </x:c>
      <x:c r="AN390" s="37" t="n">
        <x:f>ROUND((AD390*0.20+AE390*0.20+AF390*0.25+AG390*0.15+MIN(100,AC390*12)*0.20),1)</x:f>
        <x:v>90.3</x:v>
      </x:c>
      <x:c r="AO390" s="37" t="n">
        <x:f>ROUND(MAX(0,MIN(100,(X390*0.35)+(W390/45*100*0.20)+((5-O390)/4*100*0.15)+((5-P390)/4*100*0.10)+((6-Y390)/5*100*0.10)+((100-Z390)*0.10))),1)</x:f>
        <x:v>49.5</x:v>
      </x:c>
      <x:c r="AP390" s="37" t="str">
        <x:f>IF(AO390&gt;=70,"High",IF(AO390&gt;=40,"Moderate","Low"))</x:f>
        <x:v>Moderate</x:v>
      </x:c>
      <x:c r="AQ390" s="37" t="n">
        <x:f>ROUND(MAX(0,MIN(100,(O390/4*100*0.25)+(P390/4*100*0.20)+(Q390/4*100*0.15)+(Y390/5*100*0.20)+(100-AO390)*0.20)),1)</x:f>
        <x:v>69.9</x:v>
      </x:c>
      <x:c r="AR390" s="37" t="n">
        <x:f>ROUND((AI390*0.20+AJ390*0.15+AN390*0.18+AG390*0.12+Z390*0.15+AQ390*0.20),1)</x:f>
        <x:v>89.5</x:v>
      </x:c>
      <x:c r="AS390" s="39" t="n">
        <x:f>ROUND((AC390*AF390*120)+(AH390*350)+(MAX(0,AI390-75)*220)+(MAX(0,AQ390-60)*100),0)</x:f>
        <x:v>105030</x:v>
      </x:c>
    </x:row>
    <x:row r="391">
      <x:c r="A391" s="35" t="n">
        <x:v>390</x:v>
      </x:c>
      <x:c r="B391" s="35" t="n">
        <x:v>39</x:v>
      </x:c>
      <x:c r="C391" s="35" t="str">
        <x:v>Female</x:v>
      </x:c>
      <x:c r="D391" s="35" t="str">
        <x:v>Marketing</x:v>
      </x:c>
      <x:c r="E391" s="35" t="str">
        <x:v>Digital Marketing Analyst</x:v>
      </x:c>
      <x:c r="F391" s="35" t="str">
        <x:v>Life Sciences</x:v>
      </x:c>
      <x:c r="G391" s="35" t="str">
        <x:v>Single</x:v>
      </x:c>
      <x:c r="H391" s="35" t="n">
        <x:v>2</x:v>
      </x:c>
      <x:c r="I391" s="36" t="n">
        <x:v>6370</x:v>
      </x:c>
      <x:c r="J391" s="35" t="n">
        <x:v>13</x:v>
      </x:c>
      <x:c r="K391" s="35" t="n">
        <x:v>6</x:v>
      </x:c>
      <x:c r="L391" s="35" t="n">
        <x:v>3</x:v>
      </x:c>
      <x:c r="M391" s="35" t="n">
        <x:v>15</x:v>
      </x:c>
      <x:c r="N391" s="35" t="str">
        <x:v>No</x:v>
      </x:c>
      <x:c r="O391" s="35" t="n">
        <x:v>3</x:v>
      </x:c>
      <x:c r="P391" s="35" t="n">
        <x:v>3</x:v>
      </x:c>
      <x:c r="Q391" s="35" t="n">
        <x:v>3</x:v>
      </x:c>
      <x:c r="R391" s="35" t="n">
        <x:v>3</x:v>
      </x:c>
      <x:c r="S391" s="35" t="n">
        <x:v>3</x:v>
      </x:c>
      <x:c r="T391" s="35" t="n">
        <x:v>1</x:v>
      </x:c>
      <x:c r="U391" s="35" t="n">
        <x:v>1</x:v>
      </x:c>
      <x:c r="V391" s="35" t="n">
        <x:v>4</x:v>
      </x:c>
      <x:c r="W391" s="35" t="n">
        <x:v>9</x:v>
      </x:c>
      <x:c r="X391" s="35" t="n">
        <x:v>60</x:v>
      </x:c>
      <x:c r="Y391" s="35" t="n">
        <x:v>3</x:v>
      </x:c>
      <x:c r="Z391" s="35" t="n">
        <x:v>99</x:v>
      </x:c>
      <x:c r="AA391" s="35" t="n">
        <x:v>2</x:v>
      </x:c>
      <x:c r="AB391" s="35" t="n">
        <x:v>2</x:v>
      </x:c>
      <x:c r="AC391" s="35" t="n">
        <x:v>2</x:v>
      </x:c>
      <x:c r="AD391" s="35" t="n">
        <x:v>57</x:v>
      </x:c>
      <x:c r="AE391" s="35" t="n">
        <x:v>73</x:v>
      </x:c>
      <x:c r="AF391" s="35" t="n">
        <x:v>73</x:v>
      </x:c>
      <x:c r="AG391" s="35" t="n">
        <x:v>100</x:v>
      </x:c>
      <x:c r="AH391" s="35" t="n">
        <x:v>8</x:v>
      </x:c>
      <x:c r="AI391" s="37" t="n">
        <x:v>98.2</x:v>
      </x:c>
      <x:c r="AJ391" s="37" t="n">
        <x:v>98.4</x:v>
      </x:c>
      <x:c r="AK391" s="35" t="str">
        <x:v>No</x:v>
      </x:c>
      <x:c r="AL391" s="38" t="n">
        <x:f>IF(AA391=0,0,AB391/AA391)</x:f>
        <x:v>1</x:v>
      </x:c>
      <x:c r="AM391" s="38" t="n">
        <x:f>IF(AB391=0,0,AC391/AB391)</x:f>
        <x:v>1</x:v>
      </x:c>
      <x:c r="AN391" s="37" t="n">
        <x:f>ROUND((AD391*0.20+AE391*0.20+AF391*0.25+AG391*0.15+MIN(100,AC391*12)*0.20),1)</x:f>
        <x:v>64.1</x:v>
      </x:c>
      <x:c r="AO391" s="37" t="n">
        <x:f>ROUND(MAX(0,MIN(100,(X391*0.35)+(W391/45*100*0.20)+((5-O391)/4*100*0.15)+((5-P391)/4*100*0.10)+((6-Y391)/5*100*0.10)+((100-Z391)*0.10))),1)</x:f>
        <x:v>43.6</x:v>
      </x:c>
      <x:c r="AP391" s="37" t="str">
        <x:f>IF(AO391&gt;=70,"High",IF(AO391&gt;=40,"Moderate","Low"))</x:f>
        <x:v>Moderate</x:v>
      </x:c>
      <x:c r="AQ391" s="37" t="n">
        <x:f>ROUND(MAX(0,MIN(100,(O391/4*100*0.25)+(P391/4*100*0.20)+(Q391/4*100*0.15)+(Y391/5*100*0.20)+(100-AO391)*0.20)),1)</x:f>
        <x:v>68.3</x:v>
      </x:c>
      <x:c r="AR391" s="37" t="n">
        <x:f>ROUND((AI391*0.20+AJ391*0.15+AN391*0.18+AG391*0.12+Z391*0.15+AQ391*0.20),1)</x:f>
        <x:v>86.4</x:v>
      </x:c>
      <x:c r="AS391" s="39" t="n">
        <x:f>ROUND((AC391*AF391*120)+(AH391*350)+(MAX(0,AI391-75)*220)+(MAX(0,AQ391-60)*100),0)</x:f>
        <x:v>26254</x:v>
      </x:c>
    </x:row>
    <x:row r="392">
      <x:c r="A392" s="35" t="n">
        <x:v>391</x:v>
      </x:c>
      <x:c r="B392" s="35" t="n">
        <x:v>34</x:v>
      </x:c>
      <x:c r="C392" s="35" t="str">
        <x:v>Male</x:v>
      </x:c>
      <x:c r="D392" s="35" t="str">
        <x:v>Human Resources</x:v>
      </x:c>
      <x:c r="E392" s="35" t="str">
        <x:v>HR Manager</x:v>
      </x:c>
      <x:c r="F392" s="35" t="str">
        <x:v>Computer Science</x:v>
      </x:c>
      <x:c r="G392" s="35" t="str">
        <x:v>Single</x:v>
      </x:c>
      <x:c r="H392" s="35" t="n">
        <x:v>3</x:v>
      </x:c>
      <x:c r="I392" s="36" t="n">
        <x:v>12890</x:v>
      </x:c>
      <x:c r="J392" s="35" t="n">
        <x:v>11</x:v>
      </x:c>
      <x:c r="K392" s="35" t="n">
        <x:v>3</x:v>
      </x:c>
      <x:c r="L392" s="35" t="n">
        <x:v>2</x:v>
      </x:c>
      <x:c r="M392" s="35" t="n">
        <x:v>3</x:v>
      </x:c>
      <x:c r="N392" s="35" t="str">
        <x:v>No</x:v>
      </x:c>
      <x:c r="O392" s="35" t="n">
        <x:v>2</x:v>
      </x:c>
      <x:c r="P392" s="35" t="n">
        <x:v>3</x:v>
      </x:c>
      <x:c r="Q392" s="35" t="n">
        <x:v>3</x:v>
      </x:c>
      <x:c r="R392" s="35" t="n">
        <x:v>3</x:v>
      </x:c>
      <x:c r="S392" s="35" t="n">
        <x:v>3</x:v>
      </x:c>
      <x:c r="T392" s="35" t="n">
        <x:v>0</x:v>
      </x:c>
      <x:c r="U392" s="35" t="n">
        <x:v>1</x:v>
      </x:c>
      <x:c r="V392" s="35" t="n">
        <x:v>5</x:v>
      </x:c>
      <x:c r="W392" s="35" t="n">
        <x:v>3</x:v>
      </x:c>
      <x:c r="X392" s="35" t="n">
        <x:v>57</x:v>
      </x:c>
      <x:c r="Y392" s="35" t="n">
        <x:v>5</x:v>
      </x:c>
      <x:c r="Z392" s="35" t="n">
        <x:v>100</x:v>
      </x:c>
      <x:c r="AA392" s="35" t="n">
        <x:v>4</x:v>
      </x:c>
      <x:c r="AB392" s="35" t="n">
        <x:v>2</x:v>
      </x:c>
      <x:c r="AC392" s="35" t="n">
        <x:v>2</x:v>
      </x:c>
      <x:c r="AD392" s="35" t="n">
        <x:v>67</x:v>
      </x:c>
      <x:c r="AE392" s="35" t="n">
        <x:v>73</x:v>
      </x:c>
      <x:c r="AF392" s="35" t="n">
        <x:v>77</x:v>
      </x:c>
      <x:c r="AG392" s="35" t="n">
        <x:v>87</x:v>
      </x:c>
      <x:c r="AH392" s="35" t="n">
        <x:v>3</x:v>
      </x:c>
      <x:c r="AI392" s="37" t="n">
        <x:v>100</x:v>
      </x:c>
      <x:c r="AJ392" s="37" t="n">
        <x:v>86.7</x:v>
      </x:c>
      <x:c r="AK392" s="35" t="str">
        <x:v>Yes</x:v>
      </x:c>
      <x:c r="AL392" s="38" t="n">
        <x:f>IF(AA392=0,0,AB392/AA392)</x:f>
        <x:v>0.5</x:v>
      </x:c>
      <x:c r="AM392" s="38" t="n">
        <x:f>IF(AB392=0,0,AC392/AB392)</x:f>
        <x:v>1</x:v>
      </x:c>
      <x:c r="AN392" s="37" t="n">
        <x:f>ROUND((AD392*0.20+AE392*0.20+AF392*0.25+AG392*0.15+MIN(100,AC392*12)*0.20),1)</x:f>
        <x:v>65.1</x:v>
      </x:c>
      <x:c r="AO392" s="37" t="n">
        <x:f>ROUND(MAX(0,MIN(100,(X392*0.35)+(W392/45*100*0.20)+((5-O392)/4*100*0.15)+((5-P392)/4*100*0.10)+((6-Y392)/5*100*0.10)+((100-Z392)*0.10))),1)</x:f>
        <x:v>39.5</x:v>
      </x:c>
      <x:c r="AP392" s="37" t="str">
        <x:f>IF(AO392&gt;=70,"High",IF(AO392&gt;=40,"Moderate","Low"))</x:f>
        <x:v>Low</x:v>
      </x:c>
      <x:c r="AQ392" s="37" t="n">
        <x:f>ROUND(MAX(0,MIN(100,(O392/4*100*0.25)+(P392/4*100*0.20)+(Q392/4*100*0.15)+(Y392/5*100*0.20)+(100-AO392)*0.20)),1)</x:f>
        <x:v>70.9</x:v>
      </x:c>
      <x:c r="AR392" s="37" t="n">
        <x:f>ROUND((AI392*0.20+AJ392*0.15+AN392*0.18+AG392*0.12+Z392*0.15+AQ392*0.20),1)</x:f>
        <x:v>84.3</x:v>
      </x:c>
      <x:c r="AS392" s="39" t="n">
        <x:f>ROUND((AC392*AF392*120)+(AH392*350)+(MAX(0,AI392-75)*220)+(MAX(0,AQ392-60)*100),0)</x:f>
        <x:v>26120</x:v>
      </x:c>
    </x:row>
    <x:row r="393">
      <x:c r="A393" s="35" t="n">
        <x:v>392</x:v>
      </x:c>
      <x:c r="B393" s="35" t="n">
        <x:v>26</x:v>
      </x:c>
      <x:c r="C393" s="35" t="str">
        <x:v>Male</x:v>
      </x:c>
      <x:c r="D393" s="35" t="str">
        <x:v>Finance</x:v>
      </x:c>
      <x:c r="E393" s="35" t="str">
        <x:v>Finance Manager</x:v>
      </x:c>
      <x:c r="F393" s="35" t="str">
        <x:v>Life Sciences</x:v>
      </x:c>
      <x:c r="G393" s="35" t="str">
        <x:v>Married</x:v>
      </x:c>
      <x:c r="H393" s="35" t="n">
        <x:v>2</x:v>
      </x:c>
      <x:c r="I393" s="36" t="n">
        <x:v>7350</x:v>
      </x:c>
      <x:c r="J393" s="35" t="n">
        <x:v>3</x:v>
      </x:c>
      <x:c r="K393" s="35" t="n">
        <x:v>2</x:v>
      </x:c>
      <x:c r="L393" s="35" t="n">
        <x:v>1</x:v>
      </x:c>
      <x:c r="M393" s="35" t="n">
        <x:v>6</x:v>
      </x:c>
      <x:c r="N393" s="35" t="str">
        <x:v>No</x:v>
      </x:c>
      <x:c r="O393" s="35" t="n">
        <x:v>3</x:v>
      </x:c>
      <x:c r="P393" s="35" t="n">
        <x:v>3</x:v>
      </x:c>
      <x:c r="Q393" s="35" t="n">
        <x:v>4</x:v>
      </x:c>
      <x:c r="R393" s="35" t="n">
        <x:v>3</x:v>
      </x:c>
      <x:c r="S393" s="35" t="n">
        <x:v>3</x:v>
      </x:c>
      <x:c r="T393" s="35" t="n">
        <x:v>5</x:v>
      </x:c>
      <x:c r="U393" s="35" t="n">
        <x:v>0</x:v>
      </x:c>
      <x:c r="V393" s="35" t="n">
        <x:v>2</x:v>
      </x:c>
      <x:c r="W393" s="35" t="n">
        <x:v>8</x:v>
      </x:c>
      <x:c r="X393" s="35" t="n">
        <x:v>71</x:v>
      </x:c>
      <x:c r="Y393" s="35" t="n">
        <x:v>5</x:v>
      </x:c>
      <x:c r="Z393" s="35" t="n">
        <x:v>100</x:v>
      </x:c>
      <x:c r="AA393" s="35" t="n">
        <x:v>6</x:v>
      </x:c>
      <x:c r="AB393" s="35" t="n">
        <x:v>4</x:v>
      </x:c>
      <x:c r="AC393" s="35" t="n">
        <x:v>1</x:v>
      </x:c>
      <x:c r="AD393" s="35" t="n">
        <x:v>76</x:v>
      </x:c>
      <x:c r="AE393" s="35" t="n">
        <x:v>85</x:v>
      </x:c>
      <x:c r="AF393" s="35" t="n">
        <x:v>74</x:v>
      </x:c>
      <x:c r="AG393" s="35" t="n">
        <x:v>89</x:v>
      </x:c>
      <x:c r="AH393" s="35" t="n">
        <x:v>9</x:v>
      </x:c>
      <x:c r="AI393" s="37" t="n">
        <x:v>95.8</x:v>
      </x:c>
      <x:c r="AJ393" s="37" t="n">
        <x:v>100</x:v>
      </x:c>
      <x:c r="AK393" s="35" t="str">
        <x:v>No</x:v>
      </x:c>
      <x:c r="AL393" s="38" t="n">
        <x:f>IF(AA393=0,0,AB393/AA393)</x:f>
        <x:v>0.6666666666666666</x:v>
      </x:c>
      <x:c r="AM393" s="38" t="n">
        <x:f>IF(AB393=0,0,AC393/AB393)</x:f>
        <x:v>0.25</x:v>
      </x:c>
      <x:c r="AN393" s="37" t="n">
        <x:f>ROUND((AD393*0.20+AE393*0.20+AF393*0.25+AG393*0.15+MIN(100,AC393*12)*0.20),1)</x:f>
        <x:v>66.5</x:v>
      </x:c>
      <x:c r="AO393" s="37" t="n">
        <x:f>ROUND(MAX(0,MIN(100,(X393*0.35)+(W393/45*100*0.20)+((5-O393)/4*100*0.15)+((5-P393)/4*100*0.10)+((6-Y393)/5*100*0.10)+((100-Z393)*0.10))),1)</x:f>
        <x:v>42.9</x:v>
      </x:c>
      <x:c r="AP393" s="37" t="str">
        <x:f>IF(AO393&gt;=70,"High",IF(AO393&gt;=40,"Moderate","Low"))</x:f>
        <x:v>Moderate</x:v>
      </x:c>
      <x:c r="AQ393" s="37" t="n">
        <x:f>ROUND(MAX(0,MIN(100,(O393/4*100*0.25)+(P393/4*100*0.20)+(Q393/4*100*0.15)+(Y393/5*100*0.20)+(100-AO393)*0.20)),1)</x:f>
        <x:v>80.2</x:v>
      </x:c>
      <x:c r="AR393" s="37" t="n">
        <x:f>ROUND((AI393*0.20+AJ393*0.15+AN393*0.18+AG393*0.12+Z393*0.15+AQ393*0.20),1)</x:f>
        <x:v>87.9</x:v>
      </x:c>
      <x:c r="AS393" s="39" t="n">
        <x:f>ROUND((AC393*AF393*120)+(AH393*350)+(MAX(0,AI393-75)*220)+(MAX(0,AQ393-60)*100),0)</x:f>
        <x:v>18626</x:v>
      </x:c>
    </x:row>
    <x:row r="394">
      <x:c r="A394" s="35" t="n">
        <x:v>393</x:v>
      </x:c>
      <x:c r="B394" s="35" t="n">
        <x:v>44</x:v>
      </x:c>
      <x:c r="C394" s="35" t="str">
        <x:v>Male</x:v>
      </x:c>
      <x:c r="D394" s="35" t="str">
        <x:v>Research &amp; Development</x:v>
      </x:c>
      <x:c r="E394" s="35" t="str">
        <x:v>Data Scientist</x:v>
      </x:c>
      <x:c r="F394" s="35" t="str">
        <x:v>Technical Degree</x:v>
      </x:c>
      <x:c r="G394" s="35" t="str">
        <x:v>Married</x:v>
      </x:c>
      <x:c r="H394" s="35" t="n">
        <x:v>4</x:v>
      </x:c>
      <x:c r="I394" s="36" t="n">
        <x:v>16760</x:v>
      </x:c>
      <x:c r="J394" s="35" t="n">
        <x:v>15</x:v>
      </x:c>
      <x:c r="K394" s="35" t="n">
        <x:v>9</x:v>
      </x:c>
      <x:c r="L394" s="35" t="n">
        <x:v>5</x:v>
      </x:c>
      <x:c r="M394" s="35" t="n">
        <x:v>8</x:v>
      </x:c>
      <x:c r="N394" s="35" t="str">
        <x:v>No</x:v>
      </x:c>
      <x:c r="O394" s="35" t="n">
        <x:v>3</x:v>
      </x:c>
      <x:c r="P394" s="35" t="n">
        <x:v>4</x:v>
      </x:c>
      <x:c r="Q394" s="35" t="n">
        <x:v>3</x:v>
      </x:c>
      <x:c r="R394" s="35" t="n">
        <x:v>3</x:v>
      </x:c>
      <x:c r="S394" s="35" t="n">
        <x:v>3</x:v>
      </x:c>
      <x:c r="T394" s="35" t="n">
        <x:v>6</x:v>
      </x:c>
      <x:c r="U394" s="35" t="n">
        <x:v>1</x:v>
      </x:c>
      <x:c r="V394" s="35" t="n">
        <x:v>1</x:v>
      </x:c>
      <x:c r="W394" s="35" t="n">
        <x:v>11</x:v>
      </x:c>
      <x:c r="X394" s="35" t="n">
        <x:v>34</x:v>
      </x:c>
      <x:c r="Y394" s="35" t="n">
        <x:v>5</x:v>
      </x:c>
      <x:c r="Z394" s="35" t="n">
        <x:v>100</x:v>
      </x:c>
      <x:c r="AA394" s="35" t="n">
        <x:v>7</x:v>
      </x:c>
      <x:c r="AB394" s="35" t="n">
        <x:v>5</x:v>
      </x:c>
      <x:c r="AC394" s="35" t="n">
        <x:v>4</x:v>
      </x:c>
      <x:c r="AD394" s="35" t="n">
        <x:v>77</x:v>
      </x:c>
      <x:c r="AE394" s="35" t="n">
        <x:v>83</x:v>
      </x:c>
      <x:c r="AF394" s="35" t="n">
        <x:v>100</x:v>
      </x:c>
      <x:c r="AG394" s="35" t="n">
        <x:v>100</x:v>
      </x:c>
      <x:c r="AH394" s="35" t="n">
        <x:v>9</x:v>
      </x:c>
      <x:c r="AI394" s="37" t="n">
        <x:v>100</x:v>
      </x:c>
      <x:c r="AJ394" s="37" t="n">
        <x:v>89.9</x:v>
      </x:c>
      <x:c r="AK394" s="35" t="str">
        <x:v>No</x:v>
      </x:c>
      <x:c r="AL394" s="38" t="n">
        <x:f>IF(AA394=0,0,AB394/AA394)</x:f>
        <x:v>0.7142857142857143</x:v>
      </x:c>
      <x:c r="AM394" s="38" t="n">
        <x:f>IF(AB394=0,0,AC394/AB394)</x:f>
        <x:v>0.8</x:v>
      </x:c>
      <x:c r="AN394" s="37" t="n">
        <x:f>ROUND((AD394*0.20+AE394*0.20+AF394*0.25+AG394*0.15+MIN(100,AC394*12)*0.20),1)</x:f>
        <x:v>81.6</x:v>
      </x:c>
      <x:c r="AO394" s="37" t="n">
        <x:f>ROUND(MAX(0,MIN(100,(X394*0.35)+(W394/45*100*0.20)+((5-O394)/4*100*0.15)+((5-P394)/4*100*0.10)+((6-Y394)/5*100*0.10)+((100-Z394)*0.10))),1)</x:f>
        <x:v>28.8</x:v>
      </x:c>
      <x:c r="AP394" s="37" t="str">
        <x:f>IF(AO394&gt;=70,"High",IF(AO394&gt;=40,"Moderate","Low"))</x:f>
        <x:v>Low</x:v>
      </x:c>
      <x:c r="AQ394" s="37" t="n">
        <x:f>ROUND(MAX(0,MIN(100,(O394/4*100*0.25)+(P394/4*100*0.20)+(Q394/4*100*0.15)+(Y394/5*100*0.20)+(100-AO394)*0.20)),1)</x:f>
        <x:v>84.2</x:v>
      </x:c>
      <x:c r="AR394" s="37" t="n">
        <x:f>ROUND((AI394*0.20+AJ394*0.15+AN394*0.18+AG394*0.12+Z394*0.15+AQ394*0.20),1)</x:f>
        <x:v>92</x:v>
      </x:c>
      <x:c r="AS394" s="39" t="n">
        <x:f>ROUND((AC394*AF394*120)+(AH394*350)+(MAX(0,AI394-75)*220)+(MAX(0,AQ394-60)*100),0)</x:f>
        <x:v>59070</x:v>
      </x:c>
    </x:row>
    <x:row r="395">
      <x:c r="A395" s="35" t="n">
        <x:v>394</x:v>
      </x:c>
      <x:c r="B395" s="35" t="n">
        <x:v>41</x:v>
      </x:c>
      <x:c r="C395" s="35" t="str">
        <x:v>Male</x:v>
      </x:c>
      <x:c r="D395" s="35" t="str">
        <x:v>Sales</x:v>
      </x:c>
      <x:c r="E395" s="35" t="str">
        <x:v>Account Manager</x:v>
      </x:c>
      <x:c r="F395" s="35" t="str">
        <x:v>Medical</x:v>
      </x:c>
      <x:c r="G395" s="35" t="str">
        <x:v>Married</x:v>
      </x:c>
      <x:c r="H395" s="35" t="n">
        <x:v>3</x:v>
      </x:c>
      <x:c r="I395" s="36" t="n">
        <x:v>11680</x:v>
      </x:c>
      <x:c r="J395" s="35" t="n">
        <x:v>16</x:v>
      </x:c>
      <x:c r="K395" s="35" t="n">
        <x:v>4</x:v>
      </x:c>
      <x:c r="L395" s="35" t="n">
        <x:v>2</x:v>
      </x:c>
      <x:c r="M395" s="35" t="n">
        <x:v>11</x:v>
      </x:c>
      <x:c r="N395" s="35" t="str">
        <x:v>Yes</x:v>
      </x:c>
      <x:c r="O395" s="35" t="n">
        <x:v>3</x:v>
      </x:c>
      <x:c r="P395" s="35" t="n">
        <x:v>2</x:v>
      </x:c>
      <x:c r="Q395" s="35" t="n">
        <x:v>2</x:v>
      </x:c>
      <x:c r="R395" s="35" t="n">
        <x:v>3</x:v>
      </x:c>
      <x:c r="S395" s="35" t="n">
        <x:v>3</x:v>
      </x:c>
      <x:c r="T395" s="35" t="n">
        <x:v>2</x:v>
      </x:c>
      <x:c r="U395" s="35" t="n">
        <x:v>2</x:v>
      </x:c>
      <x:c r="V395" s="35" t="n">
        <x:v>3</x:v>
      </x:c>
      <x:c r="W395" s="35" t="n">
        <x:v>19</x:v>
      </x:c>
      <x:c r="X395" s="35" t="n">
        <x:v>80</x:v>
      </x:c>
      <x:c r="Y395" s="35" t="n">
        <x:v>4</x:v>
      </x:c>
      <x:c r="Z395" s="35" t="n">
        <x:v>89</x:v>
      </x:c>
      <x:c r="AA395" s="35" t="n">
        <x:v>7</x:v>
      </x:c>
      <x:c r="AB395" s="35" t="n">
        <x:v>5</x:v>
      </x:c>
      <x:c r="AC395" s="35" t="n">
        <x:v>3</x:v>
      </x:c>
      <x:c r="AD395" s="35" t="n">
        <x:v>70</x:v>
      </x:c>
      <x:c r="AE395" s="35" t="n">
        <x:v>86</x:v>
      </x:c>
      <x:c r="AF395" s="35" t="n">
        <x:v>78</x:v>
      </x:c>
      <x:c r="AG395" s="35" t="n">
        <x:v>90</x:v>
      </x:c>
      <x:c r="AH395" s="35" t="n">
        <x:v>5</x:v>
      </x:c>
      <x:c r="AI395" s="37" t="n">
        <x:v>94.4</x:v>
      </x:c>
      <x:c r="AJ395" s="37" t="n">
        <x:v>91</x:v>
      </x:c>
      <x:c r="AK395" s="35" t="str">
        <x:v>No</x:v>
      </x:c>
      <x:c r="AL395" s="38" t="n">
        <x:f>IF(AA395=0,0,AB395/AA395)</x:f>
        <x:v>0.7142857142857143</x:v>
      </x:c>
      <x:c r="AM395" s="38" t="n">
        <x:f>IF(AB395=0,0,AC395/AB395)</x:f>
        <x:v>0.6</x:v>
      </x:c>
      <x:c r="AN395" s="37" t="n">
        <x:f>ROUND((AD395*0.20+AE395*0.20+AF395*0.25+AG395*0.15+MIN(100,AC395*12)*0.20),1)</x:f>
        <x:v>71.4</x:v>
      </x:c>
      <x:c r="AO395" s="37" t="n">
        <x:f>ROUND(MAX(0,MIN(100,(X395*0.35)+(W395/45*100*0.20)+((5-O395)/4*100*0.15)+((5-P395)/4*100*0.10)+((6-Y395)/5*100*0.10)+((100-Z395)*0.10))),1)</x:f>
        <x:v>56.5</x:v>
      </x:c>
      <x:c r="AP395" s="37" t="str">
        <x:f>IF(AO395&gt;=70,"High",IF(AO395&gt;=40,"Moderate","Low"))</x:f>
        <x:v>Moderate</x:v>
      </x:c>
      <x:c r="AQ395" s="37" t="n">
        <x:f>ROUND(MAX(0,MIN(100,(O395/4*100*0.25)+(P395/4*100*0.20)+(Q395/4*100*0.15)+(Y395/5*100*0.20)+(100-AO395)*0.20)),1)</x:f>
        <x:v>61</x:v>
      </x:c>
      <x:c r="AR395" s="37" t="n">
        <x:f>ROUND((AI395*0.20+AJ395*0.15+AN395*0.18+AG395*0.12+Z395*0.15+AQ395*0.20),1)</x:f>
        <x:v>81.7</x:v>
      </x:c>
      <x:c r="AS395" s="39" t="n">
        <x:f>ROUND((AC395*AF395*120)+(AH395*350)+(MAX(0,AI395-75)*220)+(MAX(0,AQ395-60)*100),0)</x:f>
        <x:v>34198</x:v>
      </x:c>
    </x:row>
    <x:row r="396">
      <x:c r="A396" s="35" t="n">
        <x:v>395</x:v>
      </x:c>
      <x:c r="B396" s="35" t="n">
        <x:v>39</x:v>
      </x:c>
      <x:c r="C396" s="35" t="str">
        <x:v>Female</x:v>
      </x:c>
      <x:c r="D396" s="35" t="str">
        <x:v>Information Technology</x:v>
      </x:c>
      <x:c r="E396" s="35" t="str">
        <x:v>IT Manager</x:v>
      </x:c>
      <x:c r="F396" s="35" t="str">
        <x:v>Technical Degree</x:v>
      </x:c>
      <x:c r="G396" s="35" t="str">
        <x:v>Single</x:v>
      </x:c>
      <x:c r="H396" s="35" t="n">
        <x:v>3</x:v>
      </x:c>
      <x:c r="I396" s="36" t="n">
        <x:v>10130</x:v>
      </x:c>
      <x:c r="J396" s="35" t="n">
        <x:v>14</x:v>
      </x:c>
      <x:c r="K396" s="35" t="n">
        <x:v>10</x:v>
      </x:c>
      <x:c r="L396" s="35" t="n">
        <x:v>4</x:v>
      </x:c>
      <x:c r="M396" s="35" t="n">
        <x:v>9</x:v>
      </x:c>
      <x:c r="N396" s="35" t="str">
        <x:v>No</x:v>
      </x:c>
      <x:c r="O396" s="35" t="n">
        <x:v>3</x:v>
      </x:c>
      <x:c r="P396" s="35" t="n">
        <x:v>2</x:v>
      </x:c>
      <x:c r="Q396" s="35" t="n">
        <x:v>3</x:v>
      </x:c>
      <x:c r="R396" s="35" t="n">
        <x:v>3</x:v>
      </x:c>
      <x:c r="S396" s="35" t="n">
        <x:v>3</x:v>
      </x:c>
      <x:c r="T396" s="35" t="n">
        <x:v>1</x:v>
      </x:c>
      <x:c r="U396" s="35" t="n">
        <x:v>2</x:v>
      </x:c>
      <x:c r="V396" s="35" t="n">
        <x:v>7</x:v>
      </x:c>
      <x:c r="W396" s="35" t="n">
        <x:v>4</x:v>
      </x:c>
      <x:c r="X396" s="35" t="n">
        <x:v>72</x:v>
      </x:c>
      <x:c r="Y396" s="35" t="n">
        <x:v>2</x:v>
      </x:c>
      <x:c r="Z396" s="35" t="n">
        <x:v>95</x:v>
      </x:c>
      <x:c r="AA396" s="35" t="n">
        <x:v>2</x:v>
      </x:c>
      <x:c r="AB396" s="35" t="n">
        <x:v>1</x:v>
      </x:c>
      <x:c r="AC396" s="35" t="n">
        <x:v>1</x:v>
      </x:c>
      <x:c r="AD396" s="35" t="n">
        <x:v>65</x:v>
      </x:c>
      <x:c r="AE396" s="35" t="n">
        <x:v>69</x:v>
      </x:c>
      <x:c r="AF396" s="35" t="n">
        <x:v>75</x:v>
      </x:c>
      <x:c r="AG396" s="35" t="n">
        <x:v>90</x:v>
      </x:c>
      <x:c r="AH396" s="35" t="n">
        <x:v>6</x:v>
      </x:c>
      <x:c r="AI396" s="37" t="n">
        <x:v>98.8</x:v>
      </x:c>
      <x:c r="AJ396" s="37" t="n">
        <x:v>96.3</x:v>
      </x:c>
      <x:c r="AK396" s="35" t="str">
        <x:v>No</x:v>
      </x:c>
      <x:c r="AL396" s="38" t="n">
        <x:f>IF(AA396=0,0,AB396/AA396)</x:f>
        <x:v>0.5</x:v>
      </x:c>
      <x:c r="AM396" s="38" t="n">
        <x:f>IF(AB396=0,0,AC396/AB396)</x:f>
        <x:v>1</x:v>
      </x:c>
      <x:c r="AN396" s="37" t="n">
        <x:f>ROUND((AD396*0.20+AE396*0.20+AF396*0.25+AG396*0.15+MIN(100,AC396*12)*0.20),1)</x:f>
        <x:v>61.5</x:v>
      </x:c>
      <x:c r="AO396" s="37" t="n">
        <x:f>ROUND(MAX(0,MIN(100,(X396*0.35)+(W396/45*100*0.20)+((5-O396)/4*100*0.15)+((5-P396)/4*100*0.10)+((6-Y396)/5*100*0.10)+((100-Z396)*0.10))),1)</x:f>
        <x:v>50.5</x:v>
      </x:c>
      <x:c r="AP396" s="37" t="str">
        <x:f>IF(AO396&gt;=70,"High",IF(AO396&gt;=40,"Moderate","Low"))</x:f>
        <x:v>Moderate</x:v>
      </x:c>
      <x:c r="AQ396" s="37" t="n">
        <x:f>ROUND(MAX(0,MIN(100,(O396/4*100*0.25)+(P396/4*100*0.20)+(Q396/4*100*0.15)+(Y396/5*100*0.20)+(100-AO396)*0.20)),1)</x:f>
        <x:v>57.9</x:v>
      </x:c>
      <x:c r="AR396" s="37" t="n">
        <x:f>ROUND((AI396*0.20+AJ396*0.15+AN396*0.18+AG396*0.12+Z396*0.15+AQ396*0.20),1)</x:f>
        <x:v>81.9</x:v>
      </x:c>
      <x:c r="AS396" s="39" t="n">
        <x:f>ROUND((AC396*AF396*120)+(AH396*350)+(MAX(0,AI396-75)*220)+(MAX(0,AQ396-60)*100),0)</x:f>
        <x:v>16336</x:v>
      </x:c>
    </x:row>
    <x:row r="397">
      <x:c r="A397" s="35" t="n">
        <x:v>396</x:v>
      </x:c>
      <x:c r="B397" s="35" t="n">
        <x:v>49</x:v>
      </x:c>
      <x:c r="C397" s="35" t="str">
        <x:v>Female</x:v>
      </x:c>
      <x:c r="D397" s="35" t="str">
        <x:v>Sales</x:v>
      </x:c>
      <x:c r="E397" s="35" t="str">
        <x:v>Sales Representative</x:v>
      </x:c>
      <x:c r="F397" s="35" t="str">
        <x:v>Technical Degree</x:v>
      </x:c>
      <x:c r="G397" s="35" t="str">
        <x:v>Single</x:v>
      </x:c>
      <x:c r="H397" s="35" t="n">
        <x:v>5</x:v>
      </x:c>
      <x:c r="I397" s="36" t="n">
        <x:v>26190</x:v>
      </x:c>
      <x:c r="J397" s="35" t="n">
        <x:v>24</x:v>
      </x:c>
      <x:c r="K397" s="35" t="n">
        <x:v>18</x:v>
      </x:c>
      <x:c r="L397" s="35" t="n">
        <x:v>9</x:v>
      </x:c>
      <x:c r="M397" s="35" t="n">
        <x:v>7</x:v>
      </x:c>
      <x:c r="N397" s="35" t="str">
        <x:v>Yes</x:v>
      </x:c>
      <x:c r="O397" s="35" t="n">
        <x:v>4</x:v>
      </x:c>
      <x:c r="P397" s="35" t="n">
        <x:v>2</x:v>
      </x:c>
      <x:c r="Q397" s="35" t="n">
        <x:v>4</x:v>
      </x:c>
      <x:c r="R397" s="35" t="n">
        <x:v>4</x:v>
      </x:c>
      <x:c r="S397" s="35" t="n">
        <x:v>3</x:v>
      </x:c>
      <x:c r="T397" s="35" t="n">
        <x:v>4</x:v>
      </x:c>
      <x:c r="U397" s="35" t="n">
        <x:v>1</x:v>
      </x:c>
      <x:c r="V397" s="35" t="n">
        <x:v>5</x:v>
      </x:c>
      <x:c r="W397" s="35" t="n">
        <x:v>11</x:v>
      </x:c>
      <x:c r="X397" s="35" t="n">
        <x:v>85</x:v>
      </x:c>
      <x:c r="Y397" s="35" t="n">
        <x:v>3</x:v>
      </x:c>
      <x:c r="Z397" s="35" t="n">
        <x:v>99</x:v>
      </x:c>
      <x:c r="AA397" s="35" t="n">
        <x:v>7</x:v>
      </x:c>
      <x:c r="AB397" s="35" t="n">
        <x:v>5</x:v>
      </x:c>
      <x:c r="AC397" s="35" t="n">
        <x:v>4</x:v>
      </x:c>
      <x:c r="AD397" s="35" t="n">
        <x:v>71</x:v>
      </x:c>
      <x:c r="AE397" s="35" t="n">
        <x:v>90</x:v>
      </x:c>
      <x:c r="AF397" s="35" t="n">
        <x:v>75</x:v>
      </x:c>
      <x:c r="AG397" s="35" t="n">
        <x:v>100</x:v>
      </x:c>
      <x:c r="AH397" s="35" t="n">
        <x:v>5</x:v>
      </x:c>
      <x:c r="AI397" s="37" t="n">
        <x:v>97.9</x:v>
      </x:c>
      <x:c r="AJ397" s="37" t="n">
        <x:v>89</x:v>
      </x:c>
      <x:c r="AK397" s="35" t="str">
        <x:v>Yes</x:v>
      </x:c>
      <x:c r="AL397" s="38" t="n">
        <x:f>IF(AA397=0,0,AB397/AA397)</x:f>
        <x:v>0.7142857142857143</x:v>
      </x:c>
      <x:c r="AM397" s="38" t="n">
        <x:f>IF(AB397=0,0,AC397/AB397)</x:f>
        <x:v>0.8</x:v>
      </x:c>
      <x:c r="AN397" s="37" t="n">
        <x:f>ROUND((AD397*0.20+AE397*0.20+AF397*0.25+AG397*0.15+MIN(100,AC397*12)*0.20),1)</x:f>
        <x:v>75.6</x:v>
      </x:c>
      <x:c r="AO397" s="37" t="n">
        <x:f>ROUND(MAX(0,MIN(100,(X397*0.35)+(W397/45*100*0.20)+((5-O397)/4*100*0.15)+((5-P397)/4*100*0.10)+((6-Y397)/5*100*0.10)+((100-Z397)*0.10))),1)</x:f>
        <x:v>52</x:v>
      </x:c>
      <x:c r="AP397" s="37" t="str">
        <x:f>IF(AO397&gt;=70,"High",IF(AO397&gt;=40,"Moderate","Low"))</x:f>
        <x:v>Moderate</x:v>
      </x:c>
      <x:c r="AQ397" s="37" t="n">
        <x:f>ROUND(MAX(0,MIN(100,(O397/4*100*0.25)+(P397/4*100*0.20)+(Q397/4*100*0.15)+(Y397/5*100*0.20)+(100-AO397)*0.20)),1)</x:f>
        <x:v>71.6</x:v>
      </x:c>
      <x:c r="AR397" s="37" t="n">
        <x:f>ROUND((AI397*0.20+AJ397*0.15+AN397*0.18+AG397*0.12+Z397*0.15+AQ397*0.20),1)</x:f>
        <x:v>87.7</x:v>
      </x:c>
      <x:c r="AS397" s="39" t="n">
        <x:f>ROUND((AC397*AF397*120)+(AH397*350)+(MAX(0,AI397-75)*220)+(MAX(0,AQ397-60)*100),0)</x:f>
        <x:v>43948</x:v>
      </x:c>
    </x:row>
    <x:row r="398">
      <x:c r="A398" s="35" t="n">
        <x:v>397</x:v>
      </x:c>
      <x:c r="B398" s="35" t="n">
        <x:v>34</x:v>
      </x:c>
      <x:c r="C398" s="35" t="str">
        <x:v>Female</x:v>
      </x:c>
      <x:c r="D398" s="35" t="str">
        <x:v>Research &amp; Development</x:v>
      </x:c>
      <x:c r="E398" s="35" t="str">
        <x:v>Data Scientist</x:v>
      </x:c>
      <x:c r="F398" s="35" t="str">
        <x:v>Technical Degree</x:v>
      </x:c>
      <x:c r="G398" s="35" t="str">
        <x:v>Single</x:v>
      </x:c>
      <x:c r="H398" s="35" t="n">
        <x:v>1</x:v>
      </x:c>
      <x:c r="I398" s="36" t="n">
        <x:v>6660</x:v>
      </x:c>
      <x:c r="J398" s="35" t="n">
        <x:v>7</x:v>
      </x:c>
      <x:c r="K398" s="35" t="n">
        <x:v>4</x:v>
      </x:c>
      <x:c r="L398" s="35" t="n">
        <x:v>2</x:v>
      </x:c>
      <x:c r="M398" s="35" t="n">
        <x:v>9</x:v>
      </x:c>
      <x:c r="N398" s="35" t="str">
        <x:v>No</x:v>
      </x:c>
      <x:c r="O398" s="35" t="n">
        <x:v>3</x:v>
      </x:c>
      <x:c r="P398" s="35" t="n">
        <x:v>3</x:v>
      </x:c>
      <x:c r="Q398" s="35" t="n">
        <x:v>2</x:v>
      </x:c>
      <x:c r="R398" s="35" t="n">
        <x:v>3</x:v>
      </x:c>
      <x:c r="S398" s="35" t="n">
        <x:v>3</x:v>
      </x:c>
      <x:c r="T398" s="35" t="n">
        <x:v>3</x:v>
      </x:c>
      <x:c r="U398" s="35" t="n">
        <x:v>0</x:v>
      </x:c>
      <x:c r="V398" s="35" t="n">
        <x:v>11</x:v>
      </x:c>
      <x:c r="W398" s="35" t="n">
        <x:v>13</x:v>
      </x:c>
      <x:c r="X398" s="35" t="n">
        <x:v>76</x:v>
      </x:c>
      <x:c r="Y398" s="35" t="n">
        <x:v>4</x:v>
      </x:c>
      <x:c r="Z398" s="35" t="n">
        <x:v>97</x:v>
      </x:c>
      <x:c r="AA398" s="35" t="n">
        <x:v>5</x:v>
      </x:c>
      <x:c r="AB398" s="35" t="n">
        <x:v>3</x:v>
      </x:c>
      <x:c r="AC398" s="35" t="n">
        <x:v>1</x:v>
      </x:c>
      <x:c r="AD398" s="35" t="n">
        <x:v>93</x:v>
      </x:c>
      <x:c r="AE398" s="35" t="n">
        <x:v>70</x:v>
      </x:c>
      <x:c r="AF398" s="35" t="n">
        <x:v>68</x:v>
      </x:c>
      <x:c r="AG398" s="35" t="n">
        <x:v>84</x:v>
      </x:c>
      <x:c r="AH398" s="35" t="n">
        <x:v>7</x:v>
      </x:c>
      <x:c r="AI398" s="37" t="n">
        <x:v>96.9</x:v>
      </x:c>
      <x:c r="AJ398" s="37" t="n">
        <x:v>92.7</x:v>
      </x:c>
      <x:c r="AK398" s="35" t="str">
        <x:v>No</x:v>
      </x:c>
      <x:c r="AL398" s="38" t="n">
        <x:f>IF(AA398=0,0,AB398/AA398)</x:f>
        <x:v>0.6</x:v>
      </x:c>
      <x:c r="AM398" s="38" t="n">
        <x:f>IF(AB398=0,0,AC398/AB398)</x:f>
        <x:v>0.3333333333333333</x:v>
      </x:c>
      <x:c r="AN398" s="37" t="n">
        <x:f>ROUND((AD398*0.20+AE398*0.20+AF398*0.25+AG398*0.15+MIN(100,AC398*12)*0.20),1)</x:f>
        <x:v>64.6</x:v>
      </x:c>
      <x:c r="AO398" s="37" t="n">
        <x:f>ROUND(MAX(0,MIN(100,(X398*0.35)+(W398/45*100*0.20)+((5-O398)/4*100*0.15)+((5-P398)/4*100*0.10)+((6-Y398)/5*100*0.10)+((100-Z398)*0.10))),1)</x:f>
        <x:v>49.2</x:v>
      </x:c>
      <x:c r="AP398" s="37" t="str">
        <x:f>IF(AO398&gt;=70,"High",IF(AO398&gt;=40,"Moderate","Low"))</x:f>
        <x:v>Moderate</x:v>
      </x:c>
      <x:c r="AQ398" s="37" t="n">
        <x:f>ROUND(MAX(0,MIN(100,(O398/4*100*0.25)+(P398/4*100*0.20)+(Q398/4*100*0.15)+(Y398/5*100*0.20)+(100-AO398)*0.20)),1)</x:f>
        <x:v>67.4</x:v>
      </x:c>
      <x:c r="AR398" s="37" t="n">
        <x:f>ROUND((AI398*0.20+AJ398*0.15+AN398*0.18+AG398*0.12+Z398*0.15+AQ398*0.20),1)</x:f>
        <x:v>83</x:v>
      </x:c>
      <x:c r="AS398" s="39" t="n">
        <x:f>ROUND((AC398*AF398*120)+(AH398*350)+(MAX(0,AI398-75)*220)+(MAX(0,AQ398-60)*100),0)</x:f>
        <x:v>16168</x:v>
      </x:c>
    </x:row>
    <x:row r="399">
      <x:c r="A399" s="35" t="n">
        <x:v>398</x:v>
      </x:c>
      <x:c r="B399" s="35" t="n">
        <x:v>36</x:v>
      </x:c>
      <x:c r="C399" s="35" t="str">
        <x:v>Male</x:v>
      </x:c>
      <x:c r="D399" s="35" t="str">
        <x:v>Research &amp; Development</x:v>
      </x:c>
      <x:c r="E399" s="35" t="str">
        <x:v>Laboratory Technician</x:v>
      </x:c>
      <x:c r="F399" s="35" t="str">
        <x:v>Technical Degree</x:v>
      </x:c>
      <x:c r="G399" s="35" t="str">
        <x:v>Single</x:v>
      </x:c>
      <x:c r="H399" s="35" t="n">
        <x:v>2</x:v>
      </x:c>
      <x:c r="I399" s="36" t="n">
        <x:v>8050</x:v>
      </x:c>
      <x:c r="J399" s="35" t="n">
        <x:v>11</x:v>
      </x:c>
      <x:c r="K399" s="35" t="n">
        <x:v>4</x:v>
      </x:c>
      <x:c r="L399" s="35" t="n">
        <x:v>1</x:v>
      </x:c>
      <x:c r="M399" s="35" t="n">
        <x:v>2</x:v>
      </x:c>
      <x:c r="N399" s="35" t="str">
        <x:v>No</x:v>
      </x:c>
      <x:c r="O399" s="35" t="n">
        <x:v>3</x:v>
      </x:c>
      <x:c r="P399" s="35" t="n">
        <x:v>4</x:v>
      </x:c>
      <x:c r="Q399" s="35" t="n">
        <x:v>4</x:v>
      </x:c>
      <x:c r="R399" s="35" t="n">
        <x:v>2</x:v>
      </x:c>
      <x:c r="S399" s="35" t="n">
        <x:v>3</x:v>
      </x:c>
      <x:c r="T399" s="35" t="n">
        <x:v>4</x:v>
      </x:c>
      <x:c r="U399" s="35" t="n">
        <x:v>1</x:v>
      </x:c>
      <x:c r="V399" s="35" t="n">
        <x:v>0</x:v>
      </x:c>
      <x:c r="W399" s="35" t="n">
        <x:v>4</x:v>
      </x:c>
      <x:c r="X399" s="35" t="n">
        <x:v>69</x:v>
      </x:c>
      <x:c r="Y399" s="35" t="n">
        <x:v>4</x:v>
      </x:c>
      <x:c r="Z399" s="35" t="n">
        <x:v>97</x:v>
      </x:c>
      <x:c r="AA399" s="35" t="n">
        <x:v>5</x:v>
      </x:c>
      <x:c r="AB399" s="35" t="n">
        <x:v>4</x:v>
      </x:c>
      <x:c r="AC399" s="35" t="n">
        <x:v>3</x:v>
      </x:c>
      <x:c r="AD399" s="35" t="n">
        <x:v>67</x:v>
      </x:c>
      <x:c r="AE399" s="35" t="n">
        <x:v>74</x:v>
      </x:c>
      <x:c r="AF399" s="35" t="n">
        <x:v>57</x:v>
      </x:c>
      <x:c r="AG399" s="35" t="n">
        <x:v>89</x:v>
      </x:c>
      <x:c r="AH399" s="35" t="n">
        <x:v>4</x:v>
      </x:c>
      <x:c r="AI399" s="37" t="n">
        <x:v>100</x:v>
      </x:c>
      <x:c r="AJ399" s="37" t="n">
        <x:v>95.5</x:v>
      </x:c>
      <x:c r="AK399" s="35" t="str">
        <x:v>No</x:v>
      </x:c>
      <x:c r="AL399" s="38" t="n">
        <x:f>IF(AA399=0,0,AB399/AA399)</x:f>
        <x:v>0.8</x:v>
      </x:c>
      <x:c r="AM399" s="38" t="n">
        <x:f>IF(AB399=0,0,AC399/AB399)</x:f>
        <x:v>0.75</x:v>
      </x:c>
      <x:c r="AN399" s="37" t="n">
        <x:f>ROUND((AD399*0.20+AE399*0.20+AF399*0.25+AG399*0.15+MIN(100,AC399*12)*0.20),1)</x:f>
        <x:v>63</x:v>
      </x:c>
      <x:c r="AO399" s="37" t="n">
        <x:f>ROUND(MAX(0,MIN(100,(X399*0.35)+(W399/45*100*0.20)+((5-O399)/4*100*0.15)+((5-P399)/4*100*0.10)+((6-Y399)/5*100*0.10)+((100-Z399)*0.10))),1)</x:f>
        <x:v>40.2</x:v>
      </x:c>
      <x:c r="AP399" s="37" t="str">
        <x:f>IF(AO399&gt;=70,"High",IF(AO399&gt;=40,"Moderate","Low"))</x:f>
        <x:v>Moderate</x:v>
      </x:c>
      <x:c r="AQ399" s="37" t="n">
        <x:f>ROUND(MAX(0,MIN(100,(O399/4*100*0.25)+(P399/4*100*0.20)+(Q399/4*100*0.15)+(Y399/5*100*0.20)+(100-AO399)*0.20)),1)</x:f>
        <x:v>81.7</x:v>
      </x:c>
      <x:c r="AR399" s="37" t="n">
        <x:f>ROUND((AI399*0.20+AJ399*0.15+AN399*0.18+AG399*0.12+Z399*0.15+AQ399*0.20),1)</x:f>
        <x:v>87.2</x:v>
      </x:c>
      <x:c r="AS399" s="39" t="n">
        <x:f>ROUND((AC399*AF399*120)+(AH399*350)+(MAX(0,AI399-75)*220)+(MAX(0,AQ399-60)*100),0)</x:f>
        <x:v>29590</x:v>
      </x:c>
    </x:row>
    <x:row r="400">
      <x:c r="A400" s="35" t="n">
        <x:v>399</x:v>
      </x:c>
      <x:c r="B400" s="35" t="n">
        <x:v>25</x:v>
      </x:c>
      <x:c r="C400" s="35" t="str">
        <x:v>Female</x:v>
      </x:c>
      <x:c r="D400" s="35" t="str">
        <x:v>Sales</x:v>
      </x:c>
      <x:c r="E400" s="35" t="str">
        <x:v>Account Manager</x:v>
      </x:c>
      <x:c r="F400" s="35" t="str">
        <x:v>Business</x:v>
      </x:c>
      <x:c r="G400" s="35" t="str">
        <x:v>Married</x:v>
      </x:c>
      <x:c r="H400" s="35" t="n">
        <x:v>1</x:v>
      </x:c>
      <x:c r="I400" s="36" t="n">
        <x:v>6570</x:v>
      </x:c>
      <x:c r="J400" s="35" t="n">
        <x:v>3</x:v>
      </x:c>
      <x:c r="K400" s="35" t="n">
        <x:v>1</x:v>
      </x:c>
      <x:c r="L400" s="35" t="n">
        <x:v>1</x:v>
      </x:c>
      <x:c r="M400" s="35" t="n">
        <x:v>9</x:v>
      </x:c>
      <x:c r="N400" s="35" t="str">
        <x:v>Yes</x:v>
      </x:c>
      <x:c r="O400" s="35" t="n">
        <x:v>2</x:v>
      </x:c>
      <x:c r="P400" s="35" t="n">
        <x:v>2</x:v>
      </x:c>
      <x:c r="Q400" s="35" t="n">
        <x:v>4</x:v>
      </x:c>
      <x:c r="R400" s="35" t="n">
        <x:v>3</x:v>
      </x:c>
      <x:c r="S400" s="35" t="n">
        <x:v>4</x:v>
      </x:c>
      <x:c r="T400" s="35" t="n">
        <x:v>1</x:v>
      </x:c>
      <x:c r="U400" s="35" t="n">
        <x:v>2</x:v>
      </x:c>
      <x:c r="V400" s="35" t="n">
        <x:v>7</x:v>
      </x:c>
      <x:c r="W400" s="35" t="n">
        <x:v>29</x:v>
      </x:c>
      <x:c r="X400" s="35" t="n">
        <x:v>75</x:v>
      </x:c>
      <x:c r="Y400" s="35" t="n">
        <x:v>3</x:v>
      </x:c>
      <x:c r="Z400" s="35" t="n">
        <x:v>88</x:v>
      </x:c>
      <x:c r="AA400" s="35" t="n">
        <x:v>5</x:v>
      </x:c>
      <x:c r="AB400" s="35" t="n">
        <x:v>3</x:v>
      </x:c>
      <x:c r="AC400" s="35" t="n">
        <x:v>2</x:v>
      </x:c>
      <x:c r="AD400" s="35" t="n">
        <x:v>100</x:v>
      </x:c>
      <x:c r="AE400" s="35" t="n">
        <x:v>83</x:v>
      </x:c>
      <x:c r="AF400" s="35" t="n">
        <x:v>64</x:v>
      </x:c>
      <x:c r="AG400" s="35" t="n">
        <x:v>91</x:v>
      </x:c>
      <x:c r="AH400" s="35" t="n">
        <x:v>9</x:v>
      </x:c>
      <x:c r="AI400" s="37" t="n">
        <x:v>100</x:v>
      </x:c>
      <x:c r="AJ400" s="37" t="n">
        <x:v>96.7</x:v>
      </x:c>
      <x:c r="AK400" s="35" t="str">
        <x:v>No</x:v>
      </x:c>
      <x:c r="AL400" s="38" t="n">
        <x:f>IF(AA400=0,0,AB400/AA400)</x:f>
        <x:v>0.6</x:v>
      </x:c>
      <x:c r="AM400" s="38" t="n">
        <x:f>IF(AB400=0,0,AC400/AB400)</x:f>
        <x:v>0.6666666666666666</x:v>
      </x:c>
      <x:c r="AN400" s="37" t="n">
        <x:f>ROUND((AD400*0.20+AE400*0.20+AF400*0.25+AG400*0.15+MIN(100,AC400*12)*0.20),1)</x:f>
        <x:v>71.1</x:v>
      </x:c>
      <x:c r="AO400" s="37" t="n">
        <x:f>ROUND(MAX(0,MIN(100,(X400*0.35)+(W400/45*100*0.20)+((5-O400)/4*100*0.15)+((5-P400)/4*100*0.10)+((6-Y400)/5*100*0.10)+((100-Z400)*0.10))),1)</x:f>
        <x:v>65.1</x:v>
      </x:c>
      <x:c r="AP400" s="37" t="str">
        <x:f>IF(AO400&gt;=70,"High",IF(AO400&gt;=40,"Moderate","Low"))</x:f>
        <x:v>Moderate</x:v>
      </x:c>
      <x:c r="AQ400" s="37" t="n">
        <x:f>ROUND(MAX(0,MIN(100,(O400/4*100*0.25)+(P400/4*100*0.20)+(Q400/4*100*0.15)+(Y400/5*100*0.20)+(100-AO400)*0.20)),1)</x:f>
        <x:v>56.5</x:v>
      </x:c>
      <x:c r="AR400" s="37" t="n">
        <x:f>ROUND((AI400*0.20+AJ400*0.15+AN400*0.18+AG400*0.12+Z400*0.15+AQ400*0.20),1)</x:f>
        <x:v>82.7</x:v>
      </x:c>
      <x:c r="AS400" s="39" t="n">
        <x:f>ROUND((AC400*AF400*120)+(AH400*350)+(MAX(0,AI400-75)*220)+(MAX(0,AQ400-60)*100),0)</x:f>
        <x:v>24010</x:v>
      </x:c>
    </x:row>
    <x:row r="401">
      <x:c r="A401" s="35" t="n">
        <x:v>400</x:v>
      </x:c>
      <x:c r="B401" s="35" t="n">
        <x:v>33</x:v>
      </x:c>
      <x:c r="C401" s="35" t="str">
        <x:v>Female</x:v>
      </x:c>
      <x:c r="D401" s="35" t="str">
        <x:v>Research &amp; Development</x:v>
      </x:c>
      <x:c r="E401" s="35" t="str">
        <x:v>Laboratory Technician</x:v>
      </x:c>
      <x:c r="F401" s="35" t="str">
        <x:v>Technical Degree</x:v>
      </x:c>
      <x:c r="G401" s="35" t="str">
        <x:v>Single</x:v>
      </x:c>
      <x:c r="H401" s="35" t="n">
        <x:v>2</x:v>
      </x:c>
      <x:c r="I401" s="36" t="n">
        <x:v>7270</x:v>
      </x:c>
      <x:c r="J401" s="35" t="n">
        <x:v>6</x:v>
      </x:c>
      <x:c r="K401" s="35" t="n">
        <x:v>2</x:v>
      </x:c>
      <x:c r="L401" s="35" t="n">
        <x:v>1</x:v>
      </x:c>
      <x:c r="M401" s="35" t="n">
        <x:v>8</x:v>
      </x:c>
      <x:c r="N401" s="35" t="str">
        <x:v>No</x:v>
      </x:c>
      <x:c r="O401" s="35" t="n">
        <x:v>4</x:v>
      </x:c>
      <x:c r="P401" s="35" t="n">
        <x:v>4</x:v>
      </x:c>
      <x:c r="Q401" s="35" t="n">
        <x:v>2</x:v>
      </x:c>
      <x:c r="R401" s="35" t="n">
        <x:v>4</x:v>
      </x:c>
      <x:c r="S401" s="35" t="n">
        <x:v>3</x:v>
      </x:c>
      <x:c r="T401" s="35" t="n">
        <x:v>0</x:v>
      </x:c>
      <x:c r="U401" s="35" t="n">
        <x:v>2</x:v>
      </x:c>
      <x:c r="V401" s="35" t="n">
        <x:v>6</x:v>
      </x:c>
      <x:c r="W401" s="35" t="n">
        <x:v>1</x:v>
      </x:c>
      <x:c r="X401" s="35" t="n">
        <x:v>59</x:v>
      </x:c>
      <x:c r="Y401" s="35" t="n">
        <x:v>5</x:v>
      </x:c>
      <x:c r="Z401" s="35" t="n">
        <x:v>100</x:v>
      </x:c>
      <x:c r="AA401" s="35" t="n">
        <x:v>2</x:v>
      </x:c>
      <x:c r="AB401" s="35" t="n">
        <x:v>2</x:v>
      </x:c>
      <x:c r="AC401" s="35" t="n">
        <x:v>2</x:v>
      </x:c>
      <x:c r="AD401" s="35" t="n">
        <x:v>53</x:v>
      </x:c>
      <x:c r="AE401" s="35" t="n">
        <x:v>79</x:v>
      </x:c>
      <x:c r="AF401" s="35" t="n">
        <x:v>80</x:v>
      </x:c>
      <x:c r="AG401" s="35" t="n">
        <x:v>100</x:v>
      </x:c>
      <x:c r="AH401" s="35" t="n">
        <x:v>6</x:v>
      </x:c>
      <x:c r="AI401" s="37" t="n">
        <x:v>95.3</x:v>
      </x:c>
      <x:c r="AJ401" s="37" t="n">
        <x:v>97.4</x:v>
      </x:c>
      <x:c r="AK401" s="35" t="str">
        <x:v>No</x:v>
      </x:c>
      <x:c r="AL401" s="38" t="n">
        <x:f>IF(AA401=0,0,AB401/AA401)</x:f>
        <x:v>1</x:v>
      </x:c>
      <x:c r="AM401" s="38" t="n">
        <x:f>IF(AB401=0,0,AC401/AB401)</x:f>
        <x:v>1</x:v>
      </x:c>
      <x:c r="AN401" s="37" t="n">
        <x:f>ROUND((AD401*0.20+AE401*0.20+AF401*0.25+AG401*0.15+MIN(100,AC401*12)*0.20),1)</x:f>
        <x:v>66.2</x:v>
      </x:c>
      <x:c r="AO401" s="37" t="n">
        <x:f>ROUND(MAX(0,MIN(100,(X401*0.35)+(W401/45*100*0.20)+((5-O401)/4*100*0.15)+((5-P401)/4*100*0.10)+((6-Y401)/5*100*0.10)+((100-Z401)*0.10))),1)</x:f>
        <x:v>29.3</x:v>
      </x:c>
      <x:c r="AP401" s="37" t="str">
        <x:f>IF(AO401&gt;=70,"High",IF(AO401&gt;=40,"Moderate","Low"))</x:f>
        <x:v>Low</x:v>
      </x:c>
      <x:c r="AQ401" s="37" t="n">
        <x:f>ROUND(MAX(0,MIN(100,(O401/4*100*0.25)+(P401/4*100*0.20)+(Q401/4*100*0.15)+(Y401/5*100*0.20)+(100-AO401)*0.20)),1)</x:f>
        <x:v>86.6</x:v>
      </x:c>
      <x:c r="AR401" s="37" t="n">
        <x:f>ROUND((AI401*0.20+AJ401*0.15+AN401*0.18+AG401*0.12+Z401*0.15+AQ401*0.20),1)</x:f>
        <x:v>89.9</x:v>
      </x:c>
      <x:c r="AS401" s="39" t="n">
        <x:f>ROUND((AC401*AF401*120)+(AH401*350)+(MAX(0,AI401-75)*220)+(MAX(0,AQ401-60)*100),0)</x:f>
        <x:v>28426</x:v>
      </x:c>
    </x:row>
    <x:row r="402">
      <x:c r="A402" s="35" t="n">
        <x:v>401</x:v>
      </x:c>
      <x:c r="B402" s="35" t="n">
        <x:v>21</x:v>
      </x:c>
      <x:c r="C402" s="35" t="str">
        <x:v>Male</x:v>
      </x:c>
      <x:c r="D402" s="35" t="str">
        <x:v>Research &amp; Development</x:v>
      </x:c>
      <x:c r="E402" s="35" t="str">
        <x:v>R&amp;D Manager</x:v>
      </x:c>
      <x:c r="F402" s="35" t="str">
        <x:v>Medical</x:v>
      </x:c>
      <x:c r="G402" s="35" t="str">
        <x:v>Single</x:v>
      </x:c>
      <x:c r="H402" s="35" t="n">
        <x:v>1</x:v>
      </x:c>
      <x:c r="I402" s="36" t="n">
        <x:v>7080</x:v>
      </x:c>
      <x:c r="J402" s="35" t="n">
        <x:v>0</x:v>
      </x:c>
      <x:c r="K402" s="35" t="n">
        <x:v>0</x:v>
      </x:c>
      <x:c r="L402" s="35" t="n">
        <x:v>0</x:v>
      </x:c>
      <x:c r="M402" s="35" t="n">
        <x:v>1</x:v>
      </x:c>
      <x:c r="N402" s="35" t="str">
        <x:v>No</x:v>
      </x:c>
      <x:c r="O402" s="35" t="n">
        <x:v>2</x:v>
      </x:c>
      <x:c r="P402" s="35" t="n">
        <x:v>2</x:v>
      </x:c>
      <x:c r="Q402" s="35" t="n">
        <x:v>4</x:v>
      </x:c>
      <x:c r="R402" s="35" t="n">
        <x:v>3</x:v>
      </x:c>
      <x:c r="S402" s="35" t="n">
        <x:v>4</x:v>
      </x:c>
      <x:c r="T402" s="35" t="n">
        <x:v>2</x:v>
      </x:c>
      <x:c r="U402" s="35" t="n">
        <x:v>1</x:v>
      </x:c>
      <x:c r="V402" s="35" t="n">
        <x:v>7</x:v>
      </x:c>
      <x:c r="W402" s="35" t="n">
        <x:v>5</x:v>
      </x:c>
      <x:c r="X402" s="35" t="n">
        <x:v>67</x:v>
      </x:c>
      <x:c r="Y402" s="35" t="n">
        <x:v>4</x:v>
      </x:c>
      <x:c r="Z402" s="35" t="n">
        <x:v>91</x:v>
      </x:c>
      <x:c r="AA402" s="35" t="n">
        <x:v>1</x:v>
      </x:c>
      <x:c r="AB402" s="35" t="n">
        <x:v>0</x:v>
      </x:c>
      <x:c r="AC402" s="35" t="n">
        <x:v>0</x:v>
      </x:c>
      <x:c r="AD402" s="35" t="n">
        <x:v>69</x:v>
      </x:c>
      <x:c r="AE402" s="35" t="n">
        <x:v>84</x:v>
      </x:c>
      <x:c r="AF402" s="35" t="n">
        <x:v>53</x:v>
      </x:c>
      <x:c r="AG402" s="35" t="n">
        <x:v>91</x:v>
      </x:c>
      <x:c r="AH402" s="35" t="n">
        <x:v>5</x:v>
      </x:c>
      <x:c r="AI402" s="37" t="n">
        <x:v>94.5</x:v>
      </x:c>
      <x:c r="AJ402" s="37" t="n">
        <x:v>88.3</x:v>
      </x:c>
      <x:c r="AK402" s="35" t="str">
        <x:v>No</x:v>
      </x:c>
      <x:c r="AL402" s="38" t="n">
        <x:f>IF(AA402=0,0,AB402/AA402)</x:f>
        <x:v>0</x:v>
      </x:c>
      <x:c r="AM402" s="38" t="n">
        <x:f>IF(AB402=0,0,AC402/AB402)</x:f>
        <x:v>0</x:v>
      </x:c>
      <x:c r="AN402" s="37" t="n">
        <x:f>ROUND((AD402*0.20+AE402*0.20+AF402*0.25+AG402*0.15+MIN(100,AC402*12)*0.20),1)</x:f>
        <x:v>57.5</x:v>
      </x:c>
      <x:c r="AO402" s="37" t="n">
        <x:f>ROUND(MAX(0,MIN(100,(X402*0.35)+(W402/45*100*0.20)+((5-O402)/4*100*0.15)+((5-P402)/4*100*0.10)+((6-Y402)/5*100*0.10)+((100-Z402)*0.10))),1)</x:f>
        <x:v>49.3</x:v>
      </x:c>
      <x:c r="AP402" s="37" t="str">
        <x:f>IF(AO402&gt;=70,"High",IF(AO402&gt;=40,"Moderate","Low"))</x:f>
        <x:v>Moderate</x:v>
      </x:c>
      <x:c r="AQ402" s="37" t="n">
        <x:f>ROUND(MAX(0,MIN(100,(O402/4*100*0.25)+(P402/4*100*0.20)+(Q402/4*100*0.15)+(Y402/5*100*0.20)+(100-AO402)*0.20)),1)</x:f>
        <x:v>63.6</x:v>
      </x:c>
      <x:c r="AR402" s="37" t="n">
        <x:f>ROUND((AI402*0.20+AJ402*0.15+AN402*0.18+AG402*0.12+Z402*0.15+AQ402*0.20),1)</x:f>
        <x:v>79.8</x:v>
      </x:c>
      <x:c r="AS402" s="39" t="n">
        <x:f>ROUND((AC402*AF402*120)+(AH402*350)+(MAX(0,AI402-75)*220)+(MAX(0,AQ402-60)*100),0)</x:f>
        <x:v>6400</x:v>
      </x:c>
    </x:row>
    <x:row r="403">
      <x:c r="A403" s="35" t="n">
        <x:v>402</x:v>
      </x:c>
      <x:c r="B403" s="35" t="n">
        <x:v>43</x:v>
      </x:c>
      <x:c r="C403" s="35" t="str">
        <x:v>Male</x:v>
      </x:c>
      <x:c r="D403" s="35" t="str">
        <x:v>Finance</x:v>
      </x:c>
      <x:c r="E403" s="35" t="str">
        <x:v>Financial Analyst</x:v>
      </x:c>
      <x:c r="F403" s="35" t="str">
        <x:v>Business</x:v>
      </x:c>
      <x:c r="G403" s="35" t="str">
        <x:v>Married</x:v>
      </x:c>
      <x:c r="H403" s="35" t="n">
        <x:v>3</x:v>
      </x:c>
      <x:c r="I403" s="36" t="n">
        <x:v>15660</x:v>
      </x:c>
      <x:c r="J403" s="35" t="n">
        <x:v>16</x:v>
      </x:c>
      <x:c r="K403" s="35" t="n">
        <x:v>10</x:v>
      </x:c>
      <x:c r="L403" s="35" t="n">
        <x:v>7</x:v>
      </x:c>
      <x:c r="M403" s="35" t="n">
        <x:v>15</x:v>
      </x:c>
      <x:c r="N403" s="35" t="str">
        <x:v>No</x:v>
      </x:c>
      <x:c r="O403" s="35" t="n">
        <x:v>2</x:v>
      </x:c>
      <x:c r="P403" s="35" t="n">
        <x:v>4</x:v>
      </x:c>
      <x:c r="Q403" s="35" t="n">
        <x:v>2</x:v>
      </x:c>
      <x:c r="R403" s="35" t="n">
        <x:v>2</x:v>
      </x:c>
      <x:c r="S403" s="35" t="n">
        <x:v>3</x:v>
      </x:c>
      <x:c r="T403" s="35" t="n">
        <x:v>2</x:v>
      </x:c>
      <x:c r="U403" s="35" t="n">
        <x:v>0</x:v>
      </x:c>
      <x:c r="V403" s="35" t="n">
        <x:v>13</x:v>
      </x:c>
      <x:c r="W403" s="35" t="n">
        <x:v>0</x:v>
      </x:c>
      <x:c r="X403" s="35" t="n">
        <x:v>58</x:v>
      </x:c>
      <x:c r="Y403" s="35" t="n">
        <x:v>5</x:v>
      </x:c>
      <x:c r="Z403" s="35" t="n">
        <x:v>100</x:v>
      </x:c>
      <x:c r="AA403" s="35" t="n">
        <x:v>9</x:v>
      </x:c>
      <x:c r="AB403" s="35" t="n">
        <x:v>7</x:v>
      </x:c>
      <x:c r="AC403" s="35" t="n">
        <x:v>7</x:v>
      </x:c>
      <x:c r="AD403" s="35" t="n">
        <x:v>68</x:v>
      </x:c>
      <x:c r="AE403" s="35" t="n">
        <x:v>95</x:v>
      </x:c>
      <x:c r="AF403" s="35" t="n">
        <x:v>88</x:v>
      </x:c>
      <x:c r="AG403" s="35" t="n">
        <x:v>100</x:v>
      </x:c>
      <x:c r="AH403" s="35" t="n">
        <x:v>12</x:v>
      </x:c>
      <x:c r="AI403" s="37" t="n">
        <x:v>100</x:v>
      </x:c>
      <x:c r="AJ403" s="37" t="n">
        <x:v>90.3</x:v>
      </x:c>
      <x:c r="AK403" s="35" t="str">
        <x:v>Yes</x:v>
      </x:c>
      <x:c r="AL403" s="38" t="n">
        <x:f>IF(AA403=0,0,AB403/AA403)</x:f>
        <x:v>0.7777777777777778</x:v>
      </x:c>
      <x:c r="AM403" s="38" t="n">
        <x:f>IF(AB403=0,0,AC403/AB403)</x:f>
        <x:v>1</x:v>
      </x:c>
      <x:c r="AN403" s="37" t="n">
        <x:f>ROUND((AD403*0.20+AE403*0.20+AF403*0.25+AG403*0.15+MIN(100,AC403*12)*0.20),1)</x:f>
        <x:v>86.4</x:v>
      </x:c>
      <x:c r="AO403" s="37" t="n">
        <x:f>ROUND(MAX(0,MIN(100,(X403*0.35)+(W403/45*100*0.20)+((5-O403)/4*100*0.15)+((5-P403)/4*100*0.10)+((6-Y403)/5*100*0.10)+((100-Z403)*0.10))),1)</x:f>
        <x:v>36.1</x:v>
      </x:c>
      <x:c r="AP403" s="37" t="str">
        <x:f>IF(AO403&gt;=70,"High",IF(AO403&gt;=40,"Moderate","Low"))</x:f>
        <x:v>Low</x:v>
      </x:c>
      <x:c r="AQ403" s="37" t="n">
        <x:f>ROUND(MAX(0,MIN(100,(O403/4*100*0.25)+(P403/4*100*0.20)+(Q403/4*100*0.15)+(Y403/5*100*0.20)+(100-AO403)*0.20)),1)</x:f>
        <x:v>72.8</x:v>
      </x:c>
      <x:c r="AR403" s="37" t="n">
        <x:f>ROUND((AI403*0.20+AJ403*0.15+AN403*0.18+AG403*0.12+Z403*0.15+AQ403*0.20),1)</x:f>
        <x:v>90.7</x:v>
      </x:c>
      <x:c r="AS403" s="39" t="n">
        <x:f>ROUND((AC403*AF403*120)+(AH403*350)+(MAX(0,AI403-75)*220)+(MAX(0,AQ403-60)*100),0)</x:f>
        <x:v>84900</x:v>
      </x:c>
    </x:row>
    <x:row r="404">
      <x:c r="A404" s="35" t="n">
        <x:v>403</x:v>
      </x:c>
      <x:c r="B404" s="35" t="n">
        <x:v>44</x:v>
      </x:c>
      <x:c r="C404" s="35" t="str">
        <x:v>Male</x:v>
      </x:c>
      <x:c r="D404" s="35" t="str">
        <x:v>Information Technology</x:v>
      </x:c>
      <x:c r="E404" s="35" t="str">
        <x:v>IT Manager</x:v>
      </x:c>
      <x:c r="F404" s="35" t="str">
        <x:v>Marketing</x:v>
      </x:c>
      <x:c r="G404" s="35" t="str">
        <x:v>Single</x:v>
      </x:c>
      <x:c r="H404" s="35" t="n">
        <x:v>4</x:v>
      </x:c>
      <x:c r="I404" s="36" t="n">
        <x:v>19950</x:v>
      </x:c>
      <x:c r="J404" s="35" t="n">
        <x:v>20</x:v>
      </x:c>
      <x:c r="K404" s="35" t="n">
        <x:v>8</x:v>
      </x:c>
      <x:c r="L404" s="35" t="n">
        <x:v>4</x:v>
      </x:c>
      <x:c r="M404" s="35" t="n">
        <x:v>7</x:v>
      </x:c>
      <x:c r="N404" s="35" t="str">
        <x:v>No</x:v>
      </x:c>
      <x:c r="O404" s="35" t="n">
        <x:v>4</x:v>
      </x:c>
      <x:c r="P404" s="35" t="n">
        <x:v>4</x:v>
      </x:c>
      <x:c r="Q404" s="35" t="n">
        <x:v>4</x:v>
      </x:c>
      <x:c r="R404" s="35" t="n">
        <x:v>4</x:v>
      </x:c>
      <x:c r="S404" s="35" t="n">
        <x:v>3</x:v>
      </x:c>
      <x:c r="T404" s="35" t="n">
        <x:v>6</x:v>
      </x:c>
      <x:c r="U404" s="35" t="n">
        <x:v>0</x:v>
      </x:c>
      <x:c r="V404" s="35" t="n">
        <x:v>6</x:v>
      </x:c>
      <x:c r="W404" s="35" t="n">
        <x:v>14</x:v>
      </x:c>
      <x:c r="X404" s="35" t="n">
        <x:v>67</x:v>
      </x:c>
      <x:c r="Y404" s="35" t="n">
        <x:v>4</x:v>
      </x:c>
      <x:c r="Z404" s="35" t="n">
        <x:v>100</x:v>
      </x:c>
      <x:c r="AA404" s="35" t="n">
        <x:v>3</x:v>
      </x:c>
      <x:c r="AB404" s="35" t="n">
        <x:v>3</x:v>
      </x:c>
      <x:c r="AC404" s="35" t="n">
        <x:v>2</x:v>
      </x:c>
      <x:c r="AD404" s="35" t="n">
        <x:v>61</x:v>
      </x:c>
      <x:c r="AE404" s="35" t="n">
        <x:v>85</x:v>
      </x:c>
      <x:c r="AF404" s="35" t="n">
        <x:v>83</x:v>
      </x:c>
      <x:c r="AG404" s="35" t="n">
        <x:v>99</x:v>
      </x:c>
      <x:c r="AH404" s="35" t="n">
        <x:v>1</x:v>
      </x:c>
      <x:c r="AI404" s="37" t="n">
        <x:v>93.9</x:v>
      </x:c>
      <x:c r="AJ404" s="37" t="n">
        <x:v>92.1</x:v>
      </x:c>
      <x:c r="AK404" s="35" t="str">
        <x:v>No</x:v>
      </x:c>
      <x:c r="AL404" s="38" t="n">
        <x:f>IF(AA404=0,0,AB404/AA404)</x:f>
        <x:v>1</x:v>
      </x:c>
      <x:c r="AM404" s="38" t="n">
        <x:f>IF(AB404=0,0,AC404/AB404)</x:f>
        <x:v>0.6666666666666666</x:v>
      </x:c>
      <x:c r="AN404" s="37" t="n">
        <x:f>ROUND((AD404*0.20+AE404*0.20+AF404*0.25+AG404*0.15+MIN(100,AC404*12)*0.20),1)</x:f>
        <x:v>69.6</x:v>
      </x:c>
      <x:c r="AO404" s="37" t="n">
        <x:f>ROUND(MAX(0,MIN(100,(X404*0.35)+(W404/45*100*0.20)+((5-O404)/4*100*0.15)+((5-P404)/4*100*0.10)+((6-Y404)/5*100*0.10)+((100-Z404)*0.10))),1)</x:f>
        <x:v>39.9</x:v>
      </x:c>
      <x:c r="AP404" s="37" t="str">
        <x:f>IF(AO404&gt;=70,"High",IF(AO404&gt;=40,"Moderate","Low"))</x:f>
        <x:v>Low</x:v>
      </x:c>
      <x:c r="AQ404" s="37" t="n">
        <x:f>ROUND(MAX(0,MIN(100,(O404/4*100*0.25)+(P404/4*100*0.20)+(Q404/4*100*0.15)+(Y404/5*100*0.20)+(100-AO404)*0.20)),1)</x:f>
        <x:v>88</x:v>
      </x:c>
      <x:c r="AR404" s="37" t="n">
        <x:f>ROUND((AI404*0.20+AJ404*0.15+AN404*0.18+AG404*0.12+Z404*0.15+AQ404*0.20),1)</x:f>
        <x:v>89.6</x:v>
      </x:c>
      <x:c r="AS404" s="39" t="n">
        <x:f>ROUND((AC404*AF404*120)+(AH404*350)+(MAX(0,AI404-75)*220)+(MAX(0,AQ404-60)*100),0)</x:f>
        <x:v>27228</x:v>
      </x:c>
    </x:row>
    <x:row r="405">
      <x:c r="A405" s="35" t="n">
        <x:v>404</x:v>
      </x:c>
      <x:c r="B405" s="35" t="n">
        <x:v>52</x:v>
      </x:c>
      <x:c r="C405" s="35" t="str">
        <x:v>Female</x:v>
      </x:c>
      <x:c r="D405" s="35" t="str">
        <x:v>Sales</x:v>
      </x:c>
      <x:c r="E405" s="35" t="str">
        <x:v>Account Manager</x:v>
      </x:c>
      <x:c r="F405" s="35" t="str">
        <x:v>Life Sciences</x:v>
      </x:c>
      <x:c r="G405" s="35" t="str">
        <x:v>Married</x:v>
      </x:c>
      <x:c r="H405" s="35" t="n">
        <x:v>4</x:v>
      </x:c>
      <x:c r="I405" s="36" t="n">
        <x:v>12800</x:v>
      </x:c>
      <x:c r="J405" s="35" t="n">
        <x:v>15</x:v>
      </x:c>
      <x:c r="K405" s="35" t="n">
        <x:v>8</x:v>
      </x:c>
      <x:c r="L405" s="35" t="n">
        <x:v>2</x:v>
      </x:c>
      <x:c r="M405" s="35" t="n">
        <x:v>20</x:v>
      </x:c>
      <x:c r="N405" s="35" t="str">
        <x:v>Yes</x:v>
      </x:c>
      <x:c r="O405" s="35" t="n">
        <x:v>2</x:v>
      </x:c>
      <x:c r="P405" s="35" t="n">
        <x:v>2</x:v>
      </x:c>
      <x:c r="Q405" s="35" t="n">
        <x:v>2</x:v>
      </x:c>
      <x:c r="R405" s="35" t="n">
        <x:v>4</x:v>
      </x:c>
      <x:c r="S405" s="35" t="n">
        <x:v>3</x:v>
      </x:c>
      <x:c r="T405" s="35" t="n">
        <x:v>3</x:v>
      </x:c>
      <x:c r="U405" s="35" t="n">
        <x:v>1</x:v>
      </x:c>
      <x:c r="V405" s="35" t="n">
        <x:v>13</x:v>
      </x:c>
      <x:c r="W405" s="35" t="n">
        <x:v>25</x:v>
      </x:c>
      <x:c r="X405" s="35" t="n">
        <x:v>93</x:v>
      </x:c>
      <x:c r="Y405" s="35" t="n">
        <x:v>3</x:v>
      </x:c>
      <x:c r="Z405" s="35" t="n">
        <x:v>83</x:v>
      </x:c>
      <x:c r="AA405" s="35" t="n">
        <x:v>5</x:v>
      </x:c>
      <x:c r="AB405" s="35" t="n">
        <x:v>5</x:v>
      </x:c>
      <x:c r="AC405" s="35" t="n">
        <x:v>5</x:v>
      </x:c>
      <x:c r="AD405" s="35" t="n">
        <x:v>62</x:v>
      </x:c>
      <x:c r="AE405" s="35" t="n">
        <x:v>100</x:v>
      </x:c>
      <x:c r="AF405" s="35" t="n">
        <x:v>77</x:v>
      </x:c>
      <x:c r="AG405" s="35" t="n">
        <x:v>79</x:v>
      </x:c>
      <x:c r="AH405" s="35" t="n">
        <x:v>1</x:v>
      </x:c>
      <x:c r="AI405" s="37" t="n">
        <x:v>98.5</x:v>
      </x:c>
      <x:c r="AJ405" s="37" t="n">
        <x:v>98.5</x:v>
      </x:c>
      <x:c r="AK405" s="35" t="str">
        <x:v>No</x:v>
      </x:c>
      <x:c r="AL405" s="38" t="n">
        <x:f>IF(AA405=0,0,AB405/AA405)</x:f>
        <x:v>1</x:v>
      </x:c>
      <x:c r="AM405" s="38" t="n">
        <x:f>IF(AB405=0,0,AC405/AB405)</x:f>
        <x:v>1</x:v>
      </x:c>
      <x:c r="AN405" s="37" t="n">
        <x:f>ROUND((AD405*0.20+AE405*0.20+AF405*0.25+AG405*0.15+MIN(100,AC405*12)*0.20),1)</x:f>
        <x:v>75.5</x:v>
      </x:c>
      <x:c r="AO405" s="37" t="n">
        <x:f>ROUND(MAX(0,MIN(100,(X405*0.35)+(W405/45*100*0.20)+((5-O405)/4*100*0.15)+((5-P405)/4*100*0.10)+((6-Y405)/5*100*0.10)+((100-Z405)*0.10))),1)</x:f>
        <x:v>70.1</x:v>
      </x:c>
      <x:c r="AP405" s="37" t="str">
        <x:f>IF(AO405&gt;=70,"High",IF(AO405&gt;=40,"Moderate","Low"))</x:f>
        <x:v>High</x:v>
      </x:c>
      <x:c r="AQ405" s="37" t="n">
        <x:f>ROUND(MAX(0,MIN(100,(O405/4*100*0.25)+(P405/4*100*0.20)+(Q405/4*100*0.15)+(Y405/5*100*0.20)+(100-AO405)*0.20)),1)</x:f>
        <x:v>48</x:v>
      </x:c>
      <x:c r="AR405" s="37" t="n">
        <x:f>ROUND((AI405*0.20+AJ405*0.15+AN405*0.18+AG405*0.12+Z405*0.15+AQ405*0.20),1)</x:f>
        <x:v>79.6</x:v>
      </x:c>
      <x:c r="AS405" s="39" t="n">
        <x:f>ROUND((AC405*AF405*120)+(AH405*350)+(MAX(0,AI405-75)*220)+(MAX(0,AQ405-60)*100),0)</x:f>
        <x:v>51720</x:v>
      </x:c>
    </x:row>
    <x:row r="406">
      <x:c r="A406" s="35" t="n">
        <x:v>405</x:v>
      </x:c>
      <x:c r="B406" s="35" t="n">
        <x:v>38</x:v>
      </x:c>
      <x:c r="C406" s="35" t="str">
        <x:v>Male</x:v>
      </x:c>
      <x:c r="D406" s="35" t="str">
        <x:v>Sales</x:v>
      </x:c>
      <x:c r="E406" s="35" t="str">
        <x:v>Account Manager</x:v>
      </x:c>
      <x:c r="F406" s="35" t="str">
        <x:v>Medical</x:v>
      </x:c>
      <x:c r="G406" s="35" t="str">
        <x:v>Single</x:v>
      </x:c>
      <x:c r="H406" s="35" t="n">
        <x:v>2</x:v>
      </x:c>
      <x:c r="I406" s="36" t="n">
        <x:v>8890</x:v>
      </x:c>
      <x:c r="J406" s="35" t="n">
        <x:v>14</x:v>
      </x:c>
      <x:c r="K406" s="35" t="n">
        <x:v>4</x:v>
      </x:c>
      <x:c r="L406" s="35" t="n">
        <x:v>2</x:v>
      </x:c>
      <x:c r="M406" s="35" t="n">
        <x:v>3</x:v>
      </x:c>
      <x:c r="N406" s="35" t="str">
        <x:v>No</x:v>
      </x:c>
      <x:c r="O406" s="35" t="n">
        <x:v>3</x:v>
      </x:c>
      <x:c r="P406" s="35" t="n">
        <x:v>2</x:v>
      </x:c>
      <x:c r="Q406" s="35" t="n">
        <x:v>4</x:v>
      </x:c>
      <x:c r="R406" s="35" t="n">
        <x:v>3</x:v>
      </x:c>
      <x:c r="S406" s="35" t="n">
        <x:v>3</x:v>
      </x:c>
      <x:c r="T406" s="35" t="n">
        <x:v>4</x:v>
      </x:c>
      <x:c r="U406" s="35" t="n">
        <x:v>3</x:v>
      </x:c>
      <x:c r="V406" s="35" t="n">
        <x:v>10</x:v>
      </x:c>
      <x:c r="W406" s="35" t="n">
        <x:v>0</x:v>
      </x:c>
      <x:c r="X406" s="35" t="n">
        <x:v>55</x:v>
      </x:c>
      <x:c r="Y406" s="35" t="n">
        <x:v>5</x:v>
      </x:c>
      <x:c r="Z406" s="35" t="n">
        <x:v>100</x:v>
      </x:c>
      <x:c r="AA406" s="35" t="n">
        <x:v>7</x:v>
      </x:c>
      <x:c r="AB406" s="35" t="n">
        <x:v>5</x:v>
      </x:c>
      <x:c r="AC406" s="35" t="n">
        <x:v>4</x:v>
      </x:c>
      <x:c r="AD406" s="35" t="n">
        <x:v>100</x:v>
      </x:c>
      <x:c r="AE406" s="35" t="n">
        <x:v>74</x:v>
      </x:c>
      <x:c r="AF406" s="35" t="n">
        <x:v>77</x:v>
      </x:c>
      <x:c r="AG406" s="35" t="n">
        <x:v>80</x:v>
      </x:c>
      <x:c r="AH406" s="35" t="n">
        <x:v>3</x:v>
      </x:c>
      <x:c r="AI406" s="37" t="n">
        <x:v>100</x:v>
      </x:c>
      <x:c r="AJ406" s="37" t="n">
        <x:v>97.7</x:v>
      </x:c>
      <x:c r="AK406" s="35" t="str">
        <x:v>No</x:v>
      </x:c>
      <x:c r="AL406" s="38" t="n">
        <x:f>IF(AA406=0,0,AB406/AA406)</x:f>
        <x:v>0.7142857142857143</x:v>
      </x:c>
      <x:c r="AM406" s="38" t="n">
        <x:f>IF(AB406=0,0,AC406/AB406)</x:f>
        <x:v>0.8</x:v>
      </x:c>
      <x:c r="AN406" s="37" t="n">
        <x:f>ROUND((AD406*0.20+AE406*0.20+AF406*0.25+AG406*0.15+MIN(100,AC406*12)*0.20),1)</x:f>
        <x:v>75.7</x:v>
      </x:c>
      <x:c r="AO406" s="37" t="n">
        <x:f>ROUND(MAX(0,MIN(100,(X406*0.35)+(W406/45*100*0.20)+((5-O406)/4*100*0.15)+((5-P406)/4*100*0.10)+((6-Y406)/5*100*0.10)+((100-Z406)*0.10))),1)</x:f>
        <x:v>36.3</x:v>
      </x:c>
      <x:c r="AP406" s="37" t="str">
        <x:f>IF(AO406&gt;=70,"High",IF(AO406&gt;=40,"Moderate","Low"))</x:f>
        <x:v>Low</x:v>
      </x:c>
      <x:c r="AQ406" s="37" t="n">
        <x:f>ROUND(MAX(0,MIN(100,(O406/4*100*0.25)+(P406/4*100*0.20)+(Q406/4*100*0.15)+(Y406/5*100*0.20)+(100-AO406)*0.20)),1)</x:f>
        <x:v>76.5</x:v>
      </x:c>
      <x:c r="AR406" s="37" t="n">
        <x:f>ROUND((AI406*0.20+AJ406*0.15+AN406*0.18+AG406*0.12+Z406*0.15+AQ406*0.20),1)</x:f>
        <x:v>88.2</x:v>
      </x:c>
      <x:c r="AS406" s="39" t="n">
        <x:f>ROUND((AC406*AF406*120)+(AH406*350)+(MAX(0,AI406-75)*220)+(MAX(0,AQ406-60)*100),0)</x:f>
        <x:v>45160</x:v>
      </x:c>
    </x:row>
    <x:row r="407">
      <x:c r="A407" s="35" t="n">
        <x:v>406</x:v>
      </x:c>
      <x:c r="B407" s="35" t="n">
        <x:v>38</x:v>
      </x:c>
      <x:c r="C407" s="35" t="str">
        <x:v>Male</x:v>
      </x:c>
      <x:c r="D407" s="35" t="str">
        <x:v>Marketing</x:v>
      </x:c>
      <x:c r="E407" s="35" t="str">
        <x:v>Digital Marketing Analyst</x:v>
      </x:c>
      <x:c r="F407" s="35" t="str">
        <x:v>Human Resources</x:v>
      </x:c>
      <x:c r="G407" s="35" t="str">
        <x:v>Single</x:v>
      </x:c>
      <x:c r="H407" s="35" t="n">
        <x:v>3</x:v>
      </x:c>
      <x:c r="I407" s="36" t="n">
        <x:v>13160</x:v>
      </x:c>
      <x:c r="J407" s="35" t="n">
        <x:v>14</x:v>
      </x:c>
      <x:c r="K407" s="35" t="n">
        <x:v>7</x:v>
      </x:c>
      <x:c r="L407" s="35" t="n">
        <x:v>5</x:v>
      </x:c>
      <x:c r="M407" s="35" t="n">
        <x:v>12</x:v>
      </x:c>
      <x:c r="N407" s="35" t="str">
        <x:v>No</x:v>
      </x:c>
      <x:c r="O407" s="35" t="n">
        <x:v>3</x:v>
      </x:c>
      <x:c r="P407" s="35" t="n">
        <x:v>4</x:v>
      </x:c>
      <x:c r="Q407" s="35" t="n">
        <x:v>3</x:v>
      </x:c>
      <x:c r="R407" s="35" t="n">
        <x:v>3</x:v>
      </x:c>
      <x:c r="S407" s="35" t="n">
        <x:v>3</x:v>
      </x:c>
      <x:c r="T407" s="35" t="n">
        <x:v>1</x:v>
      </x:c>
      <x:c r="U407" s="35" t="n">
        <x:v>0</x:v>
      </x:c>
      <x:c r="V407" s="35" t="n">
        <x:v>2</x:v>
      </x:c>
      <x:c r="W407" s="35" t="n">
        <x:v>6</x:v>
      </x:c>
      <x:c r="X407" s="35" t="n">
        <x:v>46</x:v>
      </x:c>
      <x:c r="Y407" s="35" t="n">
        <x:v>5</x:v>
      </x:c>
      <x:c r="Z407" s="35" t="n">
        <x:v>100</x:v>
      </x:c>
      <x:c r="AA407" s="35" t="n">
        <x:v>5</x:v>
      </x:c>
      <x:c r="AB407" s="35" t="n">
        <x:v>4</x:v>
      </x:c>
      <x:c r="AC407" s="35" t="n">
        <x:v>2</x:v>
      </x:c>
      <x:c r="AD407" s="35" t="n">
        <x:v>81</x:v>
      </x:c>
      <x:c r="AE407" s="35" t="n">
        <x:v>82</x:v>
      </x:c>
      <x:c r="AF407" s="35" t="n">
        <x:v>50</x:v>
      </x:c>
      <x:c r="AG407" s="35" t="n">
        <x:v>90</x:v>
      </x:c>
      <x:c r="AH407" s="35" t="n">
        <x:v>3</x:v>
      </x:c>
      <x:c r="AI407" s="37" t="n">
        <x:v>98.4</x:v>
      </x:c>
      <x:c r="AJ407" s="37" t="n">
        <x:v>83.5</x:v>
      </x:c>
      <x:c r="AK407" s="35" t="str">
        <x:v>No</x:v>
      </x:c>
      <x:c r="AL407" s="38" t="n">
        <x:f>IF(AA407=0,0,AB407/AA407)</x:f>
        <x:v>0.8</x:v>
      </x:c>
      <x:c r="AM407" s="38" t="n">
        <x:f>IF(AB407=0,0,AC407/AB407)</x:f>
        <x:v>0.5</x:v>
      </x:c>
      <x:c r="AN407" s="37" t="n">
        <x:f>ROUND((AD407*0.20+AE407*0.20+AF407*0.25+AG407*0.15+MIN(100,AC407*12)*0.20),1)</x:f>
        <x:v>63.4</x:v>
      </x:c>
      <x:c r="AO407" s="37" t="n">
        <x:f>ROUND(MAX(0,MIN(100,(X407*0.35)+(W407/45*100*0.20)+((5-O407)/4*100*0.15)+((5-P407)/4*100*0.10)+((6-Y407)/5*100*0.10)+((100-Z407)*0.10))),1)</x:f>
        <x:v>30.8</x:v>
      </x:c>
      <x:c r="AP407" s="37" t="str">
        <x:f>IF(AO407&gt;=70,"High",IF(AO407&gt;=40,"Moderate","Low"))</x:f>
        <x:v>Low</x:v>
      </x:c>
      <x:c r="AQ407" s="37" t="n">
        <x:f>ROUND(MAX(0,MIN(100,(O407/4*100*0.25)+(P407/4*100*0.20)+(Q407/4*100*0.15)+(Y407/5*100*0.20)+(100-AO407)*0.20)),1)</x:f>
        <x:v>83.8</x:v>
      </x:c>
      <x:c r="AR407" s="37" t="n">
        <x:f>ROUND((AI407*0.20+AJ407*0.15+AN407*0.18+AG407*0.12+Z407*0.15+AQ407*0.20),1)</x:f>
        <x:v>86.2</x:v>
      </x:c>
      <x:c r="AS407" s="39" t="n">
        <x:f>ROUND((AC407*AF407*120)+(AH407*350)+(MAX(0,AI407-75)*220)+(MAX(0,AQ407-60)*100),0)</x:f>
        <x:v>20578</x:v>
      </x:c>
    </x:row>
    <x:row r="408">
      <x:c r="A408" s="35" t="n">
        <x:v>407</x:v>
      </x:c>
      <x:c r="B408" s="35" t="n">
        <x:v>30</x:v>
      </x:c>
      <x:c r="C408" s="35" t="str">
        <x:v>Male</x:v>
      </x:c>
      <x:c r="D408" s="35" t="str">
        <x:v>Sales</x:v>
      </x:c>
      <x:c r="E408" s="35" t="str">
        <x:v>Sales Executive</x:v>
      </x:c>
      <x:c r="F408" s="35" t="str">
        <x:v>Medical</x:v>
      </x:c>
      <x:c r="G408" s="35" t="str">
        <x:v>Divorced</x:v>
      </x:c>
      <x:c r="H408" s="35" t="n">
        <x:v>1</x:v>
      </x:c>
      <x:c r="I408" s="36" t="n">
        <x:v>4550</x:v>
      </x:c>
      <x:c r="J408" s="35" t="n">
        <x:v>4</x:v>
      </x:c>
      <x:c r="K408" s="35" t="n">
        <x:v>2</x:v>
      </x:c>
      <x:c r="L408" s="35" t="n">
        <x:v>1</x:v>
      </x:c>
      <x:c r="M408" s="35" t="n">
        <x:v>27</x:v>
      </x:c>
      <x:c r="N408" s="35" t="str">
        <x:v>No</x:v>
      </x:c>
      <x:c r="O408" s="35" t="n">
        <x:v>3</x:v>
      </x:c>
      <x:c r="P408" s="35" t="n">
        <x:v>3</x:v>
      </x:c>
      <x:c r="Q408" s="35" t="n">
        <x:v>3</x:v>
      </x:c>
      <x:c r="R408" s="35" t="n">
        <x:v>2</x:v>
      </x:c>
      <x:c r="S408" s="35" t="n">
        <x:v>4</x:v>
      </x:c>
      <x:c r="T408" s="35" t="n">
        <x:v>4</x:v>
      </x:c>
      <x:c r="U408" s="35" t="n">
        <x:v>1</x:v>
      </x:c>
      <x:c r="V408" s="35" t="n">
        <x:v>4</x:v>
      </x:c>
      <x:c r="W408" s="35" t="n">
        <x:v>0</x:v>
      </x:c>
      <x:c r="X408" s="35" t="n">
        <x:v>68</x:v>
      </x:c>
      <x:c r="Y408" s="35" t="n">
        <x:v>5</x:v>
      </x:c>
      <x:c r="Z408" s="35" t="n">
        <x:v>96</x:v>
      </x:c>
      <x:c r="AA408" s="35" t="n">
        <x:v>10</x:v>
      </x:c>
      <x:c r="AB408" s="35" t="n">
        <x:v>7</x:v>
      </x:c>
      <x:c r="AC408" s="35" t="n">
        <x:v>6</x:v>
      </x:c>
      <x:c r="AD408" s="35" t="n">
        <x:v>100</x:v>
      </x:c>
      <x:c r="AE408" s="35" t="n">
        <x:v>85</x:v>
      </x:c>
      <x:c r="AF408" s="35" t="n">
        <x:v>91</x:v>
      </x:c>
      <x:c r="AG408" s="35" t="n">
        <x:v>88</x:v>
      </x:c>
      <x:c r="AH408" s="35" t="n">
        <x:v>10</x:v>
      </x:c>
      <x:c r="AI408" s="37" t="n">
        <x:v>100</x:v>
      </x:c>
      <x:c r="AJ408" s="37" t="n">
        <x:v>100</x:v>
      </x:c>
      <x:c r="AK408" s="35" t="str">
        <x:v>No</x:v>
      </x:c>
      <x:c r="AL408" s="38" t="n">
        <x:f>IF(AA408=0,0,AB408/AA408)</x:f>
        <x:v>0.7</x:v>
      </x:c>
      <x:c r="AM408" s="38" t="n">
        <x:f>IF(AB408=0,0,AC408/AB408)</x:f>
        <x:v>0.8571428571428571</x:v>
      </x:c>
      <x:c r="AN408" s="37" t="n">
        <x:f>ROUND((AD408*0.20+AE408*0.20+AF408*0.25+AG408*0.15+MIN(100,AC408*12)*0.20),1)</x:f>
        <x:v>87.4</x:v>
      </x:c>
      <x:c r="AO408" s="37" t="n">
        <x:f>ROUND(MAX(0,MIN(100,(X408*0.35)+(W408/45*100*0.20)+((5-O408)/4*100*0.15)+((5-P408)/4*100*0.10)+((6-Y408)/5*100*0.10)+((100-Z408)*0.10))),1)</x:f>
        <x:v>38.7</x:v>
      </x:c>
      <x:c r="AP408" s="37" t="str">
        <x:f>IF(AO408&gt;=70,"High",IF(AO408&gt;=40,"Moderate","Low"))</x:f>
        <x:v>Low</x:v>
      </x:c>
      <x:c r="AQ408" s="37" t="n">
        <x:f>ROUND(MAX(0,MIN(100,(O408/4*100*0.25)+(P408/4*100*0.20)+(Q408/4*100*0.15)+(Y408/5*100*0.20)+(100-AO408)*0.20)),1)</x:f>
        <x:v>77.3</x:v>
      </x:c>
      <x:c r="AR408" s="37" t="n">
        <x:f>ROUND((AI408*0.20+AJ408*0.15+AN408*0.18+AG408*0.12+Z408*0.15+AQ408*0.20),1)</x:f>
        <x:v>91.2</x:v>
      </x:c>
      <x:c r="AS408" s="39" t="n">
        <x:f>ROUND((AC408*AF408*120)+(AH408*350)+(MAX(0,AI408-75)*220)+(MAX(0,AQ408-60)*100),0)</x:f>
        <x:v>76250</x:v>
      </x:c>
    </x:row>
    <x:row r="409">
      <x:c r="A409" s="35" t="n">
        <x:v>408</x:v>
      </x:c>
      <x:c r="B409" s="35" t="n">
        <x:v>41</x:v>
      </x:c>
      <x:c r="C409" s="35" t="str">
        <x:v>Male</x:v>
      </x:c>
      <x:c r="D409" s="35" t="str">
        <x:v>Sales</x:v>
      </x:c>
      <x:c r="E409" s="35" t="str">
        <x:v>Sales Representative</x:v>
      </x:c>
      <x:c r="F409" s="35" t="str">
        <x:v>Life Sciences</x:v>
      </x:c>
      <x:c r="G409" s="35" t="str">
        <x:v>Married</x:v>
      </x:c>
      <x:c r="H409" s="35" t="n">
        <x:v>4</x:v>
      </x:c>
      <x:c r="I409" s="36" t="n">
        <x:v>16100</x:v>
      </x:c>
      <x:c r="J409" s="35" t="n">
        <x:v>10</x:v>
      </x:c>
      <x:c r="K409" s="35" t="n">
        <x:v>5</x:v>
      </x:c>
      <x:c r="L409" s="35" t="n">
        <x:v>4</x:v>
      </x:c>
      <x:c r="M409" s="35" t="n">
        <x:v>23</x:v>
      </x:c>
      <x:c r="N409" s="35" t="str">
        <x:v>No</x:v>
      </x:c>
      <x:c r="O409" s="35" t="n">
        <x:v>3</x:v>
      </x:c>
      <x:c r="P409" s="35" t="n">
        <x:v>1</x:v>
      </x:c>
      <x:c r="Q409" s="35" t="n">
        <x:v>3</x:v>
      </x:c>
      <x:c r="R409" s="35" t="n">
        <x:v>3</x:v>
      </x:c>
      <x:c r="S409" s="35" t="n">
        <x:v>3</x:v>
      </x:c>
      <x:c r="T409" s="35" t="n">
        <x:v>4</x:v>
      </x:c>
      <x:c r="U409" s="35" t="n">
        <x:v>0</x:v>
      </x:c>
      <x:c r="V409" s="35" t="n">
        <x:v>9</x:v>
      </x:c>
      <x:c r="W409" s="35" t="n">
        <x:v>5</x:v>
      </x:c>
      <x:c r="X409" s="35" t="n">
        <x:v>73</x:v>
      </x:c>
      <x:c r="Y409" s="35" t="n">
        <x:v>3</x:v>
      </x:c>
      <x:c r="Z409" s="35" t="n">
        <x:v>80</x:v>
      </x:c>
      <x:c r="AA409" s="35" t="n">
        <x:v>10</x:v>
      </x:c>
      <x:c r="AB409" s="35" t="n">
        <x:v>8</x:v>
      </x:c>
      <x:c r="AC409" s="35" t="n">
        <x:v>8</x:v>
      </x:c>
      <x:c r="AD409" s="35" t="n">
        <x:v>92</x:v>
      </x:c>
      <x:c r="AE409" s="35" t="n">
        <x:v>100</x:v>
      </x:c>
      <x:c r="AF409" s="35" t="n">
        <x:v>100</x:v>
      </x:c>
      <x:c r="AG409" s="35" t="n">
        <x:v>100</x:v>
      </x:c>
      <x:c r="AH409" s="35" t="n">
        <x:v>7</x:v>
      </x:c>
      <x:c r="AI409" s="37" t="n">
        <x:v>89.2</x:v>
      </x:c>
      <x:c r="AJ409" s="37" t="n">
        <x:v>100</x:v>
      </x:c>
      <x:c r="AK409" s="35" t="str">
        <x:v>No</x:v>
      </x:c>
      <x:c r="AL409" s="38" t="n">
        <x:f>IF(AA409=0,0,AB409/AA409)</x:f>
        <x:v>0.8</x:v>
      </x:c>
      <x:c r="AM409" s="38" t="n">
        <x:f>IF(AB409=0,0,AC409/AB409)</x:f>
        <x:v>1</x:v>
      </x:c>
      <x:c r="AN409" s="37" t="n">
        <x:f>ROUND((AD409*0.20+AE409*0.20+AF409*0.25+AG409*0.15+MIN(100,AC409*12)*0.20),1)</x:f>
        <x:v>97.6</x:v>
      </x:c>
      <x:c r="AO409" s="37" t="n">
        <x:f>ROUND(MAX(0,MIN(100,(X409*0.35)+(W409/45*100*0.20)+((5-O409)/4*100*0.15)+((5-P409)/4*100*0.10)+((6-Y409)/5*100*0.10)+((100-Z409)*0.10))),1)</x:f>
        <x:v>53.3</x:v>
      </x:c>
      <x:c r="AP409" s="37" t="str">
        <x:f>IF(AO409&gt;=70,"High",IF(AO409&gt;=40,"Moderate","Low"))</x:f>
        <x:v>Moderate</x:v>
      </x:c>
      <x:c r="AQ409" s="37" t="n">
        <x:f>ROUND(MAX(0,MIN(100,(O409/4*100*0.25)+(P409/4*100*0.20)+(Q409/4*100*0.15)+(Y409/5*100*0.20)+(100-AO409)*0.20)),1)</x:f>
        <x:v>56.3</x:v>
      </x:c>
      <x:c r="AR409" s="37" t="n">
        <x:f>ROUND((AI409*0.20+AJ409*0.15+AN409*0.18+AG409*0.12+Z409*0.15+AQ409*0.20),1)</x:f>
        <x:v>85.7</x:v>
      </x:c>
      <x:c r="AS409" s="39" t="n">
        <x:f>ROUND((AC409*AF409*120)+(AH409*350)+(MAX(0,AI409-75)*220)+(MAX(0,AQ409-60)*100),0)</x:f>
        <x:v>101574</x:v>
      </x:c>
    </x:row>
    <x:row r="410">
      <x:c r="A410" s="35" t="n">
        <x:v>409</x:v>
      </x:c>
      <x:c r="B410" s="35" t="n">
        <x:v>49</x:v>
      </x:c>
      <x:c r="C410" s="35" t="str">
        <x:v>Male</x:v>
      </x:c>
      <x:c r="D410" s="35" t="str">
        <x:v>Information Technology</x:v>
      </x:c>
      <x:c r="E410" s="35" t="str">
        <x:v>Software Engineer</x:v>
      </x:c>
      <x:c r="F410" s="35" t="str">
        <x:v>Business</x:v>
      </x:c>
      <x:c r="G410" s="35" t="str">
        <x:v>Married</x:v>
      </x:c>
      <x:c r="H410" s="35" t="n">
        <x:v>4</x:v>
      </x:c>
      <x:c r="I410" s="36" t="n">
        <x:v>17750</x:v>
      </x:c>
      <x:c r="J410" s="35" t="n">
        <x:v>21</x:v>
      </x:c>
      <x:c r="K410" s="35" t="n">
        <x:v>16</x:v>
      </x:c>
      <x:c r="L410" s="35" t="n">
        <x:v>12</x:v>
      </x:c>
      <x:c r="M410" s="35" t="n">
        <x:v>9</x:v>
      </x:c>
      <x:c r="N410" s="35" t="str">
        <x:v>No</x:v>
      </x:c>
      <x:c r="O410" s="35" t="n">
        <x:v>1</x:v>
      </x:c>
      <x:c r="P410" s="35" t="n">
        <x:v>3</x:v>
      </x:c>
      <x:c r="Q410" s="35" t="n">
        <x:v>2</x:v>
      </x:c>
      <x:c r="R410" s="35" t="n">
        <x:v>3</x:v>
      </x:c>
      <x:c r="S410" s="35" t="n">
        <x:v>3</x:v>
      </x:c>
      <x:c r="T410" s="35" t="n">
        <x:v>1</x:v>
      </x:c>
      <x:c r="U410" s="35" t="n">
        <x:v>0</x:v>
      </x:c>
      <x:c r="V410" s="35" t="n">
        <x:v>18</x:v>
      </x:c>
      <x:c r="W410" s="35" t="n">
        <x:v>0</x:v>
      </x:c>
      <x:c r="X410" s="35" t="n">
        <x:v>56</x:v>
      </x:c>
      <x:c r="Y410" s="35" t="n">
        <x:v>5</x:v>
      </x:c>
      <x:c r="Z410" s="35" t="n">
        <x:v>100</x:v>
      </x:c>
      <x:c r="AA410" s="35" t="n">
        <x:v>6</x:v>
      </x:c>
      <x:c r="AB410" s="35" t="n">
        <x:v>5</x:v>
      </x:c>
      <x:c r="AC410" s="35" t="n">
        <x:v>3</x:v>
      </x:c>
      <x:c r="AD410" s="35" t="n">
        <x:v>83</x:v>
      </x:c>
      <x:c r="AE410" s="35" t="n">
        <x:v>90</x:v>
      </x:c>
      <x:c r="AF410" s="35" t="n">
        <x:v>70</x:v>
      </x:c>
      <x:c r="AG410" s="35" t="n">
        <x:v>90</x:v>
      </x:c>
      <x:c r="AH410" s="35" t="n">
        <x:v>8</x:v>
      </x:c>
      <x:c r="AI410" s="37" t="n">
        <x:v>100</x:v>
      </x:c>
      <x:c r="AJ410" s="37" t="n">
        <x:v>86.7</x:v>
      </x:c>
      <x:c r="AK410" s="35" t="str">
        <x:v>Yes</x:v>
      </x:c>
      <x:c r="AL410" s="38" t="n">
        <x:f>IF(AA410=0,0,AB410/AA410)</x:f>
        <x:v>0.8333333333333334</x:v>
      </x:c>
      <x:c r="AM410" s="38" t="n">
        <x:f>IF(AB410=0,0,AC410/AB410)</x:f>
        <x:v>0.6</x:v>
      </x:c>
      <x:c r="AN410" s="37" t="n">
        <x:f>ROUND((AD410*0.20+AE410*0.20+AF410*0.25+AG410*0.15+MIN(100,AC410*12)*0.20),1)</x:f>
        <x:v>72.8</x:v>
      </x:c>
      <x:c r="AO410" s="37" t="n">
        <x:f>ROUND(MAX(0,MIN(100,(X410*0.35)+(W410/45*100*0.20)+((5-O410)/4*100*0.15)+((5-P410)/4*100*0.10)+((6-Y410)/5*100*0.10)+((100-Z410)*0.10))),1)</x:f>
        <x:v>41.6</x:v>
      </x:c>
      <x:c r="AP410" s="37" t="str">
        <x:f>IF(AO410&gt;=70,"High",IF(AO410&gt;=40,"Moderate","Low"))</x:f>
        <x:v>Moderate</x:v>
      </x:c>
      <x:c r="AQ410" s="37" t="n">
        <x:f>ROUND(MAX(0,MIN(100,(O410/4*100*0.25)+(P410/4*100*0.20)+(Q410/4*100*0.15)+(Y410/5*100*0.20)+(100-AO410)*0.20)),1)</x:f>
        <x:v>60.4</x:v>
      </x:c>
      <x:c r="AR410" s="37" t="n">
        <x:f>ROUND((AI410*0.20+AJ410*0.15+AN410*0.18+AG410*0.12+Z410*0.15+AQ410*0.20),1)</x:f>
        <x:v>84</x:v>
      </x:c>
      <x:c r="AS410" s="39" t="n">
        <x:f>ROUND((AC410*AF410*120)+(AH410*350)+(MAX(0,AI410-75)*220)+(MAX(0,AQ410-60)*100),0)</x:f>
        <x:v>33540</x:v>
      </x:c>
    </x:row>
    <x:row r="411">
      <x:c r="A411" s="35" t="n">
        <x:v>410</x:v>
      </x:c>
      <x:c r="B411" s="35" t="n">
        <x:v>31</x:v>
      </x:c>
      <x:c r="C411" s="35" t="str">
        <x:v>Female</x:v>
      </x:c>
      <x:c r="D411" s="35" t="str">
        <x:v>Information Technology</x:v>
      </x:c>
      <x:c r="E411" s="35" t="str">
        <x:v>IT Manager</x:v>
      </x:c>
      <x:c r="F411" s="35" t="str">
        <x:v>Technical Degree</x:v>
      </x:c>
      <x:c r="G411" s="35" t="str">
        <x:v>Married</x:v>
      </x:c>
      <x:c r="H411" s="35" t="n">
        <x:v>1</x:v>
      </x:c>
      <x:c r="I411" s="36" t="n">
        <x:v>4090</x:v>
      </x:c>
      <x:c r="J411" s="35" t="n">
        <x:v>6</x:v>
      </x:c>
      <x:c r="K411" s="35" t="n">
        <x:v>4</x:v>
      </x:c>
      <x:c r="L411" s="35" t="n">
        <x:v>2</x:v>
      </x:c>
      <x:c r="M411" s="35" t="n">
        <x:v>15</x:v>
      </x:c>
      <x:c r="N411" s="35" t="str">
        <x:v>No</x:v>
      </x:c>
      <x:c r="O411" s="35" t="n">
        <x:v>1</x:v>
      </x:c>
      <x:c r="P411" s="35" t="n">
        <x:v>3</x:v>
      </x:c>
      <x:c r="Q411" s="35" t="n">
        <x:v>3</x:v>
      </x:c>
      <x:c r="R411" s="35" t="n">
        <x:v>4</x:v>
      </x:c>
      <x:c r="S411" s="35" t="n">
        <x:v>3</x:v>
      </x:c>
      <x:c r="T411" s="35" t="n">
        <x:v>4</x:v>
      </x:c>
      <x:c r="U411" s="35" t="n">
        <x:v>3</x:v>
      </x:c>
      <x:c r="V411" s="35" t="n">
        <x:v>6</x:v>
      </x:c>
      <x:c r="W411" s="35" t="n">
        <x:v>11</x:v>
      </x:c>
      <x:c r="X411" s="35" t="n">
        <x:v>63</x:v>
      </x:c>
      <x:c r="Y411" s="35" t="n">
        <x:v>5</x:v>
      </x:c>
      <x:c r="Z411" s="35" t="n">
        <x:v>100</x:v>
      </x:c>
      <x:c r="AA411" s="35" t="n">
        <x:v>5</x:v>
      </x:c>
      <x:c r="AB411" s="35" t="n">
        <x:v>3</x:v>
      </x:c>
      <x:c r="AC411" s="35" t="n">
        <x:v>3</x:v>
      </x:c>
      <x:c r="AD411" s="35" t="n">
        <x:v>92</x:v>
      </x:c>
      <x:c r="AE411" s="35" t="n">
        <x:v>95</x:v>
      </x:c>
      <x:c r="AF411" s="35" t="n">
        <x:v>68</x:v>
      </x:c>
      <x:c r="AG411" s="35" t="n">
        <x:v>100</x:v>
      </x:c>
      <x:c r="AH411" s="35" t="n">
        <x:v>7</x:v>
      </x:c>
      <x:c r="AI411" s="37" t="n">
        <x:v>87.5</x:v>
      </x:c>
      <x:c r="AJ411" s="37" t="n">
        <x:v>91.5</x:v>
      </x:c>
      <x:c r="AK411" s="35" t="str">
        <x:v>No</x:v>
      </x:c>
      <x:c r="AL411" s="38" t="n">
        <x:f>IF(AA411=0,0,AB411/AA411)</x:f>
        <x:v>0.6</x:v>
      </x:c>
      <x:c r="AM411" s="38" t="n">
        <x:f>IF(AB411=0,0,AC411/AB411)</x:f>
        <x:v>1</x:v>
      </x:c>
      <x:c r="AN411" s="37" t="n">
        <x:f>ROUND((AD411*0.20+AE411*0.20+AF411*0.25+AG411*0.15+MIN(100,AC411*12)*0.20),1)</x:f>
        <x:v>76.6</x:v>
      </x:c>
      <x:c r="AO411" s="37" t="n">
        <x:f>ROUND(MAX(0,MIN(100,(X411*0.35)+(W411/45*100*0.20)+((5-O411)/4*100*0.15)+((5-P411)/4*100*0.10)+((6-Y411)/5*100*0.10)+((100-Z411)*0.10))),1)</x:f>
        <x:v>48.9</x:v>
      </x:c>
      <x:c r="AP411" s="37" t="str">
        <x:f>IF(AO411&gt;=70,"High",IF(AO411&gt;=40,"Moderate","Low"))</x:f>
        <x:v>Moderate</x:v>
      </x:c>
      <x:c r="AQ411" s="37" t="n">
        <x:f>ROUND(MAX(0,MIN(100,(O411/4*100*0.25)+(P411/4*100*0.20)+(Q411/4*100*0.15)+(Y411/5*100*0.20)+(100-AO411)*0.20)),1)</x:f>
        <x:v>62.7</x:v>
      </x:c>
      <x:c r="AR411" s="37" t="n">
        <x:f>ROUND((AI411*0.20+AJ411*0.15+AN411*0.18+AG411*0.12+Z411*0.15+AQ411*0.20),1)</x:f>
        <x:v>84.6</x:v>
      </x:c>
      <x:c r="AS411" s="39" t="n">
        <x:f>ROUND((AC411*AF411*120)+(AH411*350)+(MAX(0,AI411-75)*220)+(MAX(0,AQ411-60)*100),0)</x:f>
        <x:v>29950</x:v>
      </x:c>
    </x:row>
    <x:row r="412">
      <x:c r="A412" s="35" t="n">
        <x:v>411</x:v>
      </x:c>
      <x:c r="B412" s="35" t="n">
        <x:v>37</x:v>
      </x:c>
      <x:c r="C412" s="35" t="str">
        <x:v>Male</x:v>
      </x:c>
      <x:c r="D412" s="35" t="str">
        <x:v>Operations</x:v>
      </x:c>
      <x:c r="E412" s="35" t="str">
        <x:v>Operations Manager</x:v>
      </x:c>
      <x:c r="F412" s="35" t="str">
        <x:v>Life Sciences</x:v>
      </x:c>
      <x:c r="G412" s="35" t="str">
        <x:v>Married</x:v>
      </x:c>
      <x:c r="H412" s="35" t="n">
        <x:v>2</x:v>
      </x:c>
      <x:c r="I412" s="36" t="n">
        <x:v>9480</x:v>
      </x:c>
      <x:c r="J412" s="35" t="n">
        <x:v>13</x:v>
      </x:c>
      <x:c r="K412" s="35" t="n">
        <x:v>11</x:v>
      </x:c>
      <x:c r="L412" s="35" t="n">
        <x:v>6</x:v>
      </x:c>
      <x:c r="M412" s="35" t="n">
        <x:v>6</x:v>
      </x:c>
      <x:c r="N412" s="35" t="str">
        <x:v>No</x:v>
      </x:c>
      <x:c r="O412" s="35" t="n">
        <x:v>3</x:v>
      </x:c>
      <x:c r="P412" s="35" t="n">
        <x:v>3</x:v>
      </x:c>
      <x:c r="Q412" s="35" t="n">
        <x:v>4</x:v>
      </x:c>
      <x:c r="R412" s="35" t="n">
        <x:v>3</x:v>
      </x:c>
      <x:c r="S412" s="35" t="n">
        <x:v>3</x:v>
      </x:c>
      <x:c r="T412" s="35" t="n">
        <x:v>2</x:v>
      </x:c>
      <x:c r="U412" s="35" t="n">
        <x:v>0</x:v>
      </x:c>
      <x:c r="V412" s="35" t="n">
        <x:v>8</x:v>
      </x:c>
      <x:c r="W412" s="35" t="n">
        <x:v>2</x:v>
      </x:c>
      <x:c r="X412" s="35" t="n">
        <x:v>67</x:v>
      </x:c>
      <x:c r="Y412" s="35" t="n">
        <x:v>5</x:v>
      </x:c>
      <x:c r="Z412" s="35" t="n">
        <x:v>100</x:v>
      </x:c>
      <x:c r="AA412" s="35" t="n">
        <x:v>4</x:v>
      </x:c>
      <x:c r="AB412" s="35" t="n">
        <x:v>3</x:v>
      </x:c>
      <x:c r="AC412" s="35" t="n">
        <x:v>3</x:v>
      </x:c>
      <x:c r="AD412" s="35" t="n">
        <x:v>76</x:v>
      </x:c>
      <x:c r="AE412" s="35" t="n">
        <x:v>73</x:v>
      </x:c>
      <x:c r="AF412" s="35" t="n">
        <x:v>81</x:v>
      </x:c>
      <x:c r="AG412" s="35" t="n">
        <x:v>82</x:v>
      </x:c>
      <x:c r="AH412" s="35" t="n">
        <x:v>5</x:v>
      </x:c>
      <x:c r="AI412" s="37" t="n">
        <x:v>99</x:v>
      </x:c>
      <x:c r="AJ412" s="37" t="n">
        <x:v>97.9</x:v>
      </x:c>
      <x:c r="AK412" s="35" t="str">
        <x:v>No</x:v>
      </x:c>
      <x:c r="AL412" s="38" t="n">
        <x:f>IF(AA412=0,0,AB412/AA412)</x:f>
        <x:v>0.75</x:v>
      </x:c>
      <x:c r="AM412" s="38" t="n">
        <x:f>IF(AB412=0,0,AC412/AB412)</x:f>
        <x:v>1</x:v>
      </x:c>
      <x:c r="AN412" s="37" t="n">
        <x:f>ROUND((AD412*0.20+AE412*0.20+AF412*0.25+AG412*0.15+MIN(100,AC412*12)*0.20),1)</x:f>
        <x:v>69.6</x:v>
      </x:c>
      <x:c r="AO412" s="37" t="n">
        <x:f>ROUND(MAX(0,MIN(100,(X412*0.35)+(W412/45*100*0.20)+((5-O412)/4*100*0.15)+((5-P412)/4*100*0.10)+((6-Y412)/5*100*0.10)+((100-Z412)*0.10))),1)</x:f>
        <x:v>38.8</x:v>
      </x:c>
      <x:c r="AP412" s="37" t="str">
        <x:f>IF(AO412&gt;=70,"High",IF(AO412&gt;=40,"Moderate","Low"))</x:f>
        <x:v>Low</x:v>
      </x:c>
      <x:c r="AQ412" s="37" t="n">
        <x:f>ROUND(MAX(0,MIN(100,(O412/4*100*0.25)+(P412/4*100*0.20)+(Q412/4*100*0.15)+(Y412/5*100*0.20)+(100-AO412)*0.20)),1)</x:f>
        <x:v>81</x:v>
      </x:c>
      <x:c r="AR412" s="37" t="n">
        <x:f>ROUND((AI412*0.20+AJ412*0.15+AN412*0.18+AG412*0.12+Z412*0.15+AQ412*0.20),1)</x:f>
        <x:v>88.1</x:v>
      </x:c>
      <x:c r="AS412" s="39" t="n">
        <x:f>ROUND((AC412*AF412*120)+(AH412*350)+(MAX(0,AI412-75)*220)+(MAX(0,AQ412-60)*100),0)</x:f>
        <x:v>38290</x:v>
      </x:c>
    </x:row>
    <x:row r="413">
      <x:c r="A413" s="35" t="n">
        <x:v>412</x:v>
      </x:c>
      <x:c r="B413" s="35" t="n">
        <x:v>51</x:v>
      </x:c>
      <x:c r="C413" s="35" t="str">
        <x:v>Female</x:v>
      </x:c>
      <x:c r="D413" s="35" t="str">
        <x:v>Research &amp; Development</x:v>
      </x:c>
      <x:c r="E413" s="35" t="str">
        <x:v>Data Scientist</x:v>
      </x:c>
      <x:c r="F413" s="35" t="str">
        <x:v>Life Sciences</x:v>
      </x:c>
      <x:c r="G413" s="35" t="str">
        <x:v>Married</x:v>
      </x:c>
      <x:c r="H413" s="35" t="n">
        <x:v>5</x:v>
      </x:c>
      <x:c r="I413" s="36" t="n">
        <x:v>29490</x:v>
      </x:c>
      <x:c r="J413" s="35" t="n">
        <x:v>19</x:v>
      </x:c>
      <x:c r="K413" s="35" t="n">
        <x:v>13</x:v>
      </x:c>
      <x:c r="L413" s="35" t="n">
        <x:v>6</x:v>
      </x:c>
      <x:c r="M413" s="35" t="n">
        <x:v>6</x:v>
      </x:c>
      <x:c r="N413" s="35" t="str">
        <x:v>No</x:v>
      </x:c>
      <x:c r="O413" s="35" t="n">
        <x:v>3</x:v>
      </x:c>
      <x:c r="P413" s="35" t="n">
        <x:v>4</x:v>
      </x:c>
      <x:c r="Q413" s="35" t="n">
        <x:v>3</x:v>
      </x:c>
      <x:c r="R413" s="35" t="n">
        <x:v>3</x:v>
      </x:c>
      <x:c r="S413" s="35" t="n">
        <x:v>3</x:v>
      </x:c>
      <x:c r="T413" s="35" t="n">
        <x:v>3</x:v>
      </x:c>
      <x:c r="U413" s="35" t="n">
        <x:v>0</x:v>
      </x:c>
      <x:c r="V413" s="35" t="n">
        <x:v>3</x:v>
      </x:c>
      <x:c r="W413" s="35" t="n">
        <x:v>0</x:v>
      </x:c>
      <x:c r="X413" s="35" t="n">
        <x:v>60</x:v>
      </x:c>
      <x:c r="Y413" s="35" t="n">
        <x:v>5</x:v>
      </x:c>
      <x:c r="Z413" s="35" t="n">
        <x:v>100</x:v>
      </x:c>
      <x:c r="AA413" s="35" t="n">
        <x:v>4</x:v>
      </x:c>
      <x:c r="AB413" s="35" t="n">
        <x:v>2</x:v>
      </x:c>
      <x:c r="AC413" s="35" t="n">
        <x:v>2</x:v>
      </x:c>
      <x:c r="AD413" s="35" t="n">
        <x:v>90</x:v>
      </x:c>
      <x:c r="AE413" s="35" t="n">
        <x:v>82</x:v>
      </x:c>
      <x:c r="AF413" s="35" t="n">
        <x:v>80</x:v>
      </x:c>
      <x:c r="AG413" s="35" t="n">
        <x:v>95</x:v>
      </x:c>
      <x:c r="AH413" s="35" t="n">
        <x:v>8</x:v>
      </x:c>
      <x:c r="AI413" s="37" t="n">
        <x:v>100</x:v>
      </x:c>
      <x:c r="AJ413" s="37" t="n">
        <x:v>93.2</x:v>
      </x:c>
      <x:c r="AK413" s="35" t="str">
        <x:v>No</x:v>
      </x:c>
      <x:c r="AL413" s="38" t="n">
        <x:f>IF(AA413=0,0,AB413/AA413)</x:f>
        <x:v>0.5</x:v>
      </x:c>
      <x:c r="AM413" s="38" t="n">
        <x:f>IF(AB413=0,0,AC413/AB413)</x:f>
        <x:v>1</x:v>
      </x:c>
      <x:c r="AN413" s="37" t="n">
        <x:f>ROUND((AD413*0.20+AE413*0.20+AF413*0.25+AG413*0.15+MIN(100,AC413*12)*0.20),1)</x:f>
        <x:v>73.5</x:v>
      </x:c>
      <x:c r="AO413" s="37" t="n">
        <x:f>ROUND(MAX(0,MIN(100,(X413*0.35)+(W413/45*100*0.20)+((5-O413)/4*100*0.15)+((5-P413)/4*100*0.10)+((6-Y413)/5*100*0.10)+((100-Z413)*0.10))),1)</x:f>
        <x:v>33</x:v>
      </x:c>
      <x:c r="AP413" s="37" t="str">
        <x:f>IF(AO413&gt;=70,"High",IF(AO413&gt;=40,"Moderate","Low"))</x:f>
        <x:v>Low</x:v>
      </x:c>
      <x:c r="AQ413" s="37" t="n">
        <x:f>ROUND(MAX(0,MIN(100,(O413/4*100*0.25)+(P413/4*100*0.20)+(Q413/4*100*0.15)+(Y413/5*100*0.20)+(100-AO413)*0.20)),1)</x:f>
        <x:v>83.4</x:v>
      </x:c>
      <x:c r="AR413" s="37" t="n">
        <x:f>ROUND((AI413*0.20+AJ413*0.15+AN413*0.18+AG413*0.12+Z413*0.15+AQ413*0.20),1)</x:f>
        <x:v>90.3</x:v>
      </x:c>
      <x:c r="AS413" s="39" t="n">
        <x:f>ROUND((AC413*AF413*120)+(AH413*350)+(MAX(0,AI413-75)*220)+(MAX(0,AQ413-60)*100),0)</x:f>
        <x:v>29840</x:v>
      </x:c>
    </x:row>
    <x:row r="414">
      <x:c r="A414" s="35" t="n">
        <x:v>413</x:v>
      </x:c>
      <x:c r="B414" s="35" t="n">
        <x:v>34</x:v>
      </x:c>
      <x:c r="C414" s="35" t="str">
        <x:v>Male</x:v>
      </x:c>
      <x:c r="D414" s="35" t="str">
        <x:v>Research &amp; Development</x:v>
      </x:c>
      <x:c r="E414" s="35" t="str">
        <x:v>Laboratory Technician</x:v>
      </x:c>
      <x:c r="F414" s="35" t="str">
        <x:v>Human Resources</x:v>
      </x:c>
      <x:c r="G414" s="35" t="str">
        <x:v>Married</x:v>
      </x:c>
      <x:c r="H414" s="35" t="n">
        <x:v>2</x:v>
      </x:c>
      <x:c r="I414" s="36" t="n">
        <x:v>9010</x:v>
      </x:c>
      <x:c r="J414" s="35" t="n">
        <x:v>11</x:v>
      </x:c>
      <x:c r="K414" s="35" t="n">
        <x:v>6</x:v>
      </x:c>
      <x:c r="L414" s="35" t="n">
        <x:v>4</x:v>
      </x:c>
      <x:c r="M414" s="35" t="n">
        <x:v>5</x:v>
      </x:c>
      <x:c r="N414" s="35" t="str">
        <x:v>Yes</x:v>
      </x:c>
      <x:c r="O414" s="35" t="n">
        <x:v>3</x:v>
      </x:c>
      <x:c r="P414" s="35" t="n">
        <x:v>3</x:v>
      </x:c>
      <x:c r="Q414" s="35" t="n">
        <x:v>2</x:v>
      </x:c>
      <x:c r="R414" s="35" t="n">
        <x:v>3</x:v>
      </x:c>
      <x:c r="S414" s="35" t="n">
        <x:v>3</x:v>
      </x:c>
      <x:c r="T414" s="35" t="n">
        <x:v>2</x:v>
      </x:c>
      <x:c r="U414" s="35" t="n">
        <x:v>3</x:v>
      </x:c>
      <x:c r="V414" s="35" t="n">
        <x:v>9</x:v>
      </x:c>
      <x:c r="W414" s="35" t="n">
        <x:v>3</x:v>
      </x:c>
      <x:c r="X414" s="35" t="n">
        <x:v>76</x:v>
      </x:c>
      <x:c r="Y414" s="35" t="n">
        <x:v>5</x:v>
      </x:c>
      <x:c r="Z414" s="35" t="n">
        <x:v>99</x:v>
      </x:c>
      <x:c r="AA414" s="35" t="n">
        <x:v>7</x:v>
      </x:c>
      <x:c r="AB414" s="35" t="n">
        <x:v>5</x:v>
      </x:c>
      <x:c r="AC414" s="35" t="n">
        <x:v>5</x:v>
      </x:c>
      <x:c r="AD414" s="35" t="n">
        <x:v>98</x:v>
      </x:c>
      <x:c r="AE414" s="35" t="n">
        <x:v>59</x:v>
      </x:c>
      <x:c r="AF414" s="35" t="n">
        <x:v>86</x:v>
      </x:c>
      <x:c r="AG414" s="35" t="n">
        <x:v>80</x:v>
      </x:c>
      <x:c r="AH414" s="35" t="n">
        <x:v>9</x:v>
      </x:c>
      <x:c r="AI414" s="37" t="n">
        <x:v>92.9</x:v>
      </x:c>
      <x:c r="AJ414" s="37" t="n">
        <x:v>89.7</x:v>
      </x:c>
      <x:c r="AK414" s="35" t="str">
        <x:v>No</x:v>
      </x:c>
      <x:c r="AL414" s="38" t="n">
        <x:f>IF(AA414=0,0,AB414/AA414)</x:f>
        <x:v>0.7142857142857143</x:v>
      </x:c>
      <x:c r="AM414" s="38" t="n">
        <x:f>IF(AB414=0,0,AC414/AB414)</x:f>
        <x:v>1</x:v>
      </x:c>
      <x:c r="AN414" s="37" t="n">
        <x:f>ROUND((AD414*0.20+AE414*0.20+AF414*0.25+AG414*0.15+MIN(100,AC414*12)*0.20),1)</x:f>
        <x:v>76.9</x:v>
      </x:c>
      <x:c r="AO414" s="37" t="n">
        <x:f>ROUND(MAX(0,MIN(100,(X414*0.35)+(W414/45*100*0.20)+((5-O414)/4*100*0.15)+((5-P414)/4*100*0.10)+((6-Y414)/5*100*0.10)+((100-Z414)*0.10))),1)</x:f>
        <x:v>42.5</x:v>
      </x:c>
      <x:c r="AP414" s="37" t="str">
        <x:f>IF(AO414&gt;=70,"High",IF(AO414&gt;=40,"Moderate","Low"))</x:f>
        <x:v>Moderate</x:v>
      </x:c>
      <x:c r="AQ414" s="37" t="n">
        <x:f>ROUND(MAX(0,MIN(100,(O414/4*100*0.25)+(P414/4*100*0.20)+(Q414/4*100*0.15)+(Y414/5*100*0.20)+(100-AO414)*0.20)),1)</x:f>
        <x:v>72.8</x:v>
      </x:c>
      <x:c r="AR414" s="37" t="n">
        <x:f>ROUND((AI414*0.20+AJ414*0.15+AN414*0.18+AG414*0.12+Z414*0.15+AQ414*0.20),1)</x:f>
        <x:v>84.9</x:v>
      </x:c>
      <x:c r="AS414" s="39" t="n">
        <x:f>ROUND((AC414*AF414*120)+(AH414*350)+(MAX(0,AI414-75)*220)+(MAX(0,AQ414-60)*100),0)</x:f>
        <x:v>59968</x:v>
      </x:c>
    </x:row>
    <x:row r="415">
      <x:c r="A415" s="35" t="n">
        <x:v>414</x:v>
      </x:c>
      <x:c r="B415" s="35" t="n">
        <x:v>49</x:v>
      </x:c>
      <x:c r="C415" s="35" t="str">
        <x:v>Male</x:v>
      </x:c>
      <x:c r="D415" s="35" t="str">
        <x:v>Finance</x:v>
      </x:c>
      <x:c r="E415" s="35" t="str">
        <x:v>Finance Manager</x:v>
      </x:c>
      <x:c r="F415" s="35" t="str">
        <x:v>Medical</x:v>
      </x:c>
      <x:c r="G415" s="35" t="str">
        <x:v>Married</x:v>
      </x:c>
      <x:c r="H415" s="35" t="n">
        <x:v>4</x:v>
      </x:c>
      <x:c r="I415" s="36" t="n">
        <x:v>17830</x:v>
      </x:c>
      <x:c r="J415" s="35" t="n">
        <x:v>18</x:v>
      </x:c>
      <x:c r="K415" s="35" t="n">
        <x:v>5</x:v>
      </x:c>
      <x:c r="L415" s="35" t="n">
        <x:v>4</x:v>
      </x:c>
      <x:c r="M415" s="35" t="n">
        <x:v>11</x:v>
      </x:c>
      <x:c r="N415" s="35" t="str">
        <x:v>Yes</x:v>
      </x:c>
      <x:c r="O415" s="35" t="n">
        <x:v>3</x:v>
      </x:c>
      <x:c r="P415" s="35" t="n">
        <x:v>3</x:v>
      </x:c>
      <x:c r="Q415" s="35" t="n">
        <x:v>4</x:v>
      </x:c>
      <x:c r="R415" s="35" t="n">
        <x:v>3</x:v>
      </x:c>
      <x:c r="S415" s="35" t="n">
        <x:v>3</x:v>
      </x:c>
      <x:c r="T415" s="35" t="n">
        <x:v>4</x:v>
      </x:c>
      <x:c r="U415" s="35" t="n">
        <x:v>1</x:v>
      </x:c>
      <x:c r="V415" s="35" t="n">
        <x:v>5</x:v>
      </x:c>
      <x:c r="W415" s="35" t="n">
        <x:v>16</x:v>
      </x:c>
      <x:c r="X415" s="35" t="n">
        <x:v>55</x:v>
      </x:c>
      <x:c r="Y415" s="35" t="n">
        <x:v>5</x:v>
      </x:c>
      <x:c r="Z415" s="35" t="n">
        <x:v>100</x:v>
      </x:c>
      <x:c r="AA415" s="35" t="n">
        <x:v>3</x:v>
      </x:c>
      <x:c r="AB415" s="35" t="n">
        <x:v>3</x:v>
      </x:c>
      <x:c r="AC415" s="35" t="n">
        <x:v>2</x:v>
      </x:c>
      <x:c r="AD415" s="35" t="n">
        <x:v>70</x:v>
      </x:c>
      <x:c r="AE415" s="35" t="n">
        <x:v>72</x:v>
      </x:c>
      <x:c r="AF415" s="35" t="n">
        <x:v>85</x:v>
      </x:c>
      <x:c r="AG415" s="35" t="n">
        <x:v>72</x:v>
      </x:c>
      <x:c r="AH415" s="35" t="n">
        <x:v>4</x:v>
      </x:c>
      <x:c r="AI415" s="37" t="n">
        <x:v>92</x:v>
      </x:c>
      <x:c r="AJ415" s="37" t="n">
        <x:v>86.5</x:v>
      </x:c>
      <x:c r="AK415" s="35" t="str">
        <x:v>No</x:v>
      </x:c>
      <x:c r="AL415" s="38" t="n">
        <x:f>IF(AA415=0,0,AB415/AA415)</x:f>
        <x:v>1</x:v>
      </x:c>
      <x:c r="AM415" s="38" t="n">
        <x:f>IF(AB415=0,0,AC415/AB415)</x:f>
        <x:v>0.6666666666666666</x:v>
      </x:c>
      <x:c r="AN415" s="37" t="n">
        <x:f>ROUND((AD415*0.20+AE415*0.20+AF415*0.25+AG415*0.15+MIN(100,AC415*12)*0.20),1)</x:f>
        <x:v>65.3</x:v>
      </x:c>
      <x:c r="AO415" s="37" t="n">
        <x:f>ROUND(MAX(0,MIN(100,(X415*0.35)+(W415/45*100*0.20)+((5-O415)/4*100*0.15)+((5-P415)/4*100*0.10)+((6-Y415)/5*100*0.10)+((100-Z415)*0.10))),1)</x:f>
        <x:v>40.9</x:v>
      </x:c>
      <x:c r="AP415" s="37" t="str">
        <x:f>IF(AO415&gt;=70,"High",IF(AO415&gt;=40,"Moderate","Low"))</x:f>
        <x:v>Moderate</x:v>
      </x:c>
      <x:c r="AQ415" s="37" t="n">
        <x:f>ROUND(MAX(0,MIN(100,(O415/4*100*0.25)+(P415/4*100*0.20)+(Q415/4*100*0.15)+(Y415/5*100*0.20)+(100-AO415)*0.20)),1)</x:f>
        <x:v>80.6</x:v>
      </x:c>
      <x:c r="AR415" s="37" t="n">
        <x:f>ROUND((AI415*0.20+AJ415*0.15+AN415*0.18+AG415*0.12+Z415*0.15+AQ415*0.20),1)</x:f>
        <x:v>82.9</x:v>
      </x:c>
      <x:c r="AS415" s="39" t="n">
        <x:f>ROUND((AC415*AF415*120)+(AH415*350)+(MAX(0,AI415-75)*220)+(MAX(0,AQ415-60)*100),0)</x:f>
        <x:v>27600</x:v>
      </x:c>
    </x:row>
    <x:row r="416">
      <x:c r="A416" s="35" t="n">
        <x:v>415</x:v>
      </x:c>
      <x:c r="B416" s="35" t="n">
        <x:v>28</x:v>
      </x:c>
      <x:c r="C416" s="35" t="str">
        <x:v>Female</x:v>
      </x:c>
      <x:c r="D416" s="35" t="str">
        <x:v>Operations</x:v>
      </x:c>
      <x:c r="E416" s="35" t="str">
        <x:v>Operations Manager</x:v>
      </x:c>
      <x:c r="F416" s="35" t="str">
        <x:v>Medical</x:v>
      </x:c>
      <x:c r="G416" s="35" t="str">
        <x:v>Single</x:v>
      </x:c>
      <x:c r="H416" s="35" t="n">
        <x:v>1</x:v>
      </x:c>
      <x:c r="I416" s="36" t="n">
        <x:v>5410</x:v>
      </x:c>
      <x:c r="J416" s="35" t="n">
        <x:v>6</x:v>
      </x:c>
      <x:c r="K416" s="35" t="n">
        <x:v>5</x:v>
      </x:c>
      <x:c r="L416" s="35" t="n">
        <x:v>2</x:v>
      </x:c>
      <x:c r="M416" s="35" t="n">
        <x:v>13</x:v>
      </x:c>
      <x:c r="N416" s="35" t="str">
        <x:v>No</x:v>
      </x:c>
      <x:c r="O416" s="35" t="n">
        <x:v>3</x:v>
      </x:c>
      <x:c r="P416" s="35" t="n">
        <x:v>3</x:v>
      </x:c>
      <x:c r="Q416" s="35" t="n">
        <x:v>2</x:v>
      </x:c>
      <x:c r="R416" s="35" t="n">
        <x:v>3</x:v>
      </x:c>
      <x:c r="S416" s="35" t="n">
        <x:v>3</x:v>
      </x:c>
      <x:c r="T416" s="35" t="n">
        <x:v>5</x:v>
      </x:c>
      <x:c r="U416" s="35" t="n">
        <x:v>0</x:v>
      </x:c>
      <x:c r="V416" s="35" t="n">
        <x:v>1</x:v>
      </x:c>
      <x:c r="W416" s="35" t="n">
        <x:v>0</x:v>
      </x:c>
      <x:c r="X416" s="35" t="n">
        <x:v>73</x:v>
      </x:c>
      <x:c r="Y416" s="35" t="n">
        <x:v>5</x:v>
      </x:c>
      <x:c r="Z416" s="35" t="n">
        <x:v>100</x:v>
      </x:c>
      <x:c r="AA416" s="35" t="n">
        <x:v>2</x:v>
      </x:c>
      <x:c r="AB416" s="35" t="n">
        <x:v>0</x:v>
      </x:c>
      <x:c r="AC416" s="35" t="n">
        <x:v>0</x:v>
      </x:c>
      <x:c r="AD416" s="35" t="n">
        <x:v>57</x:v>
      </x:c>
      <x:c r="AE416" s="35" t="n">
        <x:v>74</x:v>
      </x:c>
      <x:c r="AF416" s="35" t="n">
        <x:v>54</x:v>
      </x:c>
      <x:c r="AG416" s="35" t="n">
        <x:v>100</x:v>
      </x:c>
      <x:c r="AH416" s="35" t="n">
        <x:v>3</x:v>
      </x:c>
      <x:c r="AI416" s="37" t="n">
        <x:v>96</x:v>
      </x:c>
      <x:c r="AJ416" s="37" t="n">
        <x:v>94.1</x:v>
      </x:c>
      <x:c r="AK416" s="35" t="str">
        <x:v>No</x:v>
      </x:c>
      <x:c r="AL416" s="38" t="n">
        <x:f>IF(AA416=0,0,AB416/AA416)</x:f>
        <x:v>0</x:v>
      </x:c>
      <x:c r="AM416" s="38" t="n">
        <x:f>IF(AB416=0,0,AC416/AB416)</x:f>
        <x:v>0</x:v>
      </x:c>
      <x:c r="AN416" s="37" t="n">
        <x:f>ROUND((AD416*0.20+AE416*0.20+AF416*0.25+AG416*0.15+MIN(100,AC416*12)*0.20),1)</x:f>
        <x:v>54.7</x:v>
      </x:c>
      <x:c r="AO416" s="37" t="n">
        <x:f>ROUND(MAX(0,MIN(100,(X416*0.35)+(W416/45*100*0.20)+((5-O416)/4*100*0.15)+((5-P416)/4*100*0.10)+((6-Y416)/5*100*0.10)+((100-Z416)*0.10))),1)</x:f>
        <x:v>40.1</x:v>
      </x:c>
      <x:c r="AP416" s="37" t="str">
        <x:f>IF(AO416&gt;=70,"High",IF(AO416&gt;=40,"Moderate","Low"))</x:f>
        <x:v>Moderate</x:v>
      </x:c>
      <x:c r="AQ416" s="37" t="n">
        <x:f>ROUND(MAX(0,MIN(100,(O416/4*100*0.25)+(P416/4*100*0.20)+(Q416/4*100*0.15)+(Y416/5*100*0.20)+(100-AO416)*0.20)),1)</x:f>
        <x:v>73.2</x:v>
      </x:c>
      <x:c r="AR416" s="37" t="n">
        <x:f>ROUND((AI416*0.20+AJ416*0.15+AN416*0.18+AG416*0.12+Z416*0.15+AQ416*0.20),1)</x:f>
        <x:v>84.8</x:v>
      </x:c>
      <x:c r="AS416" s="39" t="n">
        <x:f>ROUND((AC416*AF416*120)+(AH416*350)+(MAX(0,AI416-75)*220)+(MAX(0,AQ416-60)*100),0)</x:f>
        <x:v>6990</x:v>
      </x:c>
    </x:row>
    <x:row r="417">
      <x:c r="A417" s="35" t="n">
        <x:v>416</x:v>
      </x:c>
      <x:c r="B417" s="35" t="n">
        <x:v>37</x:v>
      </x:c>
      <x:c r="C417" s="35" t="str">
        <x:v>Female</x:v>
      </x:c>
      <x:c r="D417" s="35" t="str">
        <x:v>Finance</x:v>
      </x:c>
      <x:c r="E417" s="35" t="str">
        <x:v>Accountant</x:v>
      </x:c>
      <x:c r="F417" s="35" t="str">
        <x:v>Human Resources</x:v>
      </x:c>
      <x:c r="G417" s="35" t="str">
        <x:v>Married</x:v>
      </x:c>
      <x:c r="H417" s="35" t="n">
        <x:v>2</x:v>
      </x:c>
      <x:c r="I417" s="36" t="n">
        <x:v>8030</x:v>
      </x:c>
      <x:c r="J417" s="35" t="n">
        <x:v>8</x:v>
      </x:c>
      <x:c r="K417" s="35" t="n">
        <x:v>6</x:v>
      </x:c>
      <x:c r="L417" s="35" t="n">
        <x:v>2</x:v>
      </x:c>
      <x:c r="M417" s="35" t="n">
        <x:v>5</x:v>
      </x:c>
      <x:c r="N417" s="35" t="str">
        <x:v>No</x:v>
      </x:c>
      <x:c r="O417" s="35" t="n">
        <x:v>2</x:v>
      </x:c>
      <x:c r="P417" s="35" t="n">
        <x:v>1</x:v>
      </x:c>
      <x:c r="Q417" s="35" t="n">
        <x:v>4</x:v>
      </x:c>
      <x:c r="R417" s="35" t="n">
        <x:v>3</x:v>
      </x:c>
      <x:c r="S417" s="35" t="n">
        <x:v>3</x:v>
      </x:c>
      <x:c r="T417" s="35" t="n">
        <x:v>5</x:v>
      </x:c>
      <x:c r="U417" s="35" t="n">
        <x:v>0</x:v>
      </x:c>
      <x:c r="V417" s="35" t="n">
        <x:v>5</x:v>
      </x:c>
      <x:c r="W417" s="35" t="n">
        <x:v>4</x:v>
      </x:c>
      <x:c r="X417" s="35" t="n">
        <x:v>68</x:v>
      </x:c>
      <x:c r="Y417" s="35" t="n">
        <x:v>4</x:v>
      </x:c>
      <x:c r="Z417" s="35" t="n">
        <x:v>100</x:v>
      </x:c>
      <x:c r="AA417" s="35" t="n">
        <x:v>2</x:v>
      </x:c>
      <x:c r="AB417" s="35" t="n">
        <x:v>2</x:v>
      </x:c>
      <x:c r="AC417" s="35" t="n">
        <x:v>1</x:v>
      </x:c>
      <x:c r="AD417" s="35" t="n">
        <x:v>46</x:v>
      </x:c>
      <x:c r="AE417" s="35" t="n">
        <x:v>74</x:v>
      </x:c>
      <x:c r="AF417" s="35" t="n">
        <x:v>66</x:v>
      </x:c>
      <x:c r="AG417" s="35" t="n">
        <x:v>91</x:v>
      </x:c>
      <x:c r="AH417" s="35" t="n">
        <x:v>5</x:v>
      </x:c>
      <x:c r="AI417" s="37" t="n">
        <x:v>99.8</x:v>
      </x:c>
      <x:c r="AJ417" s="37" t="n">
        <x:v>91.7</x:v>
      </x:c>
      <x:c r="AK417" s="35" t="str">
        <x:v>No</x:v>
      </x:c>
      <x:c r="AL417" s="38" t="n">
        <x:f>IF(AA417=0,0,AB417/AA417)</x:f>
        <x:v>1</x:v>
      </x:c>
      <x:c r="AM417" s="38" t="n">
        <x:f>IF(AB417=0,0,AC417/AB417)</x:f>
        <x:v>0.5</x:v>
      </x:c>
      <x:c r="AN417" s="37" t="n">
        <x:f>ROUND((AD417*0.20+AE417*0.20+AF417*0.25+AG417*0.15+MIN(100,AC417*12)*0.20),1)</x:f>
        <x:v>56.6</x:v>
      </x:c>
      <x:c r="AO417" s="37" t="n">
        <x:f>ROUND(MAX(0,MIN(100,(X417*0.35)+(W417/45*100*0.20)+((5-O417)/4*100*0.15)+((5-P417)/4*100*0.10)+((6-Y417)/5*100*0.10)+((100-Z417)*0.10))),1)</x:f>
        <x:v>50.8</x:v>
      </x:c>
      <x:c r="AP417" s="37" t="str">
        <x:f>IF(AO417&gt;=70,"High",IF(AO417&gt;=40,"Moderate","Low"))</x:f>
        <x:v>Moderate</x:v>
      </x:c>
      <x:c r="AQ417" s="37" t="n">
        <x:f>ROUND(MAX(0,MIN(100,(O417/4*100*0.25)+(P417/4*100*0.20)+(Q417/4*100*0.15)+(Y417/5*100*0.20)+(100-AO417)*0.20)),1)</x:f>
        <x:v>58.3</x:v>
      </x:c>
      <x:c r="AR417" s="37" t="n">
        <x:f>ROUND((AI417*0.20+AJ417*0.15+AN417*0.18+AG417*0.12+Z417*0.15+AQ417*0.20),1)</x:f>
        <x:v>81.5</x:v>
      </x:c>
      <x:c r="AS417" s="39" t="n">
        <x:f>ROUND((AC417*AF417*120)+(AH417*350)+(MAX(0,AI417-75)*220)+(MAX(0,AQ417-60)*100),0)</x:f>
        <x:v>15126</x:v>
      </x:c>
    </x:row>
    <x:row r="418">
      <x:c r="A418" s="35" t="n">
        <x:v>417</x:v>
      </x:c>
      <x:c r="B418" s="35" t="n">
        <x:v>39</x:v>
      </x:c>
      <x:c r="C418" s="35" t="str">
        <x:v>Male</x:v>
      </x:c>
      <x:c r="D418" s="35" t="str">
        <x:v>Research &amp; Development</x:v>
      </x:c>
      <x:c r="E418" s="35" t="str">
        <x:v>Research Scientist</x:v>
      </x:c>
      <x:c r="F418" s="35" t="str">
        <x:v>Business</x:v>
      </x:c>
      <x:c r="G418" s="35" t="str">
        <x:v>Divorced</x:v>
      </x:c>
      <x:c r="H418" s="35" t="n">
        <x:v>2</x:v>
      </x:c>
      <x:c r="I418" s="36" t="n">
        <x:v>8710</x:v>
      </x:c>
      <x:c r="J418" s="35" t="n">
        <x:v>9</x:v>
      </x:c>
      <x:c r="K418" s="35" t="n">
        <x:v>4</x:v>
      </x:c>
      <x:c r="L418" s="35" t="n">
        <x:v>2</x:v>
      </x:c>
      <x:c r="M418" s="35" t="n">
        <x:v>12</x:v>
      </x:c>
      <x:c r="N418" s="35" t="str">
        <x:v>No</x:v>
      </x:c>
      <x:c r="O418" s="35" t="n">
        <x:v>3</x:v>
      </x:c>
      <x:c r="P418" s="35" t="n">
        <x:v>4</x:v>
      </x:c>
      <x:c r="Q418" s="35" t="n">
        <x:v>3</x:v>
      </x:c>
      <x:c r="R418" s="35" t="n">
        <x:v>3</x:v>
      </x:c>
      <x:c r="S418" s="35" t="n">
        <x:v>3</x:v>
      </x:c>
      <x:c r="T418" s="35" t="n">
        <x:v>4</x:v>
      </x:c>
      <x:c r="U418" s="35" t="n">
        <x:v>1</x:v>
      </x:c>
      <x:c r="V418" s="35" t="n">
        <x:v>9</x:v>
      </x:c>
      <x:c r="W418" s="35" t="n">
        <x:v>0</x:v>
      </x:c>
      <x:c r="X418" s="35" t="n">
        <x:v>87</x:v>
      </x:c>
      <x:c r="Y418" s="35" t="n">
        <x:v>5</x:v>
      </x:c>
      <x:c r="Z418" s="35" t="n">
        <x:v>100</x:v>
      </x:c>
      <x:c r="AA418" s="35" t="n">
        <x:v>6</x:v>
      </x:c>
      <x:c r="AB418" s="35" t="n">
        <x:v>4</x:v>
      </x:c>
      <x:c r="AC418" s="35" t="n">
        <x:v>1</x:v>
      </x:c>
      <x:c r="AD418" s="35" t="n">
        <x:v>92</x:v>
      </x:c>
      <x:c r="AE418" s="35" t="n">
        <x:v>55</x:v>
      </x:c>
      <x:c r="AF418" s="35" t="n">
        <x:v>80</x:v>
      </x:c>
      <x:c r="AG418" s="35" t="n">
        <x:v>86</x:v>
      </x:c>
      <x:c r="AH418" s="35" t="n">
        <x:v>3</x:v>
      </x:c>
      <x:c r="AI418" s="37" t="n">
        <x:v>100</x:v>
      </x:c>
      <x:c r="AJ418" s="37" t="n">
        <x:v>85.1</x:v>
      </x:c>
      <x:c r="AK418" s="35" t="str">
        <x:v>Yes</x:v>
      </x:c>
      <x:c r="AL418" s="38" t="n">
        <x:f>IF(AA418=0,0,AB418/AA418)</x:f>
        <x:v>0.6666666666666666</x:v>
      </x:c>
      <x:c r="AM418" s="38" t="n">
        <x:f>IF(AB418=0,0,AC418/AB418)</x:f>
        <x:v>0.25</x:v>
      </x:c>
      <x:c r="AN418" s="37" t="n">
        <x:f>ROUND((AD418*0.20+AE418*0.20+AF418*0.25+AG418*0.15+MIN(100,AC418*12)*0.20),1)</x:f>
        <x:v>64.7</x:v>
      </x:c>
      <x:c r="AO418" s="37" t="n">
        <x:f>ROUND(MAX(0,MIN(100,(X418*0.35)+(W418/45*100*0.20)+((5-O418)/4*100*0.15)+((5-P418)/4*100*0.10)+((6-Y418)/5*100*0.10)+((100-Z418)*0.10))),1)</x:f>
        <x:v>42.5</x:v>
      </x:c>
      <x:c r="AP418" s="37" t="str">
        <x:f>IF(AO418&gt;=70,"High",IF(AO418&gt;=40,"Moderate","Low"))</x:f>
        <x:v>Moderate</x:v>
      </x:c>
      <x:c r="AQ418" s="37" t="n">
        <x:f>ROUND(MAX(0,MIN(100,(O418/4*100*0.25)+(P418/4*100*0.20)+(Q418/4*100*0.15)+(Y418/5*100*0.20)+(100-AO418)*0.20)),1)</x:f>
        <x:v>81.5</x:v>
      </x:c>
      <x:c r="AR418" s="37" t="n">
        <x:f>ROUND((AI418*0.20+AJ418*0.15+AN418*0.18+AG418*0.12+Z418*0.15+AQ418*0.20),1)</x:f>
        <x:v>86</x:v>
      </x:c>
      <x:c r="AS418" s="39" t="n">
        <x:f>ROUND((AC418*AF418*120)+(AH418*350)+(MAX(0,AI418-75)*220)+(MAX(0,AQ418-60)*100),0)</x:f>
        <x:v>18300</x:v>
      </x:c>
    </x:row>
    <x:row r="419">
      <x:c r="A419" s="35" t="n">
        <x:v>418</x:v>
      </x:c>
      <x:c r="B419" s="35" t="n">
        <x:v>33</x:v>
      </x:c>
      <x:c r="C419" s="35" t="str">
        <x:v>Male</x:v>
      </x:c>
      <x:c r="D419" s="35" t="str">
        <x:v>Finance</x:v>
      </x:c>
      <x:c r="E419" s="35" t="str">
        <x:v>Accountant</x:v>
      </x:c>
      <x:c r="F419" s="35" t="str">
        <x:v>Business</x:v>
      </x:c>
      <x:c r="G419" s="35" t="str">
        <x:v>Single</x:v>
      </x:c>
      <x:c r="H419" s="35" t="n">
        <x:v>2</x:v>
      </x:c>
      <x:c r="I419" s="36" t="n">
        <x:v>10150</x:v>
      </x:c>
      <x:c r="J419" s="35" t="n">
        <x:v>9</x:v>
      </x:c>
      <x:c r="K419" s="35" t="n">
        <x:v>3</x:v>
      </x:c>
      <x:c r="L419" s="35" t="n">
        <x:v>1</x:v>
      </x:c>
      <x:c r="M419" s="35" t="n">
        <x:v>6</x:v>
      </x:c>
      <x:c r="N419" s="35" t="str">
        <x:v>No</x:v>
      </x:c>
      <x:c r="O419" s="35" t="n">
        <x:v>4</x:v>
      </x:c>
      <x:c r="P419" s="35" t="n">
        <x:v>4</x:v>
      </x:c>
      <x:c r="Q419" s="35" t="n">
        <x:v>2</x:v>
      </x:c>
      <x:c r="R419" s="35" t="n">
        <x:v>3</x:v>
      </x:c>
      <x:c r="S419" s="35" t="n">
        <x:v>3</x:v>
      </x:c>
      <x:c r="T419" s="35" t="n">
        <x:v>1</x:v>
      </x:c>
      <x:c r="U419" s="35" t="n">
        <x:v>1</x:v>
      </x:c>
      <x:c r="V419" s="35" t="n">
        <x:v>7</x:v>
      </x:c>
      <x:c r="W419" s="35" t="n">
        <x:v>0</x:v>
      </x:c>
      <x:c r="X419" s="35" t="n">
        <x:v>48</x:v>
      </x:c>
      <x:c r="Y419" s="35" t="n">
        <x:v>5</x:v>
      </x:c>
      <x:c r="Z419" s="35" t="n">
        <x:v>100</x:v>
      </x:c>
      <x:c r="AA419" s="35" t="n">
        <x:v>6</x:v>
      </x:c>
      <x:c r="AB419" s="35" t="n">
        <x:v>5</x:v>
      </x:c>
      <x:c r="AC419" s="35" t="n">
        <x:v>5</x:v>
      </x:c>
      <x:c r="AD419" s="35" t="n">
        <x:v>78</x:v>
      </x:c>
      <x:c r="AE419" s="35" t="n">
        <x:v>81</x:v>
      </x:c>
      <x:c r="AF419" s="35" t="n">
        <x:v>95</x:v>
      </x:c>
      <x:c r="AG419" s="35" t="n">
        <x:v>88</x:v>
      </x:c>
      <x:c r="AH419" s="35" t="n">
        <x:v>7</x:v>
      </x:c>
      <x:c r="AI419" s="37" t="n">
        <x:v>94.5</x:v>
      </x:c>
      <x:c r="AJ419" s="37" t="n">
        <x:v>96.2</x:v>
      </x:c>
      <x:c r="AK419" s="35" t="str">
        <x:v>Yes</x:v>
      </x:c>
      <x:c r="AL419" s="38" t="n">
        <x:f>IF(AA419=0,0,AB419/AA419)</x:f>
        <x:v>0.8333333333333334</x:v>
      </x:c>
      <x:c r="AM419" s="38" t="n">
        <x:f>IF(AB419=0,0,AC419/AB419)</x:f>
        <x:v>1</x:v>
      </x:c>
      <x:c r="AN419" s="37" t="n">
        <x:f>ROUND((AD419*0.20+AE419*0.20+AF419*0.25+AG419*0.15+MIN(100,AC419*12)*0.20),1)</x:f>
        <x:v>80.8</x:v>
      </x:c>
      <x:c r="AO419" s="37" t="n">
        <x:f>ROUND(MAX(0,MIN(100,(X419*0.35)+(W419/45*100*0.20)+((5-O419)/4*100*0.15)+((5-P419)/4*100*0.10)+((6-Y419)/5*100*0.10)+((100-Z419)*0.10))),1)</x:f>
        <x:v>25</x:v>
      </x:c>
      <x:c r="AP419" s="37" t="str">
        <x:f>IF(AO419&gt;=70,"High",IF(AO419&gt;=40,"Moderate","Low"))</x:f>
        <x:v>Low</x:v>
      </x:c>
      <x:c r="AQ419" s="37" t="n">
        <x:f>ROUND(MAX(0,MIN(100,(O419/4*100*0.25)+(P419/4*100*0.20)+(Q419/4*100*0.15)+(Y419/5*100*0.20)+(100-AO419)*0.20)),1)</x:f>
        <x:v>87.5</x:v>
      </x:c>
      <x:c r="AR419" s="37" t="n">
        <x:f>ROUND((AI419*0.20+AJ419*0.15+AN419*0.18+AG419*0.12+Z419*0.15+AQ419*0.20),1)</x:f>
        <x:v>90.9</x:v>
      </x:c>
      <x:c r="AS419" s="39" t="n">
        <x:f>ROUND((AC419*AF419*120)+(AH419*350)+(MAX(0,AI419-75)*220)+(MAX(0,AQ419-60)*100),0)</x:f>
        <x:v>66490</x:v>
      </x:c>
    </x:row>
    <x:row r="420">
      <x:c r="A420" s="35" t="n">
        <x:v>419</x:v>
      </x:c>
      <x:c r="B420" s="35" t="n">
        <x:v>44</x:v>
      </x:c>
      <x:c r="C420" s="35" t="str">
        <x:v>Female</x:v>
      </x:c>
      <x:c r="D420" s="35" t="str">
        <x:v>Finance</x:v>
      </x:c>
      <x:c r="E420" s="35" t="str">
        <x:v>Financial Analyst</x:v>
      </x:c>
      <x:c r="F420" s="35" t="str">
        <x:v>Marketing</x:v>
      </x:c>
      <x:c r="G420" s="35" t="str">
        <x:v>Married</x:v>
      </x:c>
      <x:c r="H420" s="35" t="n">
        <x:v>3</x:v>
      </x:c>
      <x:c r="I420" s="36" t="n">
        <x:v>11570</x:v>
      </x:c>
      <x:c r="J420" s="35" t="n">
        <x:v>12</x:v>
      </x:c>
      <x:c r="K420" s="35" t="n">
        <x:v>3</x:v>
      </x:c>
      <x:c r="L420" s="35" t="n">
        <x:v>2</x:v>
      </x:c>
      <x:c r="M420" s="35" t="n">
        <x:v>30</x:v>
      </x:c>
      <x:c r="N420" s="35" t="str">
        <x:v>No</x:v>
      </x:c>
      <x:c r="O420" s="35" t="n">
        <x:v>3</x:v>
      </x:c>
      <x:c r="P420" s="35" t="n">
        <x:v>2</x:v>
      </x:c>
      <x:c r="Q420" s="35" t="n">
        <x:v>4</x:v>
      </x:c>
      <x:c r="R420" s="35" t="n">
        <x:v>3</x:v>
      </x:c>
      <x:c r="S420" s="35" t="n">
        <x:v>3</x:v>
      </x:c>
      <x:c r="T420" s="35" t="n">
        <x:v>4</x:v>
      </x:c>
      <x:c r="U420" s="35" t="n">
        <x:v>0</x:v>
      </x:c>
      <x:c r="V420" s="35" t="n">
        <x:v>9</x:v>
      </x:c>
      <x:c r="W420" s="35" t="n">
        <x:v>0</x:v>
      </x:c>
      <x:c r="X420" s="35" t="n">
        <x:v>72</x:v>
      </x:c>
      <x:c r="Y420" s="35" t="n">
        <x:v>4</x:v>
      </x:c>
      <x:c r="Z420" s="35" t="n">
        <x:v>87</x:v>
      </x:c>
      <x:c r="AA420" s="35" t="n">
        <x:v>7</x:v>
      </x:c>
      <x:c r="AB420" s="35" t="n">
        <x:v>4</x:v>
      </x:c>
      <x:c r="AC420" s="35" t="n">
        <x:v>3</x:v>
      </x:c>
      <x:c r="AD420" s="35" t="n">
        <x:v>63</x:v>
      </x:c>
      <x:c r="AE420" s="35" t="n">
        <x:v>96</x:v>
      </x:c>
      <x:c r="AF420" s="35" t="n">
        <x:v>80</x:v>
      </x:c>
      <x:c r="AG420" s="35" t="n">
        <x:v>100</x:v>
      </x:c>
      <x:c r="AH420" s="35" t="n">
        <x:v>6</x:v>
      </x:c>
      <x:c r="AI420" s="37" t="n">
        <x:v>94.3</x:v>
      </x:c>
      <x:c r="AJ420" s="37" t="n">
        <x:v>86.9</x:v>
      </x:c>
      <x:c r="AK420" s="35" t="str">
        <x:v>No</x:v>
      </x:c>
      <x:c r="AL420" s="38" t="n">
        <x:f>IF(AA420=0,0,AB420/AA420)</x:f>
        <x:v>0.5714285714285714</x:v>
      </x:c>
      <x:c r="AM420" s="38" t="n">
        <x:f>IF(AB420=0,0,AC420/AB420)</x:f>
        <x:v>0.75</x:v>
      </x:c>
      <x:c r="AN420" s="37" t="n">
        <x:f>ROUND((AD420*0.20+AE420*0.20+AF420*0.25+AG420*0.15+MIN(100,AC420*12)*0.20),1)</x:f>
        <x:v>74</x:v>
      </x:c>
      <x:c r="AO420" s="37" t="n">
        <x:f>ROUND(MAX(0,MIN(100,(X420*0.35)+(W420/45*100*0.20)+((5-O420)/4*100*0.15)+((5-P420)/4*100*0.10)+((6-Y420)/5*100*0.10)+((100-Z420)*0.10))),1)</x:f>
        <x:v>45.5</x:v>
      </x:c>
      <x:c r="AP420" s="37" t="str">
        <x:f>IF(AO420&gt;=70,"High",IF(AO420&gt;=40,"Moderate","Low"))</x:f>
        <x:v>Moderate</x:v>
      </x:c>
      <x:c r="AQ420" s="37" t="n">
        <x:f>ROUND(MAX(0,MIN(100,(O420/4*100*0.25)+(P420/4*100*0.20)+(Q420/4*100*0.15)+(Y420/5*100*0.20)+(100-AO420)*0.20)),1)</x:f>
        <x:v>70.7</x:v>
      </x:c>
      <x:c r="AR420" s="37" t="n">
        <x:f>ROUND((AI420*0.20+AJ420*0.15+AN420*0.18+AG420*0.12+Z420*0.15+AQ420*0.20),1)</x:f>
        <x:v>84.4</x:v>
      </x:c>
      <x:c r="AS420" s="39" t="n">
        <x:f>ROUND((AC420*AF420*120)+(AH420*350)+(MAX(0,AI420-75)*220)+(MAX(0,AQ420-60)*100),0)</x:f>
        <x:v>36216</x:v>
      </x:c>
    </x:row>
    <x:row r="421">
      <x:c r="A421" s="35" t="n">
        <x:v>420</x:v>
      </x:c>
      <x:c r="B421" s="35" t="n">
        <x:v>37</x:v>
      </x:c>
      <x:c r="C421" s="35" t="str">
        <x:v>Female</x:v>
      </x:c>
      <x:c r="D421" s="35" t="str">
        <x:v>Sales</x:v>
      </x:c>
      <x:c r="E421" s="35" t="str">
        <x:v>Sales Representative</x:v>
      </x:c>
      <x:c r="F421" s="35" t="str">
        <x:v>Human Resources</x:v>
      </x:c>
      <x:c r="G421" s="35" t="str">
        <x:v>Married</x:v>
      </x:c>
      <x:c r="H421" s="35" t="n">
        <x:v>3</x:v>
      </x:c>
      <x:c r="I421" s="36" t="n">
        <x:v>16300</x:v>
      </x:c>
      <x:c r="J421" s="35" t="n">
        <x:v>8</x:v>
      </x:c>
      <x:c r="K421" s="35" t="n">
        <x:v>3</x:v>
      </x:c>
      <x:c r="L421" s="35" t="n">
        <x:v>2</x:v>
      </x:c>
      <x:c r="M421" s="35" t="n">
        <x:v>4</x:v>
      </x:c>
      <x:c r="N421" s="35" t="str">
        <x:v>Yes</x:v>
      </x:c>
      <x:c r="O421" s="35" t="n">
        <x:v>3</x:v>
      </x:c>
      <x:c r="P421" s="35" t="n">
        <x:v>4</x:v>
      </x:c>
      <x:c r="Q421" s="35" t="n">
        <x:v>2</x:v>
      </x:c>
      <x:c r="R421" s="35" t="n">
        <x:v>3</x:v>
      </x:c>
      <x:c r="S421" s="35" t="n">
        <x:v>3</x:v>
      </x:c>
      <x:c r="T421" s="35" t="n">
        <x:v>3</x:v>
      </x:c>
      <x:c r="U421" s="35" t="n">
        <x:v>1</x:v>
      </x:c>
      <x:c r="V421" s="35" t="n">
        <x:v>6</x:v>
      </x:c>
      <x:c r="W421" s="35" t="n">
        <x:v>15</x:v>
      </x:c>
      <x:c r="X421" s="35" t="n">
        <x:v>82</x:v>
      </x:c>
      <x:c r="Y421" s="35" t="n">
        <x:v>3</x:v>
      </x:c>
      <x:c r="Z421" s="35" t="n">
        <x:v>100</x:v>
      </x:c>
      <x:c r="AA421" s="35" t="n">
        <x:v>2</x:v>
      </x:c>
      <x:c r="AB421" s="35" t="n">
        <x:v>2</x:v>
      </x:c>
      <x:c r="AC421" s="35" t="n">
        <x:v>2</x:v>
      </x:c>
      <x:c r="AD421" s="35" t="n">
        <x:v>73</x:v>
      </x:c>
      <x:c r="AE421" s="35" t="n">
        <x:v>67</x:v>
      </x:c>
      <x:c r="AF421" s="35" t="n">
        <x:v>70</x:v>
      </x:c>
      <x:c r="AG421" s="35" t="n">
        <x:v>95</x:v>
      </x:c>
      <x:c r="AH421" s="35" t="n">
        <x:v>3</x:v>
      </x:c>
      <x:c r="AI421" s="37" t="n">
        <x:v>100</x:v>
      </x:c>
      <x:c r="AJ421" s="37" t="n">
        <x:v>100</x:v>
      </x:c>
      <x:c r="AK421" s="35" t="str">
        <x:v>No</x:v>
      </x:c>
      <x:c r="AL421" s="38" t="n">
        <x:f>IF(AA421=0,0,AB421/AA421)</x:f>
        <x:v>1</x:v>
      </x:c>
      <x:c r="AM421" s="38" t="n">
        <x:f>IF(AB421=0,0,AC421/AB421)</x:f>
        <x:v>1</x:v>
      </x:c>
      <x:c r="AN421" s="37" t="n">
        <x:f>ROUND((AD421*0.20+AE421*0.20+AF421*0.25+AG421*0.15+MIN(100,AC421*12)*0.20),1)</x:f>
        <x:v>64.6</x:v>
      </x:c>
      <x:c r="AO421" s="37" t="n">
        <x:f>ROUND(MAX(0,MIN(100,(X421*0.35)+(W421/45*100*0.20)+((5-O421)/4*100*0.15)+((5-P421)/4*100*0.10)+((6-Y421)/5*100*0.10)+((100-Z421)*0.10))),1)</x:f>
        <x:v>51.4</x:v>
      </x:c>
      <x:c r="AP421" s="37" t="str">
        <x:f>IF(AO421&gt;=70,"High",IF(AO421&gt;=40,"Moderate","Low"))</x:f>
        <x:v>Moderate</x:v>
      </x:c>
      <x:c r="AQ421" s="37" t="n">
        <x:f>ROUND(MAX(0,MIN(100,(O421/4*100*0.25)+(P421/4*100*0.20)+(Q421/4*100*0.15)+(Y421/5*100*0.20)+(100-AO421)*0.20)),1)</x:f>
        <x:v>68</x:v>
      </x:c>
      <x:c r="AR421" s="37" t="n">
        <x:f>ROUND((AI421*0.20+AJ421*0.15+AN421*0.18+AG421*0.12+Z421*0.15+AQ421*0.20),1)</x:f>
        <x:v>86.6</x:v>
      </x:c>
      <x:c r="AS421" s="39" t="n">
        <x:f>ROUND((AC421*AF421*120)+(AH421*350)+(MAX(0,AI421-75)*220)+(MAX(0,AQ421-60)*100),0)</x:f>
        <x:v>24150</x:v>
      </x:c>
    </x:row>
    <x:row r="422">
      <x:c r="A422" s="35" t="n">
        <x:v>421</x:v>
      </x:c>
      <x:c r="B422" s="35" t="n">
        <x:v>28</x:v>
      </x:c>
      <x:c r="C422" s="35" t="str">
        <x:v>Male</x:v>
      </x:c>
      <x:c r="D422" s="35" t="str">
        <x:v>Finance</x:v>
      </x:c>
      <x:c r="E422" s="35" t="str">
        <x:v>Financial Analyst</x:v>
      </x:c>
      <x:c r="F422" s="35" t="str">
        <x:v>Life Sciences</x:v>
      </x:c>
      <x:c r="G422" s="35" t="str">
        <x:v>Single</x:v>
      </x:c>
      <x:c r="H422" s="35" t="n">
        <x:v>1</x:v>
      </x:c>
      <x:c r="I422" s="36" t="n">
        <x:v>6010</x:v>
      </x:c>
      <x:c r="J422" s="35" t="n">
        <x:v>5</x:v>
      </x:c>
      <x:c r="K422" s="35" t="n">
        <x:v>4</x:v>
      </x:c>
      <x:c r="L422" s="35" t="n">
        <x:v>3</x:v>
      </x:c>
      <x:c r="M422" s="35" t="n">
        <x:v>8</x:v>
      </x:c>
      <x:c r="N422" s="35" t="str">
        <x:v>No</x:v>
      </x:c>
      <x:c r="O422" s="35" t="n">
        <x:v>3</x:v>
      </x:c>
      <x:c r="P422" s="35" t="n">
        <x:v>2</x:v>
      </x:c>
      <x:c r="Q422" s="35" t="n">
        <x:v>3</x:v>
      </x:c>
      <x:c r="R422" s="35" t="n">
        <x:v>4</x:v>
      </x:c>
      <x:c r="S422" s="35" t="n">
        <x:v>3</x:v>
      </x:c>
      <x:c r="T422" s="35" t="n">
        <x:v>2</x:v>
      </x:c>
      <x:c r="U422" s="35" t="n">
        <x:v>2</x:v>
      </x:c>
      <x:c r="V422" s="35" t="n">
        <x:v>9</x:v>
      </x:c>
      <x:c r="W422" s="35" t="n">
        <x:v>6</x:v>
      </x:c>
      <x:c r="X422" s="35" t="n">
        <x:v>34</x:v>
      </x:c>
      <x:c r="Y422" s="35" t="n">
        <x:v>5</x:v>
      </x:c>
      <x:c r="Z422" s="35" t="n">
        <x:v>100</x:v>
      </x:c>
      <x:c r="AA422" s="35" t="n">
        <x:v>6</x:v>
      </x:c>
      <x:c r="AB422" s="35" t="n">
        <x:v>4</x:v>
      </x:c>
      <x:c r="AC422" s="35" t="n">
        <x:v>4</x:v>
      </x:c>
      <x:c r="AD422" s="35" t="n">
        <x:v>81</x:v>
      </x:c>
      <x:c r="AE422" s="35" t="n">
        <x:v>100</x:v>
      </x:c>
      <x:c r="AF422" s="35" t="n">
        <x:v>76</x:v>
      </x:c>
      <x:c r="AG422" s="35" t="n">
        <x:v>100</x:v>
      </x:c>
      <x:c r="AH422" s="35" t="n">
        <x:v>5</x:v>
      </x:c>
      <x:c r="AI422" s="37" t="n">
        <x:v>96.4</x:v>
      </x:c>
      <x:c r="AJ422" s="37" t="n">
        <x:v>91.9</x:v>
      </x:c>
      <x:c r="AK422" s="35" t="str">
        <x:v>No</x:v>
      </x:c>
      <x:c r="AL422" s="38" t="n">
        <x:f>IF(AA422=0,0,AB422/AA422)</x:f>
        <x:v>0.6666666666666666</x:v>
      </x:c>
      <x:c r="AM422" s="38" t="n">
        <x:f>IF(AB422=0,0,AC422/AB422)</x:f>
        <x:v>1</x:v>
      </x:c>
      <x:c r="AN422" s="37" t="n">
        <x:f>ROUND((AD422*0.20+AE422*0.20+AF422*0.25+AG422*0.15+MIN(100,AC422*12)*0.20),1)</x:f>
        <x:v>79.8</x:v>
      </x:c>
      <x:c r="AO422" s="37" t="n">
        <x:f>ROUND(MAX(0,MIN(100,(X422*0.35)+(W422/45*100*0.20)+((5-O422)/4*100*0.15)+((5-P422)/4*100*0.10)+((6-Y422)/5*100*0.10)+((100-Z422)*0.10))),1)</x:f>
        <x:v>31.6</x:v>
      </x:c>
      <x:c r="AP422" s="37" t="str">
        <x:f>IF(AO422&gt;=70,"High",IF(AO422&gt;=40,"Moderate","Low"))</x:f>
        <x:v>Low</x:v>
      </x:c>
      <x:c r="AQ422" s="37" t="n">
        <x:f>ROUND(MAX(0,MIN(100,(O422/4*100*0.25)+(P422/4*100*0.20)+(Q422/4*100*0.15)+(Y422/5*100*0.20)+(100-AO422)*0.20)),1)</x:f>
        <x:v>73.7</x:v>
      </x:c>
      <x:c r="AR422" s="37" t="n">
        <x:f>ROUND((AI422*0.20+AJ422*0.15+AN422*0.18+AG422*0.12+Z422*0.15+AQ422*0.20),1)</x:f>
        <x:v>89.2</x:v>
      </x:c>
      <x:c r="AS422" s="39" t="n">
        <x:f>ROUND((AC422*AF422*120)+(AH422*350)+(MAX(0,AI422-75)*220)+(MAX(0,AQ422-60)*100),0)</x:f>
        <x:v>44308</x:v>
      </x:c>
    </x:row>
    <x:row r="423">
      <x:c r="A423" s="35" t="n">
        <x:v>422</x:v>
      </x:c>
      <x:c r="B423" s="35" t="n">
        <x:v>39</x:v>
      </x:c>
      <x:c r="C423" s="35" t="str">
        <x:v>Male</x:v>
      </x:c>
      <x:c r="D423" s="35" t="str">
        <x:v>Research &amp; Development</x:v>
      </x:c>
      <x:c r="E423" s="35" t="str">
        <x:v>Laboratory Technician</x:v>
      </x:c>
      <x:c r="F423" s="35" t="str">
        <x:v>Business</x:v>
      </x:c>
      <x:c r="G423" s="35" t="str">
        <x:v>Single</x:v>
      </x:c>
      <x:c r="H423" s="35" t="n">
        <x:v>2</x:v>
      </x:c>
      <x:c r="I423" s="36" t="n">
        <x:v>9550</x:v>
      </x:c>
      <x:c r="J423" s="35" t="n">
        <x:v>13</x:v>
      </x:c>
      <x:c r="K423" s="35" t="n">
        <x:v>6</x:v>
      </x:c>
      <x:c r="L423" s="35" t="n">
        <x:v>2</x:v>
      </x:c>
      <x:c r="M423" s="35" t="n">
        <x:v>14</x:v>
      </x:c>
      <x:c r="N423" s="35" t="str">
        <x:v>No</x:v>
      </x:c>
      <x:c r="O423" s="35" t="n">
        <x:v>2</x:v>
      </x:c>
      <x:c r="P423" s="35" t="n">
        <x:v>2</x:v>
      </x:c>
      <x:c r="Q423" s="35" t="n">
        <x:v>4</x:v>
      </x:c>
      <x:c r="R423" s="35" t="n">
        <x:v>2</x:v>
      </x:c>
      <x:c r="S423" s="35" t="n">
        <x:v>3</x:v>
      </x:c>
      <x:c r="T423" s="35" t="n">
        <x:v>5</x:v>
      </x:c>
      <x:c r="U423" s="35" t="n">
        <x:v>1</x:v>
      </x:c>
      <x:c r="V423" s="35" t="n">
        <x:v>8</x:v>
      </x:c>
      <x:c r="W423" s="35" t="n">
        <x:v>0</x:v>
      </x:c>
      <x:c r="X423" s="35" t="n">
        <x:v>100</x:v>
      </x:c>
      <x:c r="Y423" s="35" t="n">
        <x:v>2</x:v>
      </x:c>
      <x:c r="Z423" s="35" t="n">
        <x:v>63</x:v>
      </x:c>
      <x:c r="AA423" s="35" t="n">
        <x:v>8</x:v>
      </x:c>
      <x:c r="AB423" s="35" t="n">
        <x:v>6</x:v>
      </x:c>
      <x:c r="AC423" s="35" t="n">
        <x:v>5</x:v>
      </x:c>
      <x:c r="AD423" s="35" t="n">
        <x:v>69</x:v>
      </x:c>
      <x:c r="AE423" s="35" t="n">
        <x:v>84</x:v>
      </x:c>
      <x:c r="AF423" s="35" t="n">
        <x:v>81</x:v>
      </x:c>
      <x:c r="AG423" s="35" t="n">
        <x:v>84</x:v>
      </x:c>
      <x:c r="AH423" s="35" t="n">
        <x:v>7</x:v>
      </x:c>
      <x:c r="AI423" s="37" t="n">
        <x:v>95</x:v>
      </x:c>
      <x:c r="AJ423" s="37" t="n">
        <x:v>97.3</x:v>
      </x:c>
      <x:c r="AK423" s="35" t="str">
        <x:v>No</x:v>
      </x:c>
      <x:c r="AL423" s="38" t="n">
        <x:f>IF(AA423=0,0,AB423/AA423)</x:f>
        <x:v>0.75</x:v>
      </x:c>
      <x:c r="AM423" s="38" t="n">
        <x:f>IF(AB423=0,0,AC423/AB423)</x:f>
        <x:v>0.8333333333333334</x:v>
      </x:c>
      <x:c r="AN423" s="37" t="n">
        <x:f>ROUND((AD423*0.20+AE423*0.20+AF423*0.25+AG423*0.15+MIN(100,AC423*12)*0.20),1)</x:f>
        <x:v>75.5</x:v>
      </x:c>
      <x:c r="AO423" s="37" t="n">
        <x:f>ROUND(MAX(0,MIN(100,(X423*0.35)+(W423/45*100*0.20)+((5-O423)/4*100*0.15)+((5-P423)/4*100*0.10)+((6-Y423)/5*100*0.10)+((100-Z423)*0.10))),1)</x:f>
        <x:v>65.5</x:v>
      </x:c>
      <x:c r="AP423" s="37" t="str">
        <x:f>IF(AO423&gt;=70,"High",IF(AO423&gt;=40,"Moderate","Low"))</x:f>
        <x:v>Moderate</x:v>
      </x:c>
      <x:c r="AQ423" s="37" t="n">
        <x:f>ROUND(MAX(0,MIN(100,(O423/4*100*0.25)+(P423/4*100*0.20)+(Q423/4*100*0.15)+(Y423/5*100*0.20)+(100-AO423)*0.20)),1)</x:f>
        <x:v>52.4</x:v>
      </x:c>
      <x:c r="AR423" s="37" t="n">
        <x:f>ROUND((AI423*0.20+AJ423*0.15+AN423*0.18+AG423*0.12+Z423*0.15+AQ423*0.20),1)</x:f>
        <x:v>77.2</x:v>
      </x:c>
      <x:c r="AS423" s="39" t="n">
        <x:f>ROUND((AC423*AF423*120)+(AH423*350)+(MAX(0,AI423-75)*220)+(MAX(0,AQ423-60)*100),0)</x:f>
        <x:v>55450</x:v>
      </x:c>
    </x:row>
    <x:row r="424">
      <x:c r="A424" s="35" t="n">
        <x:v>423</x:v>
      </x:c>
      <x:c r="B424" s="35" t="n">
        <x:v>37</x:v>
      </x:c>
      <x:c r="C424" s="35" t="str">
        <x:v>Male</x:v>
      </x:c>
      <x:c r="D424" s="35" t="str">
        <x:v>Marketing</x:v>
      </x:c>
      <x:c r="E424" s="35" t="str">
        <x:v>Marketing Manager</x:v>
      </x:c>
      <x:c r="F424" s="35" t="str">
        <x:v>Marketing</x:v>
      </x:c>
      <x:c r="G424" s="35" t="str">
        <x:v>Married</x:v>
      </x:c>
      <x:c r="H424" s="35" t="n">
        <x:v>2</x:v>
      </x:c>
      <x:c r="I424" s="36" t="n">
        <x:v>7980</x:v>
      </x:c>
      <x:c r="J424" s="35" t="n">
        <x:v>12</x:v>
      </x:c>
      <x:c r="K424" s="35" t="n">
        <x:v>7</x:v>
      </x:c>
      <x:c r="L424" s="35" t="n">
        <x:v>2</x:v>
      </x:c>
      <x:c r="M424" s="35" t="n">
        <x:v>4</x:v>
      </x:c>
      <x:c r="N424" s="35" t="str">
        <x:v>No</x:v>
      </x:c>
      <x:c r="O424" s="35" t="n">
        <x:v>2</x:v>
      </x:c>
      <x:c r="P424" s="35" t="n">
        <x:v>2</x:v>
      </x:c>
      <x:c r="Q424" s="35" t="n">
        <x:v>3</x:v>
      </x:c>
      <x:c r="R424" s="35" t="n">
        <x:v>2</x:v>
      </x:c>
      <x:c r="S424" s="35" t="n">
        <x:v>3</x:v>
      </x:c>
      <x:c r="T424" s="35" t="n">
        <x:v>4</x:v>
      </x:c>
      <x:c r="U424" s="35" t="n">
        <x:v>0</x:v>
      </x:c>
      <x:c r="V424" s="35" t="n">
        <x:v>8</x:v>
      </x:c>
      <x:c r="W424" s="35" t="n">
        <x:v>0</x:v>
      </x:c>
      <x:c r="X424" s="35" t="n">
        <x:v>54</x:v>
      </x:c>
      <x:c r="Y424" s="35" t="n">
        <x:v>3</x:v>
      </x:c>
      <x:c r="Z424" s="35" t="n">
        <x:v>81</x:v>
      </x:c>
      <x:c r="AA424" s="35" t="n">
        <x:v>4</x:v>
      </x:c>
      <x:c r="AB424" s="35" t="n">
        <x:v>4</x:v>
      </x:c>
      <x:c r="AC424" s="35" t="n">
        <x:v>4</x:v>
      </x:c>
      <x:c r="AD424" s="35" t="n">
        <x:v>76</x:v>
      </x:c>
      <x:c r="AE424" s="35" t="n">
        <x:v>75</x:v>
      </x:c>
      <x:c r="AF424" s="35" t="n">
        <x:v>96</x:v>
      </x:c>
      <x:c r="AG424" s="35" t="n">
        <x:v>77</x:v>
      </x:c>
      <x:c r="AH424" s="35" t="n">
        <x:v>6</x:v>
      </x:c>
      <x:c r="AI424" s="37" t="n">
        <x:v>95.7</x:v>
      </x:c>
      <x:c r="AJ424" s="37" t="n">
        <x:v>100</x:v>
      </x:c>
      <x:c r="AK424" s="35" t="str">
        <x:v>No</x:v>
      </x:c>
      <x:c r="AL424" s="38" t="n">
        <x:f>IF(AA424=0,0,AB424/AA424)</x:f>
        <x:v>1</x:v>
      </x:c>
      <x:c r="AM424" s="38" t="n">
        <x:f>IF(AB424=0,0,AC424/AB424)</x:f>
        <x:v>1</x:v>
      </x:c>
      <x:c r="AN424" s="37" t="n">
        <x:f>ROUND((AD424*0.20+AE424*0.20+AF424*0.25+AG424*0.15+MIN(100,AC424*12)*0.20),1)</x:f>
        <x:v>75.4</x:v>
      </x:c>
      <x:c r="AO424" s="37" t="n">
        <x:f>ROUND(MAX(0,MIN(100,(X424*0.35)+(W424/45*100*0.20)+((5-O424)/4*100*0.15)+((5-P424)/4*100*0.10)+((6-Y424)/5*100*0.10)+((100-Z424)*0.10))),1)</x:f>
        <x:v>45.6</x:v>
      </x:c>
      <x:c r="AP424" s="37" t="str">
        <x:f>IF(AO424&gt;=70,"High",IF(AO424&gt;=40,"Moderate","Low"))</x:f>
        <x:v>Moderate</x:v>
      </x:c>
      <x:c r="AQ424" s="37" t="n">
        <x:f>ROUND(MAX(0,MIN(100,(O424/4*100*0.25)+(P424/4*100*0.20)+(Q424/4*100*0.15)+(Y424/5*100*0.20)+(100-AO424)*0.20)),1)</x:f>
        <x:v>56.6</x:v>
      </x:c>
      <x:c r="AR424" s="37" t="n">
        <x:f>ROUND((AI424*0.20+AJ424*0.15+AN424*0.18+AG424*0.12+Z424*0.15+AQ424*0.20),1)</x:f>
        <x:v>80.4</x:v>
      </x:c>
      <x:c r="AS424" s="39" t="n">
        <x:f>ROUND((AC424*AF424*120)+(AH424*350)+(MAX(0,AI424-75)*220)+(MAX(0,AQ424-60)*100),0)</x:f>
        <x:v>52734</x:v>
      </x:c>
    </x:row>
    <x:row r="425">
      <x:c r="A425" s="35" t="n">
        <x:v>424</x:v>
      </x:c>
      <x:c r="B425" s="35" t="n">
        <x:v>28</x:v>
      </x:c>
      <x:c r="C425" s="35" t="str">
        <x:v>Female</x:v>
      </x:c>
      <x:c r="D425" s="35" t="str">
        <x:v>Human Resources</x:v>
      </x:c>
      <x:c r="E425" s="35" t="str">
        <x:v>HR Specialist</x:v>
      </x:c>
      <x:c r="F425" s="35" t="str">
        <x:v>Marketing</x:v>
      </x:c>
      <x:c r="G425" s="35" t="str">
        <x:v>Single</x:v>
      </x:c>
      <x:c r="H425" s="35" t="n">
        <x:v>1</x:v>
      </x:c>
      <x:c r="I425" s="36" t="n">
        <x:v>5030</x:v>
      </x:c>
      <x:c r="J425" s="35" t="n">
        <x:v>4</x:v>
      </x:c>
      <x:c r="K425" s="35" t="n">
        <x:v>1</x:v>
      </x:c>
      <x:c r="L425" s="35" t="n">
        <x:v>1</x:v>
      </x:c>
      <x:c r="M425" s="35" t="n">
        <x:v>1</x:v>
      </x:c>
      <x:c r="N425" s="35" t="str">
        <x:v>No</x:v>
      </x:c>
      <x:c r="O425" s="35" t="n">
        <x:v>3</x:v>
      </x:c>
      <x:c r="P425" s="35" t="n">
        <x:v>3</x:v>
      </x:c>
      <x:c r="Q425" s="35" t="n">
        <x:v>3</x:v>
      </x:c>
      <x:c r="R425" s="35" t="n">
        <x:v>3</x:v>
      </x:c>
      <x:c r="S425" s="35" t="n">
        <x:v>4</x:v>
      </x:c>
      <x:c r="T425" s="35" t="n">
        <x:v>2</x:v>
      </x:c>
      <x:c r="U425" s="35" t="n">
        <x:v>1</x:v>
      </x:c>
      <x:c r="V425" s="35" t="n">
        <x:v>3</x:v>
      </x:c>
      <x:c r="W425" s="35" t="n">
        <x:v>0</x:v>
      </x:c>
      <x:c r="X425" s="35" t="n">
        <x:v>85</x:v>
      </x:c>
      <x:c r="Y425" s="35" t="n">
        <x:v>4</x:v>
      </x:c>
      <x:c r="Z425" s="35" t="n">
        <x:v>91</x:v>
      </x:c>
      <x:c r="AA425" s="35" t="n">
        <x:v>1</x:v>
      </x:c>
      <x:c r="AB425" s="35" t="n">
        <x:v>1</x:v>
      </x:c>
      <x:c r="AC425" s="35" t="n">
        <x:v>1</x:v>
      </x:c>
      <x:c r="AD425" s="35" t="n">
        <x:v>78</x:v>
      </x:c>
      <x:c r="AE425" s="35" t="n">
        <x:v>81</x:v>
      </x:c>
      <x:c r="AF425" s="35" t="n">
        <x:v>78</x:v>
      </x:c>
      <x:c r="AG425" s="35" t="n">
        <x:v>84</x:v>
      </x:c>
      <x:c r="AH425" s="35" t="n">
        <x:v>4</x:v>
      </x:c>
      <x:c r="AI425" s="37" t="n">
        <x:v>100</x:v>
      </x:c>
      <x:c r="AJ425" s="37" t="n">
        <x:v>100</x:v>
      </x:c>
      <x:c r="AK425" s="35" t="str">
        <x:v>No</x:v>
      </x:c>
      <x:c r="AL425" s="38" t="n">
        <x:f>IF(AA425=0,0,AB425/AA425)</x:f>
        <x:v>1</x:v>
      </x:c>
      <x:c r="AM425" s="38" t="n">
        <x:f>IF(AB425=0,0,AC425/AB425)</x:f>
        <x:v>1</x:v>
      </x:c>
      <x:c r="AN425" s="37" t="n">
        <x:f>ROUND((AD425*0.20+AE425*0.20+AF425*0.25+AG425*0.15+MIN(100,AC425*12)*0.20),1)</x:f>
        <x:v>66.3</x:v>
      </x:c>
      <x:c r="AO425" s="37" t="n">
        <x:f>ROUND(MAX(0,MIN(100,(X425*0.35)+(W425/45*100*0.20)+((5-O425)/4*100*0.15)+((5-P425)/4*100*0.10)+((6-Y425)/5*100*0.10)+((100-Z425)*0.10))),1)</x:f>
        <x:v>47.2</x:v>
      </x:c>
      <x:c r="AP425" s="37" t="str">
        <x:f>IF(AO425&gt;=70,"High",IF(AO425&gt;=40,"Moderate","Low"))</x:f>
        <x:v>Moderate</x:v>
      </x:c>
      <x:c r="AQ425" s="37" t="n">
        <x:f>ROUND(MAX(0,MIN(100,(O425/4*100*0.25)+(P425/4*100*0.20)+(Q425/4*100*0.15)+(Y425/5*100*0.20)+(100-AO425)*0.20)),1)</x:f>
        <x:v>71.6</x:v>
      </x:c>
      <x:c r="AR425" s="37" t="n">
        <x:f>ROUND((AI425*0.20+AJ425*0.15+AN425*0.18+AG425*0.12+Z425*0.15+AQ425*0.20),1)</x:f>
        <x:v>85</x:v>
      </x:c>
      <x:c r="AS425" s="39" t="n">
        <x:f>ROUND((AC425*AF425*120)+(AH425*350)+(MAX(0,AI425-75)*220)+(MAX(0,AQ425-60)*100),0)</x:f>
        <x:v>17420</x:v>
      </x:c>
    </x:row>
    <x:row r="426">
      <x:c r="A426" s="35" t="n">
        <x:v>425</x:v>
      </x:c>
      <x:c r="B426" s="35" t="n">
        <x:v>44</x:v>
      </x:c>
      <x:c r="C426" s="35" t="str">
        <x:v>Female</x:v>
      </x:c>
      <x:c r="D426" s="35" t="str">
        <x:v>Human Resources</x:v>
      </x:c>
      <x:c r="E426" s="35" t="str">
        <x:v>Talent Development Specialist</x:v>
      </x:c>
      <x:c r="F426" s="35" t="str">
        <x:v>Medical</x:v>
      </x:c>
      <x:c r="G426" s="35" t="str">
        <x:v>Married</x:v>
      </x:c>
      <x:c r="H426" s="35" t="n">
        <x:v>3</x:v>
      </x:c>
      <x:c r="I426" s="36" t="n">
        <x:v>8390</x:v>
      </x:c>
      <x:c r="J426" s="35" t="n">
        <x:v>15</x:v>
      </x:c>
      <x:c r="K426" s="35" t="n">
        <x:v>7</x:v>
      </x:c>
      <x:c r="L426" s="35" t="n">
        <x:v>3</x:v>
      </x:c>
      <x:c r="M426" s="35" t="n">
        <x:v>4</x:v>
      </x:c>
      <x:c r="N426" s="35" t="str">
        <x:v>Yes</x:v>
      </x:c>
      <x:c r="O426" s="35" t="n">
        <x:v>3</x:v>
      </x:c>
      <x:c r="P426" s="35" t="n">
        <x:v>3</x:v>
      </x:c>
      <x:c r="Q426" s="35" t="n">
        <x:v>2</x:v>
      </x:c>
      <x:c r="R426" s="35" t="n">
        <x:v>3</x:v>
      </x:c>
      <x:c r="S426" s="35" t="n">
        <x:v>3</x:v>
      </x:c>
      <x:c r="T426" s="35" t="n">
        <x:v>0</x:v>
      </x:c>
      <x:c r="U426" s="35" t="n">
        <x:v>2</x:v>
      </x:c>
      <x:c r="V426" s="35" t="n">
        <x:v>4</x:v>
      </x:c>
      <x:c r="W426" s="35" t="n">
        <x:v>27</x:v>
      </x:c>
      <x:c r="X426" s="35" t="n">
        <x:v>62</x:v>
      </x:c>
      <x:c r="Y426" s="35" t="n">
        <x:v>5</x:v>
      </x:c>
      <x:c r="Z426" s="35" t="n">
        <x:v>100</x:v>
      </x:c>
      <x:c r="AA426" s="35" t="n">
        <x:v>1</x:v>
      </x:c>
      <x:c r="AB426" s="35" t="n">
        <x:v>1</x:v>
      </x:c>
      <x:c r="AC426" s="35" t="n">
        <x:v>0</x:v>
      </x:c>
      <x:c r="AD426" s="35" t="n">
        <x:v>72</x:v>
      </x:c>
      <x:c r="AE426" s="35" t="n">
        <x:v>69</x:v>
      </x:c>
      <x:c r="AF426" s="35" t="n">
        <x:v>85</x:v>
      </x:c>
      <x:c r="AG426" s="35" t="n">
        <x:v>96</x:v>
      </x:c>
      <x:c r="AH426" s="35" t="n">
        <x:v>4</x:v>
      </x:c>
      <x:c r="AI426" s="37" t="n">
        <x:v>95.1</x:v>
      </x:c>
      <x:c r="AJ426" s="37" t="n">
        <x:v>93.8</x:v>
      </x:c>
      <x:c r="AK426" s="35" t="str">
        <x:v>Yes</x:v>
      </x:c>
      <x:c r="AL426" s="38" t="n">
        <x:f>IF(AA426=0,0,AB426/AA426)</x:f>
        <x:v>1</x:v>
      </x:c>
      <x:c r="AM426" s="38" t="n">
        <x:f>IF(AB426=0,0,AC426/AB426)</x:f>
        <x:v>0</x:v>
      </x:c>
      <x:c r="AN426" s="37" t="n">
        <x:f>ROUND((AD426*0.20+AE426*0.20+AF426*0.25+AG426*0.15+MIN(100,AC426*12)*0.20),1)</x:f>
        <x:v>63.9</x:v>
      </x:c>
      <x:c r="AO426" s="37" t="n">
        <x:f>ROUND(MAX(0,MIN(100,(X426*0.35)+(W426/45*100*0.20)+((5-O426)/4*100*0.15)+((5-P426)/4*100*0.10)+((6-Y426)/5*100*0.10)+((100-Z426)*0.10))),1)</x:f>
        <x:v>48.2</x:v>
      </x:c>
      <x:c r="AP426" s="37" t="str">
        <x:f>IF(AO426&gt;=70,"High",IF(AO426&gt;=40,"Moderate","Low"))</x:f>
        <x:v>Moderate</x:v>
      </x:c>
      <x:c r="AQ426" s="37" t="n">
        <x:f>ROUND(MAX(0,MIN(100,(O426/4*100*0.25)+(P426/4*100*0.20)+(Q426/4*100*0.15)+(Y426/5*100*0.20)+(100-AO426)*0.20)),1)</x:f>
        <x:v>71.6</x:v>
      </x:c>
      <x:c r="AR426" s="37" t="n">
        <x:f>ROUND((AI426*0.20+AJ426*0.15+AN426*0.18+AG426*0.12+Z426*0.15+AQ426*0.20),1)</x:f>
        <x:v>85.4</x:v>
      </x:c>
      <x:c r="AS426" s="39" t="n">
        <x:f>ROUND((AC426*AF426*120)+(AH426*350)+(MAX(0,AI426-75)*220)+(MAX(0,AQ426-60)*100),0)</x:f>
        <x:v>6982</x:v>
      </x:c>
    </x:row>
    <x:row r="427">
      <x:c r="A427" s="35" t="n">
        <x:v>426</x:v>
      </x:c>
      <x:c r="B427" s="35" t="n">
        <x:v>42</x:v>
      </x:c>
      <x:c r="C427" s="35" t="str">
        <x:v>Female</x:v>
      </x:c>
      <x:c r="D427" s="35" t="str">
        <x:v>Sales</x:v>
      </x:c>
      <x:c r="E427" s="35" t="str">
        <x:v>Account Manager</x:v>
      </x:c>
      <x:c r="F427" s="35" t="str">
        <x:v>Technical Degree</x:v>
      </x:c>
      <x:c r="G427" s="35" t="str">
        <x:v>Single</x:v>
      </x:c>
      <x:c r="H427" s="35" t="n">
        <x:v>3</x:v>
      </x:c>
      <x:c r="I427" s="36" t="n">
        <x:v>14830</x:v>
      </x:c>
      <x:c r="J427" s="35" t="n">
        <x:v>14</x:v>
      </x:c>
      <x:c r="K427" s="35" t="n">
        <x:v>6</x:v>
      </x:c>
      <x:c r="L427" s="35" t="n">
        <x:v>4</x:v>
      </x:c>
      <x:c r="M427" s="35" t="n">
        <x:v>20</x:v>
      </x:c>
      <x:c r="N427" s="35" t="str">
        <x:v>No</x:v>
      </x:c>
      <x:c r="O427" s="35" t="n">
        <x:v>4</x:v>
      </x:c>
      <x:c r="P427" s="35" t="n">
        <x:v>3</x:v>
      </x:c>
      <x:c r="Q427" s="35" t="n">
        <x:v>4</x:v>
      </x:c>
      <x:c r="R427" s="35" t="n">
        <x:v>3</x:v>
      </x:c>
      <x:c r="S427" s="35" t="n">
        <x:v>3</x:v>
      </x:c>
      <x:c r="T427" s="35" t="n">
        <x:v>5</x:v>
      </x:c>
      <x:c r="U427" s="35" t="n">
        <x:v>0</x:v>
      </x:c>
      <x:c r="V427" s="35" t="n">
        <x:v>6</x:v>
      </x:c>
      <x:c r="W427" s="35" t="n">
        <x:v>6</x:v>
      </x:c>
      <x:c r="X427" s="35" t="n">
        <x:v>58</x:v>
      </x:c>
      <x:c r="Y427" s="35" t="n">
        <x:v>5</x:v>
      </x:c>
      <x:c r="Z427" s="35" t="n">
        <x:v>100</x:v>
      </x:c>
      <x:c r="AA427" s="35" t="n">
        <x:v>6</x:v>
      </x:c>
      <x:c r="AB427" s="35" t="n">
        <x:v>5</x:v>
      </x:c>
      <x:c r="AC427" s="35" t="n">
        <x:v>3</x:v>
      </x:c>
      <x:c r="AD427" s="35" t="n">
        <x:v>66</x:v>
      </x:c>
      <x:c r="AE427" s="35" t="n">
        <x:v>79</x:v>
      </x:c>
      <x:c r="AF427" s="35" t="n">
        <x:v>68</x:v>
      </x:c>
      <x:c r="AG427" s="35" t="n">
        <x:v>100</x:v>
      </x:c>
      <x:c r="AH427" s="35" t="n">
        <x:v>6</x:v>
      </x:c>
      <x:c r="AI427" s="37" t="n">
        <x:v>94.1</x:v>
      </x:c>
      <x:c r="AJ427" s="37" t="n">
        <x:v>86.4</x:v>
      </x:c>
      <x:c r="AK427" s="35" t="str">
        <x:v>No</x:v>
      </x:c>
      <x:c r="AL427" s="38" t="n">
        <x:f>IF(AA427=0,0,AB427/AA427)</x:f>
        <x:v>0.8333333333333334</x:v>
      </x:c>
      <x:c r="AM427" s="38" t="n">
        <x:f>IF(AB427=0,0,AC427/AB427)</x:f>
        <x:v>0.6</x:v>
      </x:c>
      <x:c r="AN427" s="37" t="n">
        <x:f>ROUND((AD427*0.20+AE427*0.20+AF427*0.25+AG427*0.15+MIN(100,AC427*12)*0.20),1)</x:f>
        <x:v>68.2</x:v>
      </x:c>
      <x:c r="AO427" s="37" t="n">
        <x:f>ROUND(MAX(0,MIN(100,(X427*0.35)+(W427/45*100*0.20)+((5-O427)/4*100*0.15)+((5-P427)/4*100*0.10)+((6-Y427)/5*100*0.10)+((100-Z427)*0.10))),1)</x:f>
        <x:v>33.7</x:v>
      </x:c>
      <x:c r="AP427" s="37" t="str">
        <x:f>IF(AO427&gt;=70,"High",IF(AO427&gt;=40,"Moderate","Low"))</x:f>
        <x:v>Low</x:v>
      </x:c>
      <x:c r="AQ427" s="37" t="n">
        <x:f>ROUND(MAX(0,MIN(100,(O427/4*100*0.25)+(P427/4*100*0.20)+(Q427/4*100*0.15)+(Y427/5*100*0.20)+(100-AO427)*0.20)),1)</x:f>
        <x:v>88.3</x:v>
      </x:c>
      <x:c r="AR427" s="37" t="n">
        <x:f>ROUND((AI427*0.20+AJ427*0.15+AN427*0.18+AG427*0.12+Z427*0.15+AQ427*0.20),1)</x:f>
        <x:v>88.7</x:v>
      </x:c>
      <x:c r="AS427" s="39" t="n">
        <x:f>ROUND((AC427*AF427*120)+(AH427*350)+(MAX(0,AI427-75)*220)+(MAX(0,AQ427-60)*100),0)</x:f>
        <x:v>33612</x:v>
      </x:c>
    </x:row>
    <x:row r="428">
      <x:c r="A428" s="35" t="n">
        <x:v>427</x:v>
      </x:c>
      <x:c r="B428" s="35" t="n">
        <x:v>39</x:v>
      </x:c>
      <x:c r="C428" s="35" t="str">
        <x:v>Female</x:v>
      </x:c>
      <x:c r="D428" s="35" t="str">
        <x:v>Human Resources</x:v>
      </x:c>
      <x:c r="E428" s="35" t="str">
        <x:v>Talent Development Specialist</x:v>
      </x:c>
      <x:c r="F428" s="35" t="str">
        <x:v>Computer Science</x:v>
      </x:c>
      <x:c r="G428" s="35" t="str">
        <x:v>Married</x:v>
      </x:c>
      <x:c r="H428" s="35" t="n">
        <x:v>2</x:v>
      </x:c>
      <x:c r="I428" s="36" t="n">
        <x:v>9410</x:v>
      </x:c>
      <x:c r="J428" s="35" t="n">
        <x:v>14</x:v>
      </x:c>
      <x:c r="K428" s="35" t="n">
        <x:v>10</x:v>
      </x:c>
      <x:c r="L428" s="35" t="n">
        <x:v>4</x:v>
      </x:c>
      <x:c r="M428" s="35" t="n">
        <x:v>5</x:v>
      </x:c>
      <x:c r="N428" s="35" t="str">
        <x:v>Yes</x:v>
      </x:c>
      <x:c r="O428" s="35" t="n">
        <x:v>3</x:v>
      </x:c>
      <x:c r="P428" s="35" t="n">
        <x:v>3</x:v>
      </x:c>
      <x:c r="Q428" s="35" t="n">
        <x:v>4</x:v>
      </x:c>
      <x:c r="R428" s="35" t="n">
        <x:v>4</x:v>
      </x:c>
      <x:c r="S428" s="35" t="n">
        <x:v>4</x:v>
      </x:c>
      <x:c r="T428" s="35" t="n">
        <x:v>2</x:v>
      </x:c>
      <x:c r="U428" s="35" t="n">
        <x:v>2</x:v>
      </x:c>
      <x:c r="V428" s="35" t="n">
        <x:v>9</x:v>
      </x:c>
      <x:c r="W428" s="35" t="n">
        <x:v>12</x:v>
      </x:c>
      <x:c r="X428" s="35" t="n">
        <x:v>66</x:v>
      </x:c>
      <x:c r="Y428" s="35" t="n">
        <x:v>5</x:v>
      </x:c>
      <x:c r="Z428" s="35" t="n">
        <x:v>100</x:v>
      </x:c>
      <x:c r="AA428" s="35" t="n">
        <x:v>10</x:v>
      </x:c>
      <x:c r="AB428" s="35" t="n">
        <x:v>7</x:v>
      </x:c>
      <x:c r="AC428" s="35" t="n">
        <x:v>4</x:v>
      </x:c>
      <x:c r="AD428" s="35" t="n">
        <x:v>84</x:v>
      </x:c>
      <x:c r="AE428" s="35" t="n">
        <x:v>80</x:v>
      </x:c>
      <x:c r="AF428" s="35" t="n">
        <x:v>98</x:v>
      </x:c>
      <x:c r="AG428" s="35" t="n">
        <x:v>100</x:v>
      </x:c>
      <x:c r="AH428" s="35" t="n">
        <x:v>11</x:v>
      </x:c>
      <x:c r="AI428" s="37" t="n">
        <x:v>98.1</x:v>
      </x:c>
      <x:c r="AJ428" s="37" t="n">
        <x:v>93.6</x:v>
      </x:c>
      <x:c r="AK428" s="35" t="str">
        <x:v>No</x:v>
      </x:c>
      <x:c r="AL428" s="38" t="n">
        <x:f>IF(AA428=0,0,AB428/AA428)</x:f>
        <x:v>0.7</x:v>
      </x:c>
      <x:c r="AM428" s="38" t="n">
        <x:f>IF(AB428=0,0,AC428/AB428)</x:f>
        <x:v>0.5714285714285714</x:v>
      </x:c>
      <x:c r="AN428" s="37" t="n">
        <x:f>ROUND((AD428*0.20+AE428*0.20+AF428*0.25+AG428*0.15+MIN(100,AC428*12)*0.20),1)</x:f>
        <x:v>81.9</x:v>
      </x:c>
      <x:c r="AO428" s="37" t="n">
        <x:f>ROUND(MAX(0,MIN(100,(X428*0.35)+(W428/45*100*0.20)+((5-O428)/4*100*0.15)+((5-P428)/4*100*0.10)+((6-Y428)/5*100*0.10)+((100-Z428)*0.10))),1)</x:f>
        <x:v>42.9</x:v>
      </x:c>
      <x:c r="AP428" s="37" t="str">
        <x:f>IF(AO428&gt;=70,"High",IF(AO428&gt;=40,"Moderate","Low"))</x:f>
        <x:v>Moderate</x:v>
      </x:c>
      <x:c r="AQ428" s="37" t="n">
        <x:f>ROUND(MAX(0,MIN(100,(O428/4*100*0.25)+(P428/4*100*0.20)+(Q428/4*100*0.15)+(Y428/5*100*0.20)+(100-AO428)*0.20)),1)</x:f>
        <x:v>80.2</x:v>
      </x:c>
      <x:c r="AR428" s="37" t="n">
        <x:f>ROUND((AI428*0.20+AJ428*0.15+AN428*0.18+AG428*0.12+Z428*0.15+AQ428*0.20),1)</x:f>
        <x:v>91.4</x:v>
      </x:c>
      <x:c r="AS428" s="39" t="n">
        <x:f>ROUND((AC428*AF428*120)+(AH428*350)+(MAX(0,AI428-75)*220)+(MAX(0,AQ428-60)*100),0)</x:f>
        <x:v>57992</x:v>
      </x:c>
    </x:row>
    <x:row r="429">
      <x:c r="A429" s="35" t="n">
        <x:v>428</x:v>
      </x:c>
      <x:c r="B429" s="35" t="n">
        <x:v>32</x:v>
      </x:c>
      <x:c r="C429" s="35" t="str">
        <x:v>Female</x:v>
      </x:c>
      <x:c r="D429" s="35" t="str">
        <x:v>Finance</x:v>
      </x:c>
      <x:c r="E429" s="35" t="str">
        <x:v>Finance Manager</x:v>
      </x:c>
      <x:c r="F429" s="35" t="str">
        <x:v>Computer Science</x:v>
      </x:c>
      <x:c r="G429" s="35" t="str">
        <x:v>Single</x:v>
      </x:c>
      <x:c r="H429" s="35" t="n">
        <x:v>1</x:v>
      </x:c>
      <x:c r="I429" s="36" t="n">
        <x:v>5380</x:v>
      </x:c>
      <x:c r="J429" s="35" t="n">
        <x:v>7</x:v>
      </x:c>
      <x:c r="K429" s="35" t="n">
        <x:v>5</x:v>
      </x:c>
      <x:c r="L429" s="35" t="n">
        <x:v>3</x:v>
      </x:c>
      <x:c r="M429" s="35" t="n">
        <x:v>15</x:v>
      </x:c>
      <x:c r="N429" s="35" t="str">
        <x:v>Yes</x:v>
      </x:c>
      <x:c r="O429" s="35" t="n">
        <x:v>2</x:v>
      </x:c>
      <x:c r="P429" s="35" t="n">
        <x:v>2</x:v>
      </x:c>
      <x:c r="Q429" s="35" t="n">
        <x:v>2</x:v>
      </x:c>
      <x:c r="R429" s="35" t="n">
        <x:v>4</x:v>
      </x:c>
      <x:c r="S429" s="35" t="n">
        <x:v>3</x:v>
      </x:c>
      <x:c r="T429" s="35" t="n">
        <x:v>3</x:v>
      </x:c>
      <x:c r="U429" s="35" t="n">
        <x:v>2</x:v>
      </x:c>
      <x:c r="V429" s="35" t="n">
        <x:v>5</x:v>
      </x:c>
      <x:c r="W429" s="35" t="n">
        <x:v>16</x:v>
      </x:c>
      <x:c r="X429" s="35" t="n">
        <x:v>74</x:v>
      </x:c>
      <x:c r="Y429" s="35" t="n">
        <x:v>3</x:v>
      </x:c>
      <x:c r="Z429" s="35" t="n">
        <x:v>100</x:v>
      </x:c>
      <x:c r="AA429" s="35" t="n">
        <x:v>3</x:v>
      </x:c>
      <x:c r="AB429" s="35" t="n">
        <x:v>2</x:v>
      </x:c>
      <x:c r="AC429" s="35" t="n">
        <x:v>2</x:v>
      </x:c>
      <x:c r="AD429" s="35" t="n">
        <x:v>79</x:v>
      </x:c>
      <x:c r="AE429" s="35" t="n">
        <x:v>83</x:v>
      </x:c>
      <x:c r="AF429" s="35" t="n">
        <x:v>35</x:v>
      </x:c>
      <x:c r="AG429" s="35" t="n">
        <x:v>85</x:v>
      </x:c>
      <x:c r="AH429" s="35" t="n">
        <x:v>3</x:v>
      </x:c>
      <x:c r="AI429" s="37" t="n">
        <x:v>92.1</x:v>
      </x:c>
      <x:c r="AJ429" s="37" t="n">
        <x:v>96.6</x:v>
      </x:c>
      <x:c r="AK429" s="35" t="str">
        <x:v>No</x:v>
      </x:c>
      <x:c r="AL429" s="38" t="n">
        <x:f>IF(AA429=0,0,AB429/AA429)</x:f>
        <x:v>0.6666666666666666</x:v>
      </x:c>
      <x:c r="AM429" s="38" t="n">
        <x:f>IF(AB429=0,0,AC429/AB429)</x:f>
        <x:v>1</x:v>
      </x:c>
      <x:c r="AN429" s="37" t="n">
        <x:f>ROUND((AD429*0.20+AE429*0.20+AF429*0.25+AG429*0.15+MIN(100,AC429*12)*0.20),1)</x:f>
        <x:v>58.7</x:v>
      </x:c>
      <x:c r="AO429" s="37" t="n">
        <x:f>ROUND(MAX(0,MIN(100,(X429*0.35)+(W429/45*100*0.20)+((5-O429)/4*100*0.15)+((5-P429)/4*100*0.10)+((6-Y429)/5*100*0.10)+((100-Z429)*0.10))),1)</x:f>
        <x:v>57.8</x:v>
      </x:c>
      <x:c r="AP429" s="37" t="str">
        <x:f>IF(AO429&gt;=70,"High",IF(AO429&gt;=40,"Moderate","Low"))</x:f>
        <x:v>Moderate</x:v>
      </x:c>
      <x:c r="AQ429" s="37" t="n">
        <x:f>ROUND(MAX(0,MIN(100,(O429/4*100*0.25)+(P429/4*100*0.20)+(Q429/4*100*0.15)+(Y429/5*100*0.20)+(100-AO429)*0.20)),1)</x:f>
        <x:v>50.4</x:v>
      </x:c>
      <x:c r="AR429" s="37" t="n">
        <x:f>ROUND((AI429*0.20+AJ429*0.15+AN429*0.18+AG429*0.12+Z429*0.15+AQ429*0.20),1)</x:f>
        <x:v>78.8</x:v>
      </x:c>
      <x:c r="AS429" s="39" t="n">
        <x:f>ROUND((AC429*AF429*120)+(AH429*350)+(MAX(0,AI429-75)*220)+(MAX(0,AQ429-60)*100),0)</x:f>
        <x:v>13212</x:v>
      </x:c>
    </x:row>
    <x:row r="430">
      <x:c r="A430" s="35" t="n">
        <x:v>429</x:v>
      </x:c>
      <x:c r="B430" s="35" t="n">
        <x:v>55</x:v>
      </x:c>
      <x:c r="C430" s="35" t="str">
        <x:v>Female</x:v>
      </x:c>
      <x:c r="D430" s="35" t="str">
        <x:v>Research &amp; Development</x:v>
      </x:c>
      <x:c r="E430" s="35" t="str">
        <x:v>Research Scientist</x:v>
      </x:c>
      <x:c r="F430" s="35" t="str">
        <x:v>Life Sciences</x:v>
      </x:c>
      <x:c r="G430" s="35" t="str">
        <x:v>Single</x:v>
      </x:c>
      <x:c r="H430" s="35" t="n">
        <x:v>4</x:v>
      </x:c>
      <x:c r="I430" s="36" t="n">
        <x:v>12040</x:v>
      </x:c>
      <x:c r="J430" s="35" t="n">
        <x:v>27</x:v>
      </x:c>
      <x:c r="K430" s="35" t="n">
        <x:v>9</x:v>
      </x:c>
      <x:c r="L430" s="35" t="n">
        <x:v>4</x:v>
      </x:c>
      <x:c r="M430" s="35" t="n">
        <x:v>9</x:v>
      </x:c>
      <x:c r="N430" s="35" t="str">
        <x:v>No</x:v>
      </x:c>
      <x:c r="O430" s="35" t="n">
        <x:v>3</x:v>
      </x:c>
      <x:c r="P430" s="35" t="n">
        <x:v>3</x:v>
      </x:c>
      <x:c r="Q430" s="35" t="n">
        <x:v>2</x:v>
      </x:c>
      <x:c r="R430" s="35" t="n">
        <x:v>4</x:v>
      </x:c>
      <x:c r="S430" s="35" t="n">
        <x:v>3</x:v>
      </x:c>
      <x:c r="T430" s="35" t="n">
        <x:v>3</x:v>
      </x:c>
      <x:c r="U430" s="35" t="n">
        <x:v>2</x:v>
      </x:c>
      <x:c r="V430" s="35" t="n">
        <x:v>7</x:v>
      </x:c>
      <x:c r="W430" s="35" t="n">
        <x:v>4</x:v>
      </x:c>
      <x:c r="X430" s="35" t="n">
        <x:v>40</x:v>
      </x:c>
      <x:c r="Y430" s="35" t="n">
        <x:v>4</x:v>
      </x:c>
      <x:c r="Z430" s="35" t="n">
        <x:v>100</x:v>
      </x:c>
      <x:c r="AA430" s="35" t="n">
        <x:v>4</x:v>
      </x:c>
      <x:c r="AB430" s="35" t="n">
        <x:v>4</x:v>
      </x:c>
      <x:c r="AC430" s="35" t="n">
        <x:v>3</x:v>
      </x:c>
      <x:c r="AD430" s="35" t="n">
        <x:v>65</x:v>
      </x:c>
      <x:c r="AE430" s="35" t="n">
        <x:v>84</x:v>
      </x:c>
      <x:c r="AF430" s="35" t="n">
        <x:v>83</x:v>
      </x:c>
      <x:c r="AG430" s="35" t="n">
        <x:v>100</x:v>
      </x:c>
      <x:c r="AH430" s="35" t="n">
        <x:v>9</x:v>
      </x:c>
      <x:c r="AI430" s="37" t="n">
        <x:v>100</x:v>
      </x:c>
      <x:c r="AJ430" s="37" t="n">
        <x:v>97.2</x:v>
      </x:c>
      <x:c r="AK430" s="35" t="str">
        <x:v>Yes</x:v>
      </x:c>
      <x:c r="AL430" s="38" t="n">
        <x:f>IF(AA430=0,0,AB430/AA430)</x:f>
        <x:v>1</x:v>
      </x:c>
      <x:c r="AM430" s="38" t="n">
        <x:f>IF(AB430=0,0,AC430/AB430)</x:f>
        <x:v>0.75</x:v>
      </x:c>
      <x:c r="AN430" s="37" t="n">
        <x:f>ROUND((AD430*0.20+AE430*0.20+AF430*0.25+AG430*0.15+MIN(100,AC430*12)*0.20),1)</x:f>
        <x:v>72.8</x:v>
      </x:c>
      <x:c r="AO430" s="37" t="n">
        <x:f>ROUND(MAX(0,MIN(100,(X430*0.35)+(W430/45*100*0.20)+((5-O430)/4*100*0.15)+((5-P430)/4*100*0.10)+((6-Y430)/5*100*0.10)+((100-Z430)*0.10))),1)</x:f>
        <x:v>32.3</x:v>
      </x:c>
      <x:c r="AP430" s="37" t="str">
        <x:f>IF(AO430&gt;=70,"High",IF(AO430&gt;=40,"Moderate","Low"))</x:f>
        <x:v>Low</x:v>
      </x:c>
      <x:c r="AQ430" s="37" t="n">
        <x:f>ROUND(MAX(0,MIN(100,(O430/4*100*0.25)+(P430/4*100*0.20)+(Q430/4*100*0.15)+(Y430/5*100*0.20)+(100-AO430)*0.20)),1)</x:f>
        <x:v>70.8</x:v>
      </x:c>
      <x:c r="AR430" s="37" t="n">
        <x:f>ROUND((AI430*0.20+AJ430*0.15+AN430*0.18+AG430*0.12+Z430*0.15+AQ430*0.20),1)</x:f>
        <x:v>88.8</x:v>
      </x:c>
      <x:c r="AS430" s="39" t="n">
        <x:f>ROUND((AC430*AF430*120)+(AH430*350)+(MAX(0,AI430-75)*220)+(MAX(0,AQ430-60)*100),0)</x:f>
        <x:v>39610</x:v>
      </x:c>
    </x:row>
    <x:row r="431">
      <x:c r="A431" s="35" t="n">
        <x:v>430</x:v>
      </x:c>
      <x:c r="B431" s="35" t="n">
        <x:v>41</x:v>
      </x:c>
      <x:c r="C431" s="35" t="str">
        <x:v>Female</x:v>
      </x:c>
      <x:c r="D431" s="35" t="str">
        <x:v>Research &amp; Development</x:v>
      </x:c>
      <x:c r="E431" s="35" t="str">
        <x:v>R&amp;D Manager</x:v>
      </x:c>
      <x:c r="F431" s="35" t="str">
        <x:v>Marketing</x:v>
      </x:c>
      <x:c r="G431" s="35" t="str">
        <x:v>Single</x:v>
      </x:c>
      <x:c r="H431" s="35" t="n">
        <x:v>3</x:v>
      </x:c>
      <x:c r="I431" s="36" t="n">
        <x:v>13460</x:v>
      </x:c>
      <x:c r="J431" s="35" t="n">
        <x:v>12</x:v>
      </x:c>
      <x:c r="K431" s="35" t="n">
        <x:v>7</x:v>
      </x:c>
      <x:c r="L431" s="35" t="n">
        <x:v>6</x:v>
      </x:c>
      <x:c r="M431" s="35" t="n">
        <x:v>15</x:v>
      </x:c>
      <x:c r="N431" s="35" t="str">
        <x:v>No</x:v>
      </x:c>
      <x:c r="O431" s="35" t="n">
        <x:v>4</x:v>
      </x:c>
      <x:c r="P431" s="35" t="n">
        <x:v>4</x:v>
      </x:c>
      <x:c r="Q431" s="35" t="n">
        <x:v>2</x:v>
      </x:c>
      <x:c r="R431" s="35" t="n">
        <x:v>2</x:v>
      </x:c>
      <x:c r="S431" s="35" t="n">
        <x:v>3</x:v>
      </x:c>
      <x:c r="T431" s="35" t="n">
        <x:v>2</x:v>
      </x:c>
      <x:c r="U431" s="35" t="n">
        <x:v>0</x:v>
      </x:c>
      <x:c r="V431" s="35" t="n">
        <x:v>7</x:v>
      </x:c>
      <x:c r="W431" s="35" t="n">
        <x:v>0</x:v>
      </x:c>
      <x:c r="X431" s="35" t="n">
        <x:v>54</x:v>
      </x:c>
      <x:c r="Y431" s="35" t="n">
        <x:v>5</x:v>
      </x:c>
      <x:c r="Z431" s="35" t="n">
        <x:v>98</x:v>
      </x:c>
      <x:c r="AA431" s="35" t="n">
        <x:v>9</x:v>
      </x:c>
      <x:c r="AB431" s="35" t="n">
        <x:v>6</x:v>
      </x:c>
      <x:c r="AC431" s="35" t="n">
        <x:v>4</x:v>
      </x:c>
      <x:c r="AD431" s="35" t="n">
        <x:v>95</x:v>
      </x:c>
      <x:c r="AE431" s="35" t="n">
        <x:v>90</x:v>
      </x:c>
      <x:c r="AF431" s="35" t="n">
        <x:v>86</x:v>
      </x:c>
      <x:c r="AG431" s="35" t="n">
        <x:v>79</x:v>
      </x:c>
      <x:c r="AH431" s="35" t="n">
        <x:v>7</x:v>
      </x:c>
      <x:c r="AI431" s="37" t="n">
        <x:v>93.5</x:v>
      </x:c>
      <x:c r="AJ431" s="37" t="n">
        <x:v>78.8</x:v>
      </x:c>
      <x:c r="AK431" s="35" t="str">
        <x:v>No</x:v>
      </x:c>
      <x:c r="AL431" s="38" t="n">
        <x:f>IF(AA431=0,0,AB431/AA431)</x:f>
        <x:v>0.6666666666666666</x:v>
      </x:c>
      <x:c r="AM431" s="38" t="n">
        <x:f>IF(AB431=0,0,AC431/AB431)</x:f>
        <x:v>0.6666666666666666</x:v>
      </x:c>
      <x:c r="AN431" s="37" t="n">
        <x:f>ROUND((AD431*0.20+AE431*0.20+AF431*0.25+AG431*0.15+MIN(100,AC431*12)*0.20),1)</x:f>
        <x:v>79.9</x:v>
      </x:c>
      <x:c r="AO431" s="37" t="n">
        <x:f>ROUND(MAX(0,MIN(100,(X431*0.35)+(W431/45*100*0.20)+((5-O431)/4*100*0.15)+((5-P431)/4*100*0.10)+((6-Y431)/5*100*0.10)+((100-Z431)*0.10))),1)</x:f>
        <x:v>27.4</x:v>
      </x:c>
      <x:c r="AP431" s="37" t="str">
        <x:f>IF(AO431&gt;=70,"High",IF(AO431&gt;=40,"Moderate","Low"))</x:f>
        <x:v>Low</x:v>
      </x:c>
      <x:c r="AQ431" s="37" t="n">
        <x:f>ROUND(MAX(0,MIN(100,(O431/4*100*0.25)+(P431/4*100*0.20)+(Q431/4*100*0.15)+(Y431/5*100*0.20)+(100-AO431)*0.20)),1)</x:f>
        <x:v>87</x:v>
      </x:c>
      <x:c r="AR431" s="37" t="n">
        <x:f>ROUND((AI431*0.20+AJ431*0.15+AN431*0.18+AG431*0.12+Z431*0.15+AQ431*0.20),1)</x:f>
        <x:v>86.5</x:v>
      </x:c>
      <x:c r="AS431" s="39" t="n">
        <x:f>ROUND((AC431*AF431*120)+(AH431*350)+(MAX(0,AI431-75)*220)+(MAX(0,AQ431-60)*100),0)</x:f>
        <x:v>50500</x:v>
      </x:c>
    </x:row>
    <x:row r="432">
      <x:c r="A432" s="35" t="n">
        <x:v>431</x:v>
      </x:c>
      <x:c r="B432" s="35" t="n">
        <x:v>53</x:v>
      </x:c>
      <x:c r="C432" s="35" t="str">
        <x:v>Male</x:v>
      </x:c>
      <x:c r="D432" s="35" t="str">
        <x:v>Information Technology</x:v>
      </x:c>
      <x:c r="E432" s="35" t="str">
        <x:v>Software Engineer</x:v>
      </x:c>
      <x:c r="F432" s="35" t="str">
        <x:v>Technical Degree</x:v>
      </x:c>
      <x:c r="G432" s="35" t="str">
        <x:v>Married</x:v>
      </x:c>
      <x:c r="H432" s="35" t="n">
        <x:v>4</x:v>
      </x:c>
      <x:c r="I432" s="36" t="n">
        <x:v>24340</x:v>
      </x:c>
      <x:c r="J432" s="35" t="n">
        <x:v>19</x:v>
      </x:c>
      <x:c r="K432" s="35" t="n">
        <x:v>16</x:v>
      </x:c>
      <x:c r="L432" s="35" t="n">
        <x:v>7</x:v>
      </x:c>
      <x:c r="M432" s="35" t="n">
        <x:v>5</x:v>
      </x:c>
      <x:c r="N432" s="35" t="str">
        <x:v>No</x:v>
      </x:c>
      <x:c r="O432" s="35" t="n">
        <x:v>3</x:v>
      </x:c>
      <x:c r="P432" s="35" t="n">
        <x:v>3</x:v>
      </x:c>
      <x:c r="Q432" s="35" t="n">
        <x:v>3</x:v>
      </x:c>
      <x:c r="R432" s="35" t="n">
        <x:v>3</x:v>
      </x:c>
      <x:c r="S432" s="35" t="n">
        <x:v>3</x:v>
      </x:c>
      <x:c r="T432" s="35" t="n">
        <x:v>2</x:v>
      </x:c>
      <x:c r="U432" s="35" t="n">
        <x:v>1</x:v>
      </x:c>
      <x:c r="V432" s="35" t="n">
        <x:v>4</x:v>
      </x:c>
      <x:c r="W432" s="35" t="n">
        <x:v>16</x:v>
      </x:c>
      <x:c r="X432" s="35" t="n">
        <x:v>61</x:v>
      </x:c>
      <x:c r="Y432" s="35" t="n">
        <x:v>4</x:v>
      </x:c>
      <x:c r="Z432" s="35" t="n">
        <x:v>93</x:v>
      </x:c>
      <x:c r="AA432" s="35" t="n">
        <x:v>4</x:v>
      </x:c>
      <x:c r="AB432" s="35" t="n">
        <x:v>2</x:v>
      </x:c>
      <x:c r="AC432" s="35" t="n">
        <x:v>2</x:v>
      </x:c>
      <x:c r="AD432" s="35" t="n">
        <x:v>82</x:v>
      </x:c>
      <x:c r="AE432" s="35" t="n">
        <x:v>62</x:v>
      </x:c>
      <x:c r="AF432" s="35" t="n">
        <x:v>84</x:v>
      </x:c>
      <x:c r="AG432" s="35" t="n">
        <x:v>80</x:v>
      </x:c>
      <x:c r="AH432" s="35" t="n">
        <x:v>4</x:v>
      </x:c>
      <x:c r="AI432" s="37" t="n">
        <x:v>98.2</x:v>
      </x:c>
      <x:c r="AJ432" s="37" t="n">
        <x:v>97.6</x:v>
      </x:c>
      <x:c r="AK432" s="35" t="str">
        <x:v>No</x:v>
      </x:c>
      <x:c r="AL432" s="38" t="n">
        <x:f>IF(AA432=0,0,AB432/AA432)</x:f>
        <x:v>0.5</x:v>
      </x:c>
      <x:c r="AM432" s="38" t="n">
        <x:f>IF(AB432=0,0,AC432/AB432)</x:f>
        <x:v>1</x:v>
      </x:c>
      <x:c r="AN432" s="37" t="n">
        <x:f>ROUND((AD432*0.20+AE432*0.20+AF432*0.25+AG432*0.15+MIN(100,AC432*12)*0.20),1)</x:f>
        <x:v>66.6</x:v>
      </x:c>
      <x:c r="AO432" s="37" t="n">
        <x:f>ROUND(MAX(0,MIN(100,(X432*0.35)+(W432/45*100*0.20)+((5-O432)/4*100*0.15)+((5-P432)/4*100*0.10)+((6-Y432)/5*100*0.10)+((100-Z432)*0.10))),1)</x:f>
        <x:v>45.7</x:v>
      </x:c>
      <x:c r="AP432" s="37" t="str">
        <x:f>IF(AO432&gt;=70,"High",IF(AO432&gt;=40,"Moderate","Low"))</x:f>
        <x:v>Moderate</x:v>
      </x:c>
      <x:c r="AQ432" s="37" t="n">
        <x:f>ROUND(MAX(0,MIN(100,(O432/4*100*0.25)+(P432/4*100*0.20)+(Q432/4*100*0.15)+(Y432/5*100*0.20)+(100-AO432)*0.20)),1)</x:f>
        <x:v>71.9</x:v>
      </x:c>
      <x:c r="AR432" s="37" t="n">
        <x:f>ROUND((AI432*0.20+AJ432*0.15+AN432*0.18+AG432*0.12+Z432*0.15+AQ432*0.20),1)</x:f>
        <x:v>84.2</x:v>
      </x:c>
      <x:c r="AS432" s="39" t="n">
        <x:f>ROUND((AC432*AF432*120)+(AH432*350)+(MAX(0,AI432-75)*220)+(MAX(0,AQ432-60)*100),0)</x:f>
        <x:v>27854</x:v>
      </x:c>
    </x:row>
    <x:row r="433">
      <x:c r="A433" s="35" t="n">
        <x:v>432</x:v>
      </x:c>
      <x:c r="B433" s="35" t="n">
        <x:v>34</x:v>
      </x:c>
      <x:c r="C433" s="35" t="str">
        <x:v>Female</x:v>
      </x:c>
      <x:c r="D433" s="35" t="str">
        <x:v>Research &amp; Development</x:v>
      </x:c>
      <x:c r="E433" s="35" t="str">
        <x:v>R&amp;D Manager</x:v>
      </x:c>
      <x:c r="F433" s="35" t="str">
        <x:v>Computer Science</x:v>
      </x:c>
      <x:c r="G433" s="35" t="str">
        <x:v>Married</x:v>
      </x:c>
      <x:c r="H433" s="35" t="n">
        <x:v>1</x:v>
      </x:c>
      <x:c r="I433" s="36" t="n">
        <x:v>7280</x:v>
      </x:c>
      <x:c r="J433" s="35" t="n">
        <x:v>11</x:v>
      </x:c>
      <x:c r="K433" s="35" t="n">
        <x:v>6</x:v>
      </x:c>
      <x:c r="L433" s="35" t="n">
        <x:v>2</x:v>
      </x:c>
      <x:c r="M433" s="35" t="n">
        <x:v>7</x:v>
      </x:c>
      <x:c r="N433" s="35" t="str">
        <x:v>No</x:v>
      </x:c>
      <x:c r="O433" s="35" t="n">
        <x:v>3</x:v>
      </x:c>
      <x:c r="P433" s="35" t="n">
        <x:v>4</x:v>
      </x:c>
      <x:c r="Q433" s="35" t="n">
        <x:v>3</x:v>
      </x:c>
      <x:c r="R433" s="35" t="n">
        <x:v>3</x:v>
      </x:c>
      <x:c r="S433" s="35" t="n">
        <x:v>3</x:v>
      </x:c>
      <x:c r="T433" s="35" t="n">
        <x:v>0</x:v>
      </x:c>
      <x:c r="U433" s="35" t="n">
        <x:v>0</x:v>
      </x:c>
      <x:c r="V433" s="35" t="n">
        <x:v>4</x:v>
      </x:c>
      <x:c r="W433" s="35" t="n">
        <x:v>0</x:v>
      </x:c>
      <x:c r="X433" s="35" t="n">
        <x:v>54</x:v>
      </x:c>
      <x:c r="Y433" s="35" t="n">
        <x:v>5</x:v>
      </x:c>
      <x:c r="Z433" s="35" t="n">
        <x:v>100</x:v>
      </x:c>
      <x:c r="AA433" s="35" t="n">
        <x:v>4</x:v>
      </x:c>
      <x:c r="AB433" s="35" t="n">
        <x:v>3</x:v>
      </x:c>
      <x:c r="AC433" s="35" t="n">
        <x:v>3</x:v>
      </x:c>
      <x:c r="AD433" s="35" t="n">
        <x:v>74</x:v>
      </x:c>
      <x:c r="AE433" s="35" t="n">
        <x:v>77</x:v>
      </x:c>
      <x:c r="AF433" s="35" t="n">
        <x:v>81</x:v>
      </x:c>
      <x:c r="AG433" s="35" t="n">
        <x:v>72</x:v>
      </x:c>
      <x:c r="AH433" s="35" t="n">
        <x:v>6</x:v>
      </x:c>
      <x:c r="AI433" s="37" t="n">
        <x:v>92.7</x:v>
      </x:c>
      <x:c r="AJ433" s="37" t="n">
        <x:v>93</x:v>
      </x:c>
      <x:c r="AK433" s="35" t="str">
        <x:v>No</x:v>
      </x:c>
      <x:c r="AL433" s="38" t="n">
        <x:f>IF(AA433=0,0,AB433/AA433)</x:f>
        <x:v>0.75</x:v>
      </x:c>
      <x:c r="AM433" s="38" t="n">
        <x:f>IF(AB433=0,0,AC433/AB433)</x:f>
        <x:v>1</x:v>
      </x:c>
      <x:c r="AN433" s="37" t="n">
        <x:f>ROUND((AD433*0.20+AE433*0.20+AF433*0.25+AG433*0.15+MIN(100,AC433*12)*0.20),1)</x:f>
        <x:v>68.5</x:v>
      </x:c>
      <x:c r="AO433" s="37" t="n">
        <x:f>ROUND(MAX(0,MIN(100,(X433*0.35)+(W433/45*100*0.20)+((5-O433)/4*100*0.15)+((5-P433)/4*100*0.10)+((6-Y433)/5*100*0.10)+((100-Z433)*0.10))),1)</x:f>
        <x:v>30.9</x:v>
      </x:c>
      <x:c r="AP433" s="37" t="str">
        <x:f>IF(AO433&gt;=70,"High",IF(AO433&gt;=40,"Moderate","Low"))</x:f>
        <x:v>Low</x:v>
      </x:c>
      <x:c r="AQ433" s="37" t="n">
        <x:f>ROUND(MAX(0,MIN(100,(O433/4*100*0.25)+(P433/4*100*0.20)+(Q433/4*100*0.15)+(Y433/5*100*0.20)+(100-AO433)*0.20)),1)</x:f>
        <x:v>83.8</x:v>
      </x:c>
      <x:c r="AR433" s="37" t="n">
        <x:f>ROUND((AI433*0.20+AJ433*0.15+AN433*0.18+AG433*0.12+Z433*0.15+AQ433*0.20),1)</x:f>
        <x:v>85.2</x:v>
      </x:c>
      <x:c r="AS433" s="39" t="n">
        <x:f>ROUND((AC433*AF433*120)+(AH433*350)+(MAX(0,AI433-75)*220)+(MAX(0,AQ433-60)*100),0)</x:f>
        <x:v>37534</x:v>
      </x:c>
    </x:row>
    <x:row r="434">
      <x:c r="A434" s="35" t="n">
        <x:v>433</x:v>
      </x:c>
      <x:c r="B434" s="35" t="n">
        <x:v>35</x:v>
      </x:c>
      <x:c r="C434" s="35" t="str">
        <x:v>Male</x:v>
      </x:c>
      <x:c r="D434" s="35" t="str">
        <x:v>Research &amp; Development</x:v>
      </x:c>
      <x:c r="E434" s="35" t="str">
        <x:v>R&amp;D Manager</x:v>
      </x:c>
      <x:c r="F434" s="35" t="str">
        <x:v>Technical Degree</x:v>
      </x:c>
      <x:c r="G434" s="35" t="str">
        <x:v>Married</x:v>
      </x:c>
      <x:c r="H434" s="35" t="n">
        <x:v>1</x:v>
      </x:c>
      <x:c r="I434" s="36" t="n">
        <x:v>5760</x:v>
      </x:c>
      <x:c r="J434" s="35" t="n">
        <x:v>9</x:v>
      </x:c>
      <x:c r="K434" s="35" t="n">
        <x:v>4</x:v>
      </x:c>
      <x:c r="L434" s="35" t="n">
        <x:v>3</x:v>
      </x:c>
      <x:c r="M434" s="35" t="n">
        <x:v>3</x:v>
      </x:c>
      <x:c r="N434" s="35" t="str">
        <x:v>No</x:v>
      </x:c>
      <x:c r="O434" s="35" t="n">
        <x:v>2</x:v>
      </x:c>
      <x:c r="P434" s="35" t="n">
        <x:v>2</x:v>
      </x:c>
      <x:c r="Q434" s="35" t="n">
        <x:v>4</x:v>
      </x:c>
      <x:c r="R434" s="35" t="n">
        <x:v>3</x:v>
      </x:c>
      <x:c r="S434" s="35" t="n">
        <x:v>4</x:v>
      </x:c>
      <x:c r="T434" s="35" t="n">
        <x:v>2</x:v>
      </x:c>
      <x:c r="U434" s="35" t="n">
        <x:v>2</x:v>
      </x:c>
      <x:c r="V434" s="35" t="n">
        <x:v>7</x:v>
      </x:c>
      <x:c r="W434" s="35" t="n">
        <x:v>0</x:v>
      </x:c>
      <x:c r="X434" s="35" t="n">
        <x:v>81</x:v>
      </x:c>
      <x:c r="Y434" s="35" t="n">
        <x:v>4</x:v>
      </x:c>
      <x:c r="Z434" s="35" t="n">
        <x:v>100</x:v>
      </x:c>
      <x:c r="AA434" s="35" t="n">
        <x:v>7</x:v>
      </x:c>
      <x:c r="AB434" s="35" t="n">
        <x:v>5</x:v>
      </x:c>
      <x:c r="AC434" s="35" t="n">
        <x:v>4</x:v>
      </x:c>
      <x:c r="AD434" s="35" t="n">
        <x:v>86</x:v>
      </x:c>
      <x:c r="AE434" s="35" t="n">
        <x:v>90</x:v>
      </x:c>
      <x:c r="AF434" s="35" t="n">
        <x:v>68</x:v>
      </x:c>
      <x:c r="AG434" s="35" t="n">
        <x:v>100</x:v>
      </x:c>
      <x:c r="AH434" s="35" t="n">
        <x:v>9</x:v>
      </x:c>
      <x:c r="AI434" s="37" t="n">
        <x:v>100</x:v>
      </x:c>
      <x:c r="AJ434" s="37" t="n">
        <x:v>95.3</x:v>
      </x:c>
      <x:c r="AK434" s="35" t="str">
        <x:v>No</x:v>
      </x:c>
      <x:c r="AL434" s="38" t="n">
        <x:f>IF(AA434=0,0,AB434/AA434)</x:f>
        <x:v>0.7142857142857143</x:v>
      </x:c>
      <x:c r="AM434" s="38" t="n">
        <x:f>IF(AB434=0,0,AC434/AB434)</x:f>
        <x:v>0.8</x:v>
      </x:c>
      <x:c r="AN434" s="37" t="n">
        <x:f>ROUND((AD434*0.20+AE434*0.20+AF434*0.25+AG434*0.15+MIN(100,AC434*12)*0.20),1)</x:f>
        <x:v>76.8</x:v>
      </x:c>
      <x:c r="AO434" s="37" t="n">
        <x:f>ROUND(MAX(0,MIN(100,(X434*0.35)+(W434/45*100*0.20)+((5-O434)/4*100*0.15)+((5-P434)/4*100*0.10)+((6-Y434)/5*100*0.10)+((100-Z434)*0.10))),1)</x:f>
        <x:v>51.1</x:v>
      </x:c>
      <x:c r="AP434" s="37" t="str">
        <x:f>IF(AO434&gt;=70,"High",IF(AO434&gt;=40,"Moderate","Low"))</x:f>
        <x:v>Moderate</x:v>
      </x:c>
      <x:c r="AQ434" s="37" t="n">
        <x:f>ROUND(MAX(0,MIN(100,(O434/4*100*0.25)+(P434/4*100*0.20)+(Q434/4*100*0.15)+(Y434/5*100*0.20)+(100-AO434)*0.20)),1)</x:f>
        <x:v>63.3</x:v>
      </x:c>
      <x:c r="AR434" s="37" t="n">
        <x:f>ROUND((AI434*0.20+AJ434*0.15+AN434*0.18+AG434*0.12+Z434*0.15+AQ434*0.20),1)</x:f>
        <x:v>87.8</x:v>
      </x:c>
      <x:c r="AS434" s="39" t="n">
        <x:f>ROUND((AC434*AF434*120)+(AH434*350)+(MAX(0,AI434-75)*220)+(MAX(0,AQ434-60)*100),0)</x:f>
        <x:v>41620</x:v>
      </x:c>
    </x:row>
    <x:row r="435">
      <x:c r="A435" s="35" t="n">
        <x:v>434</x:v>
      </x:c>
      <x:c r="B435" s="35" t="n">
        <x:v>37</x:v>
      </x:c>
      <x:c r="C435" s="35" t="str">
        <x:v>Male</x:v>
      </x:c>
      <x:c r="D435" s="35" t="str">
        <x:v>Sales</x:v>
      </x:c>
      <x:c r="E435" s="35" t="str">
        <x:v>Account Manager</x:v>
      </x:c>
      <x:c r="F435" s="35" t="str">
        <x:v>Life Sciences</x:v>
      </x:c>
      <x:c r="G435" s="35" t="str">
        <x:v>Single</x:v>
      </x:c>
      <x:c r="H435" s="35" t="n">
        <x:v>1</x:v>
      </x:c>
      <x:c r="I435" s="36" t="n">
        <x:v>5630</x:v>
      </x:c>
      <x:c r="J435" s="35" t="n">
        <x:v>8</x:v>
      </x:c>
      <x:c r="K435" s="35" t="n">
        <x:v>2</x:v>
      </x:c>
      <x:c r="L435" s="35" t="n">
        <x:v>1</x:v>
      </x:c>
      <x:c r="M435" s="35" t="n">
        <x:v>2</x:v>
      </x:c>
      <x:c r="N435" s="35" t="str">
        <x:v>No</x:v>
      </x:c>
      <x:c r="O435" s="35" t="n">
        <x:v>4</x:v>
      </x:c>
      <x:c r="P435" s="35" t="n">
        <x:v>3</x:v>
      </x:c>
      <x:c r="Q435" s="35" t="n">
        <x:v>4</x:v>
      </x:c>
      <x:c r="R435" s="35" t="n">
        <x:v>4</x:v>
      </x:c>
      <x:c r="S435" s="35" t="n">
        <x:v>3</x:v>
      </x:c>
      <x:c r="T435" s="35" t="n">
        <x:v>3</x:v>
      </x:c>
      <x:c r="U435" s="35" t="n">
        <x:v>0</x:v>
      </x:c>
      <x:c r="V435" s="35" t="n">
        <x:v>8</x:v>
      </x:c>
      <x:c r="W435" s="35" t="n">
        <x:v>5</x:v>
      </x:c>
      <x:c r="X435" s="35" t="n">
        <x:v>67</x:v>
      </x:c>
      <x:c r="Y435" s="35" t="n">
        <x:v>5</x:v>
      </x:c>
      <x:c r="Z435" s="35" t="n">
        <x:v>100</x:v>
      </x:c>
      <x:c r="AA435" s="35" t="n">
        <x:v>5</x:v>
      </x:c>
      <x:c r="AB435" s="35" t="n">
        <x:v>4</x:v>
      </x:c>
      <x:c r="AC435" s="35" t="n">
        <x:v>4</x:v>
      </x:c>
      <x:c r="AD435" s="35" t="n">
        <x:v>97</x:v>
      </x:c>
      <x:c r="AE435" s="35" t="n">
        <x:v>76</x:v>
      </x:c>
      <x:c r="AF435" s="35" t="n">
        <x:v>97</x:v>
      </x:c>
      <x:c r="AG435" s="35" t="n">
        <x:v>97</x:v>
      </x:c>
      <x:c r="AH435" s="35" t="n">
        <x:v>4</x:v>
      </x:c>
      <x:c r="AI435" s="37" t="n">
        <x:v>100</x:v>
      </x:c>
      <x:c r="AJ435" s="37" t="n">
        <x:v>90.8</x:v>
      </x:c>
      <x:c r="AK435" s="35" t="str">
        <x:v>No</x:v>
      </x:c>
      <x:c r="AL435" s="38" t="n">
        <x:f>IF(AA435=0,0,AB435/AA435)</x:f>
        <x:v>0.8</x:v>
      </x:c>
      <x:c r="AM435" s="38" t="n">
        <x:f>IF(AB435=0,0,AC435/AB435)</x:f>
        <x:v>1</x:v>
      </x:c>
      <x:c r="AN435" s="37" t="n">
        <x:f>ROUND((AD435*0.20+AE435*0.20+AF435*0.25+AG435*0.15+MIN(100,AC435*12)*0.20),1)</x:f>
        <x:v>83</x:v>
      </x:c>
      <x:c r="AO435" s="37" t="n">
        <x:f>ROUND(MAX(0,MIN(100,(X435*0.35)+(W435/45*100*0.20)+((5-O435)/4*100*0.15)+((5-P435)/4*100*0.10)+((6-Y435)/5*100*0.10)+((100-Z435)*0.10))),1)</x:f>
        <x:v>36.4</x:v>
      </x:c>
      <x:c r="AP435" s="37" t="str">
        <x:f>IF(AO435&gt;=70,"High",IF(AO435&gt;=40,"Moderate","Low"))</x:f>
        <x:v>Low</x:v>
      </x:c>
      <x:c r="AQ435" s="37" t="n">
        <x:f>ROUND(MAX(0,MIN(100,(O435/4*100*0.25)+(P435/4*100*0.20)+(Q435/4*100*0.15)+(Y435/5*100*0.20)+(100-AO435)*0.20)),1)</x:f>
        <x:v>87.7</x:v>
      </x:c>
      <x:c r="AR435" s="37" t="n">
        <x:f>ROUND((AI435*0.20+AJ435*0.15+AN435*0.18+AG435*0.12+Z435*0.15+AQ435*0.20),1)</x:f>
        <x:v>92.7</x:v>
      </x:c>
      <x:c r="AS435" s="39" t="n">
        <x:f>ROUND((AC435*AF435*120)+(AH435*350)+(MAX(0,AI435-75)*220)+(MAX(0,AQ435-60)*100),0)</x:f>
        <x:v>56230</x:v>
      </x:c>
    </x:row>
    <x:row r="436">
      <x:c r="A436" s="35" t="n">
        <x:v>435</x:v>
      </x:c>
      <x:c r="B436" s="35" t="n">
        <x:v>39</x:v>
      </x:c>
      <x:c r="C436" s="35" t="str">
        <x:v>Male</x:v>
      </x:c>
      <x:c r="D436" s="35" t="str">
        <x:v>Finance</x:v>
      </x:c>
      <x:c r="E436" s="35" t="str">
        <x:v>Financial Analyst</x:v>
      </x:c>
      <x:c r="F436" s="35" t="str">
        <x:v>Marketing</x:v>
      </x:c>
      <x:c r="G436" s="35" t="str">
        <x:v>Divorced</x:v>
      </x:c>
      <x:c r="H436" s="35" t="n">
        <x:v>2</x:v>
      </x:c>
      <x:c r="I436" s="36" t="n">
        <x:v>7050</x:v>
      </x:c>
      <x:c r="J436" s="35" t="n">
        <x:v>8</x:v>
      </x:c>
      <x:c r="K436" s="35" t="n">
        <x:v>5</x:v>
      </x:c>
      <x:c r="L436" s="35" t="n">
        <x:v>2</x:v>
      </x:c>
      <x:c r="M436" s="35" t="n">
        <x:v>29</x:v>
      </x:c>
      <x:c r="N436" s="35" t="str">
        <x:v>No</x:v>
      </x:c>
      <x:c r="O436" s="35" t="n">
        <x:v>3</x:v>
      </x:c>
      <x:c r="P436" s="35" t="n">
        <x:v>3</x:v>
      </x:c>
      <x:c r="Q436" s="35" t="n">
        <x:v>3</x:v>
      </x:c>
      <x:c r="R436" s="35" t="n">
        <x:v>4</x:v>
      </x:c>
      <x:c r="S436" s="35" t="n">
        <x:v>3</x:v>
      </x:c>
      <x:c r="T436" s="35" t="n">
        <x:v>3</x:v>
      </x:c>
      <x:c r="U436" s="35" t="n">
        <x:v>0</x:v>
      </x:c>
      <x:c r="V436" s="35" t="n">
        <x:v>0</x:v>
      </x:c>
      <x:c r="W436" s="35" t="n">
        <x:v>0</x:v>
      </x:c>
      <x:c r="X436" s="35" t="n">
        <x:v>70</x:v>
      </x:c>
      <x:c r="Y436" s="35" t="n">
        <x:v>4</x:v>
      </x:c>
      <x:c r="Z436" s="35" t="n">
        <x:v>100</x:v>
      </x:c>
      <x:c r="AA436" s="35" t="n">
        <x:v>9</x:v>
      </x:c>
      <x:c r="AB436" s="35" t="n">
        <x:v>6</x:v>
      </x:c>
      <x:c r="AC436" s="35" t="n">
        <x:v>5</x:v>
      </x:c>
      <x:c r="AD436" s="35" t="n">
        <x:v>66</x:v>
      </x:c>
      <x:c r="AE436" s="35" t="n">
        <x:v>65</x:v>
      </x:c>
      <x:c r="AF436" s="35" t="n">
        <x:v>96</x:v>
      </x:c>
      <x:c r="AG436" s="35" t="n">
        <x:v>82</x:v>
      </x:c>
      <x:c r="AH436" s="35" t="n">
        <x:v>9</x:v>
      </x:c>
      <x:c r="AI436" s="37" t="n">
        <x:v>94.9</x:v>
      </x:c>
      <x:c r="AJ436" s="37" t="n">
        <x:v>93.4</x:v>
      </x:c>
      <x:c r="AK436" s="35" t="str">
        <x:v>No</x:v>
      </x:c>
      <x:c r="AL436" s="38" t="n">
        <x:f>IF(AA436=0,0,AB436/AA436)</x:f>
        <x:v>0.6666666666666666</x:v>
      </x:c>
      <x:c r="AM436" s="38" t="n">
        <x:f>IF(AB436=0,0,AC436/AB436)</x:f>
        <x:v>0.8333333333333334</x:v>
      </x:c>
      <x:c r="AN436" s="37" t="n">
        <x:f>ROUND((AD436*0.20+AE436*0.20+AF436*0.25+AG436*0.15+MIN(100,AC436*12)*0.20),1)</x:f>
        <x:v>74.5</x:v>
      </x:c>
      <x:c r="AO436" s="37" t="n">
        <x:f>ROUND(MAX(0,MIN(100,(X436*0.35)+(W436/45*100*0.20)+((5-O436)/4*100*0.15)+((5-P436)/4*100*0.10)+((6-Y436)/5*100*0.10)+((100-Z436)*0.10))),1)</x:f>
        <x:v>41</x:v>
      </x:c>
      <x:c r="AP436" s="37" t="str">
        <x:f>IF(AO436&gt;=70,"High",IF(AO436&gt;=40,"Moderate","Low"))</x:f>
        <x:v>Moderate</x:v>
      </x:c>
      <x:c r="AQ436" s="37" t="n">
        <x:f>ROUND(MAX(0,MIN(100,(O436/4*100*0.25)+(P436/4*100*0.20)+(Q436/4*100*0.15)+(Y436/5*100*0.20)+(100-AO436)*0.20)),1)</x:f>
        <x:v>72.8</x:v>
      </x:c>
      <x:c r="AR436" s="37" t="n">
        <x:f>ROUND((AI436*0.20+AJ436*0.15+AN436*0.18+AG436*0.12+Z436*0.15+AQ436*0.20),1)</x:f>
        <x:v>85.8</x:v>
      </x:c>
      <x:c r="AS436" s="39" t="n">
        <x:f>ROUND((AC436*AF436*120)+(AH436*350)+(MAX(0,AI436-75)*220)+(MAX(0,AQ436-60)*100),0)</x:f>
        <x:v>66408</x:v>
      </x:c>
    </x:row>
    <x:row r="437">
      <x:c r="A437" s="35" t="n">
        <x:v>436</x:v>
      </x:c>
      <x:c r="B437" s="35" t="n">
        <x:v>57</x:v>
      </x:c>
      <x:c r="C437" s="35" t="str">
        <x:v>Male</x:v>
      </x:c>
      <x:c r="D437" s="35" t="str">
        <x:v>Finance</x:v>
      </x:c>
      <x:c r="E437" s="35" t="str">
        <x:v>Financial Analyst</x:v>
      </x:c>
      <x:c r="F437" s="35" t="str">
        <x:v>Technical Degree</x:v>
      </x:c>
      <x:c r="G437" s="35" t="str">
        <x:v>Married</x:v>
      </x:c>
      <x:c r="H437" s="35" t="n">
        <x:v>5</x:v>
      </x:c>
      <x:c r="I437" s="36" t="n">
        <x:v>23370</x:v>
      </x:c>
      <x:c r="J437" s="35" t="n">
        <x:v>30</x:v>
      </x:c>
      <x:c r="K437" s="35" t="n">
        <x:v>24</x:v>
      </x:c>
      <x:c r="L437" s="35" t="n">
        <x:v>12</x:v>
      </x:c>
      <x:c r="M437" s="35" t="n">
        <x:v>5</x:v>
      </x:c>
      <x:c r="N437" s="35" t="str">
        <x:v>Yes</x:v>
      </x:c>
      <x:c r="O437" s="35" t="n">
        <x:v>2</x:v>
      </x:c>
      <x:c r="P437" s="35" t="n">
        <x:v>3</x:v>
      </x:c>
      <x:c r="Q437" s="35" t="n">
        <x:v>3</x:v>
      </x:c>
      <x:c r="R437" s="35" t="n">
        <x:v>3</x:v>
      </x:c>
      <x:c r="S437" s="35" t="n">
        <x:v>3</x:v>
      </x:c>
      <x:c r="T437" s="35" t="n">
        <x:v>4</x:v>
      </x:c>
      <x:c r="U437" s="35" t="n">
        <x:v>0</x:v>
      </x:c>
      <x:c r="V437" s="35" t="n">
        <x:v>3</x:v>
      </x:c>
      <x:c r="W437" s="35" t="n">
        <x:v>12</x:v>
      </x:c>
      <x:c r="X437" s="35" t="n">
        <x:v>75</x:v>
      </x:c>
      <x:c r="Y437" s="35" t="n">
        <x:v>4</x:v>
      </x:c>
      <x:c r="Z437" s="35" t="n">
        <x:v>94</x:v>
      </x:c>
      <x:c r="AA437" s="35" t="n">
        <x:v>5</x:v>
      </x:c>
      <x:c r="AB437" s="35" t="n">
        <x:v>4</x:v>
      </x:c>
      <x:c r="AC437" s="35" t="n">
        <x:v>2</x:v>
      </x:c>
      <x:c r="AD437" s="35" t="n">
        <x:v>74</x:v>
      </x:c>
      <x:c r="AE437" s="35" t="n">
        <x:v>76</x:v>
      </x:c>
      <x:c r="AF437" s="35" t="n">
        <x:v>80</x:v>
      </x:c>
      <x:c r="AG437" s="35" t="n">
        <x:v>86</x:v>
      </x:c>
      <x:c r="AH437" s="35" t="n">
        <x:v>5</x:v>
      </x:c>
      <x:c r="AI437" s="37" t="n">
        <x:v>95.4</x:v>
      </x:c>
      <x:c r="AJ437" s="37" t="n">
        <x:v>85.6</x:v>
      </x:c>
      <x:c r="AK437" s="35" t="str">
        <x:v>No</x:v>
      </x:c>
      <x:c r="AL437" s="38" t="n">
        <x:f>IF(AA437=0,0,AB437/AA437)</x:f>
        <x:v>0.8</x:v>
      </x:c>
      <x:c r="AM437" s="38" t="n">
        <x:f>IF(AB437=0,0,AC437/AB437)</x:f>
        <x:v>0.5</x:v>
      </x:c>
      <x:c r="AN437" s="37" t="n">
        <x:f>ROUND((AD437*0.20+AE437*0.20+AF437*0.25+AG437*0.15+MIN(100,AC437*12)*0.20),1)</x:f>
        <x:v>67.7</x:v>
      </x:c>
      <x:c r="AO437" s="37" t="n">
        <x:f>ROUND(MAX(0,MIN(100,(X437*0.35)+(W437/45*100*0.20)+((5-O437)/4*100*0.15)+((5-P437)/4*100*0.10)+((6-Y437)/5*100*0.10)+((100-Z437)*0.10))),1)</x:f>
        <x:v>52.4</x:v>
      </x:c>
      <x:c r="AP437" s="37" t="str">
        <x:f>IF(AO437&gt;=70,"High",IF(AO437&gt;=40,"Moderate","Low"))</x:f>
        <x:v>Moderate</x:v>
      </x:c>
      <x:c r="AQ437" s="37" t="n">
        <x:f>ROUND(MAX(0,MIN(100,(O437/4*100*0.25)+(P437/4*100*0.20)+(Q437/4*100*0.15)+(Y437/5*100*0.20)+(100-AO437)*0.20)),1)</x:f>
        <x:v>64.3</x:v>
      </x:c>
      <x:c r="AR437" s="37" t="n">
        <x:f>ROUND((AI437*0.20+AJ437*0.15+AN437*0.18+AG437*0.12+Z437*0.15+AQ437*0.20),1)</x:f>
        <x:v>81.4</x:v>
      </x:c>
      <x:c r="AS437" s="39" t="n">
        <x:f>ROUND((AC437*AF437*120)+(AH437*350)+(MAX(0,AI437-75)*220)+(MAX(0,AQ437-60)*100),0)</x:f>
        <x:v>25868</x:v>
      </x:c>
    </x:row>
    <x:row r="438">
      <x:c r="A438" s="35" t="n">
        <x:v>437</x:v>
      </x:c>
      <x:c r="B438" s="35" t="n">
        <x:v>36</x:v>
      </x:c>
      <x:c r="C438" s="35" t="str">
        <x:v>Male</x:v>
      </x:c>
      <x:c r="D438" s="35" t="str">
        <x:v>Finance</x:v>
      </x:c>
      <x:c r="E438" s="35" t="str">
        <x:v>Finance Manager</x:v>
      </x:c>
      <x:c r="F438" s="35" t="str">
        <x:v>Business</x:v>
      </x:c>
      <x:c r="G438" s="35" t="str">
        <x:v>Single</x:v>
      </x:c>
      <x:c r="H438" s="35" t="n">
        <x:v>1</x:v>
      </x:c>
      <x:c r="I438" s="36" t="n">
        <x:v>4920</x:v>
      </x:c>
      <x:c r="J438" s="35" t="n">
        <x:v>10</x:v>
      </x:c>
      <x:c r="K438" s="35" t="n">
        <x:v>8</x:v>
      </x:c>
      <x:c r="L438" s="35" t="n">
        <x:v>6</x:v>
      </x:c>
      <x:c r="M438" s="35" t="n">
        <x:v>13</x:v>
      </x:c>
      <x:c r="N438" s="35" t="str">
        <x:v>No</x:v>
      </x:c>
      <x:c r="O438" s="35" t="n">
        <x:v>3</x:v>
      </x:c>
      <x:c r="P438" s="35" t="n">
        <x:v>3</x:v>
      </x:c>
      <x:c r="Q438" s="35" t="n">
        <x:v>2</x:v>
      </x:c>
      <x:c r="R438" s="35" t="n">
        <x:v>4</x:v>
      </x:c>
      <x:c r="S438" s="35" t="n">
        <x:v>3</x:v>
      </x:c>
      <x:c r="T438" s="35" t="n">
        <x:v>4</x:v>
      </x:c>
      <x:c r="U438" s="35" t="n">
        <x:v>2</x:v>
      </x:c>
      <x:c r="V438" s="35" t="n">
        <x:v>3</x:v>
      </x:c>
      <x:c r="W438" s="35" t="n">
        <x:v>6</x:v>
      </x:c>
      <x:c r="X438" s="35" t="n">
        <x:v>36</x:v>
      </x:c>
      <x:c r="Y438" s="35" t="n">
        <x:v>4</x:v>
      </x:c>
      <x:c r="Z438" s="35" t="n">
        <x:v>100</x:v>
      </x:c>
      <x:c r="AA438" s="35" t="n">
        <x:v>4</x:v>
      </x:c>
      <x:c r="AB438" s="35" t="n">
        <x:v>3</x:v>
      </x:c>
      <x:c r="AC438" s="35" t="n">
        <x:v>2</x:v>
      </x:c>
      <x:c r="AD438" s="35" t="n">
        <x:v>69</x:v>
      </x:c>
      <x:c r="AE438" s="35" t="n">
        <x:v>72</x:v>
      </x:c>
      <x:c r="AF438" s="35" t="n">
        <x:v>55</x:v>
      </x:c>
      <x:c r="AG438" s="35" t="n">
        <x:v>100</x:v>
      </x:c>
      <x:c r="AH438" s="35" t="n">
        <x:v>6</x:v>
      </x:c>
      <x:c r="AI438" s="37" t="n">
        <x:v>96.7</x:v>
      </x:c>
      <x:c r="AJ438" s="37" t="n">
        <x:v>95.6</x:v>
      </x:c>
      <x:c r="AK438" s="35" t="str">
        <x:v>No</x:v>
      </x:c>
      <x:c r="AL438" s="38" t="n">
        <x:f>IF(AA438=0,0,AB438/AA438)</x:f>
        <x:v>0.75</x:v>
      </x:c>
      <x:c r="AM438" s="38" t="n">
        <x:f>IF(AB438=0,0,AC438/AB438)</x:f>
        <x:v>0.6666666666666666</x:v>
      </x:c>
      <x:c r="AN438" s="37" t="n">
        <x:f>ROUND((AD438*0.20+AE438*0.20+AF438*0.25+AG438*0.15+MIN(100,AC438*12)*0.20),1)</x:f>
        <x:v>61.8</x:v>
      </x:c>
      <x:c r="AO438" s="37" t="n">
        <x:f>ROUND(MAX(0,MIN(100,(X438*0.35)+(W438/45*100*0.20)+((5-O438)/4*100*0.15)+((5-P438)/4*100*0.10)+((6-Y438)/5*100*0.10)+((100-Z438)*0.10))),1)</x:f>
        <x:v>31.8</x:v>
      </x:c>
      <x:c r="AP438" s="37" t="str">
        <x:f>IF(AO438&gt;=70,"High",IF(AO438&gt;=40,"Moderate","Low"))</x:f>
        <x:v>Low</x:v>
      </x:c>
      <x:c r="AQ438" s="37" t="n">
        <x:f>ROUND(MAX(0,MIN(100,(O438/4*100*0.25)+(P438/4*100*0.20)+(Q438/4*100*0.15)+(Y438/5*100*0.20)+(100-AO438)*0.20)),1)</x:f>
        <x:v>70.9</x:v>
      </x:c>
      <x:c r="AR438" s="37" t="n">
        <x:f>ROUND((AI438*0.20+AJ438*0.15+AN438*0.18+AG438*0.12+Z438*0.15+AQ438*0.20),1)</x:f>
        <x:v>86</x:v>
      </x:c>
      <x:c r="AS438" s="39" t="n">
        <x:f>ROUND((AC438*AF438*120)+(AH438*350)+(MAX(0,AI438-75)*220)+(MAX(0,AQ438-60)*100),0)</x:f>
        <x:v>21164</x:v>
      </x:c>
    </x:row>
    <x:row r="439">
      <x:c r="A439" s="35" t="n">
        <x:v>438</x:v>
      </x:c>
      <x:c r="B439" s="35" t="n">
        <x:v>47</x:v>
      </x:c>
      <x:c r="C439" s="35" t="str">
        <x:v>Male</x:v>
      </x:c>
      <x:c r="D439" s="35" t="str">
        <x:v>Research &amp; Development</x:v>
      </x:c>
      <x:c r="E439" s="35" t="str">
        <x:v>Laboratory Technician</x:v>
      </x:c>
      <x:c r="F439" s="35" t="str">
        <x:v>Technical Degree</x:v>
      </x:c>
      <x:c r="G439" s="35" t="str">
        <x:v>Married</x:v>
      </x:c>
      <x:c r="H439" s="35" t="n">
        <x:v>2</x:v>
      </x:c>
      <x:c r="I439" s="36" t="n">
        <x:v>7010</x:v>
      </x:c>
      <x:c r="J439" s="35" t="n">
        <x:v>22</x:v>
      </x:c>
      <x:c r="K439" s="35" t="n">
        <x:v>14</x:v>
      </x:c>
      <x:c r="L439" s="35" t="n">
        <x:v>10</x:v>
      </x:c>
      <x:c r="M439" s="35" t="n">
        <x:v>11</x:v>
      </x:c>
      <x:c r="N439" s="35" t="str">
        <x:v>No</x:v>
      </x:c>
      <x:c r="O439" s="35" t="n">
        <x:v>1</x:v>
      </x:c>
      <x:c r="P439" s="35" t="n">
        <x:v>3</x:v>
      </x:c>
      <x:c r="Q439" s="35" t="n">
        <x:v>4</x:v>
      </x:c>
      <x:c r="R439" s="35" t="n">
        <x:v>3</x:v>
      </x:c>
      <x:c r="S439" s="35" t="n">
        <x:v>3</x:v>
      </x:c>
      <x:c r="T439" s="35" t="n">
        <x:v>5</x:v>
      </x:c>
      <x:c r="U439" s="35" t="n">
        <x:v>0</x:v>
      </x:c>
      <x:c r="V439" s="35" t="n">
        <x:v>10</x:v>
      </x:c>
      <x:c r="W439" s="35" t="n">
        <x:v>0</x:v>
      </x:c>
      <x:c r="X439" s="35" t="n">
        <x:v>70</x:v>
      </x:c>
      <x:c r="Y439" s="35" t="n">
        <x:v>3</x:v>
      </x:c>
      <x:c r="Z439" s="35" t="n">
        <x:v>100</x:v>
      </x:c>
      <x:c r="AA439" s="35" t="n">
        <x:v>4</x:v>
      </x:c>
      <x:c r="AB439" s="35" t="n">
        <x:v>2</x:v>
      </x:c>
      <x:c r="AC439" s="35" t="n">
        <x:v>2</x:v>
      </x:c>
      <x:c r="AD439" s="35" t="n">
        <x:v>93</x:v>
      </x:c>
      <x:c r="AE439" s="35" t="n">
        <x:v>81</x:v>
      </x:c>
      <x:c r="AF439" s="35" t="n">
        <x:v>79</x:v>
      </x:c>
      <x:c r="AG439" s="35" t="n">
        <x:v>93</x:v>
      </x:c>
      <x:c r="AH439" s="35" t="n">
        <x:v>6</x:v>
      </x:c>
      <x:c r="AI439" s="37" t="n">
        <x:v>96.1</x:v>
      </x:c>
      <x:c r="AJ439" s="37" t="n">
        <x:v>91.6</x:v>
      </x:c>
      <x:c r="AK439" s="35" t="str">
        <x:v>No</x:v>
      </x:c>
      <x:c r="AL439" s="38" t="n">
        <x:f>IF(AA439=0,0,AB439/AA439)</x:f>
        <x:v>0.5</x:v>
      </x:c>
      <x:c r="AM439" s="38" t="n">
        <x:f>IF(AB439=0,0,AC439/AB439)</x:f>
        <x:v>1</x:v>
      </x:c>
      <x:c r="AN439" s="37" t="n">
        <x:f>ROUND((AD439*0.20+AE439*0.20+AF439*0.25+AG439*0.15+MIN(100,AC439*12)*0.20),1)</x:f>
        <x:v>73.3</x:v>
      </x:c>
      <x:c r="AO439" s="37" t="n">
        <x:f>ROUND(MAX(0,MIN(100,(X439*0.35)+(W439/45*100*0.20)+((5-O439)/4*100*0.15)+((5-P439)/4*100*0.10)+((6-Y439)/5*100*0.10)+((100-Z439)*0.10))),1)</x:f>
        <x:v>50.5</x:v>
      </x:c>
      <x:c r="AP439" s="37" t="str">
        <x:f>IF(AO439&gt;=70,"High",IF(AO439&gt;=40,"Moderate","Low"))</x:f>
        <x:v>Moderate</x:v>
      </x:c>
      <x:c r="AQ439" s="37" t="n">
        <x:f>ROUND(MAX(0,MIN(100,(O439/4*100*0.25)+(P439/4*100*0.20)+(Q439/4*100*0.15)+(Y439/5*100*0.20)+(100-AO439)*0.20)),1)</x:f>
        <x:v>58.2</x:v>
      </x:c>
      <x:c r="AR439" s="37" t="n">
        <x:f>ROUND((AI439*0.20+AJ439*0.15+AN439*0.18+AG439*0.12+Z439*0.15+AQ439*0.20),1)</x:f>
        <x:v>84</x:v>
      </x:c>
      <x:c r="AS439" s="39" t="n">
        <x:f>ROUND((AC439*AF439*120)+(AH439*350)+(MAX(0,AI439-75)*220)+(MAX(0,AQ439-60)*100),0)</x:f>
        <x:v>25702</x:v>
      </x:c>
    </x:row>
    <x:row r="440">
      <x:c r="A440" s="35" t="n">
        <x:v>439</x:v>
      </x:c>
      <x:c r="B440" s="35" t="n">
        <x:v>44</x:v>
      </x:c>
      <x:c r="C440" s="35" t="str">
        <x:v>Male</x:v>
      </x:c>
      <x:c r="D440" s="35" t="str">
        <x:v>Information Technology</x:v>
      </x:c>
      <x:c r="E440" s="35" t="str">
        <x:v>Software Engineer</x:v>
      </x:c>
      <x:c r="F440" s="35" t="str">
        <x:v>Technical Degree</x:v>
      </x:c>
      <x:c r="G440" s="35" t="str">
        <x:v>Married</x:v>
      </x:c>
      <x:c r="H440" s="35" t="n">
        <x:v>2</x:v>
      </x:c>
      <x:c r="I440" s="36" t="n">
        <x:v>6590</x:v>
      </x:c>
      <x:c r="J440" s="35" t="n">
        <x:v>14</x:v>
      </x:c>
      <x:c r="K440" s="35" t="n">
        <x:v>11</x:v>
      </x:c>
      <x:c r="L440" s="35" t="n">
        <x:v>6</x:v>
      </x:c>
      <x:c r="M440" s="35" t="n">
        <x:v>5</x:v>
      </x:c>
      <x:c r="N440" s="35" t="str">
        <x:v>Yes</x:v>
      </x:c>
      <x:c r="O440" s="35" t="n">
        <x:v>2</x:v>
      </x:c>
      <x:c r="P440" s="35" t="n">
        <x:v>2</x:v>
      </x:c>
      <x:c r="Q440" s="35" t="n">
        <x:v>3</x:v>
      </x:c>
      <x:c r="R440" s="35" t="n">
        <x:v>3</x:v>
      </x:c>
      <x:c r="S440" s="35" t="n">
        <x:v>3</x:v>
      </x:c>
      <x:c r="T440" s="35" t="n">
        <x:v>5</x:v>
      </x:c>
      <x:c r="U440" s="35" t="n">
        <x:v>0</x:v>
      </x:c>
      <x:c r="V440" s="35" t="n">
        <x:v>3</x:v>
      </x:c>
      <x:c r="W440" s="35" t="n">
        <x:v>41</x:v>
      </x:c>
      <x:c r="X440" s="35" t="n">
        <x:v>88</x:v>
      </x:c>
      <x:c r="Y440" s="35" t="n">
        <x:v>3</x:v>
      </x:c>
      <x:c r="Z440" s="35" t="n">
        <x:v>96</x:v>
      </x:c>
      <x:c r="AA440" s="35" t="n">
        <x:v>3</x:v>
      </x:c>
      <x:c r="AB440" s="35" t="n">
        <x:v>3</x:v>
      </x:c>
      <x:c r="AC440" s="35" t="n">
        <x:v>2</x:v>
      </x:c>
      <x:c r="AD440" s="35" t="n">
        <x:v>72</x:v>
      </x:c>
      <x:c r="AE440" s="35" t="n">
        <x:v>83</x:v>
      </x:c>
      <x:c r="AF440" s="35" t="n">
        <x:v>88</x:v>
      </x:c>
      <x:c r="AG440" s="35" t="n">
        <x:v>100</x:v>
      </x:c>
      <x:c r="AH440" s="35" t="n">
        <x:v>6</x:v>
      </x:c>
      <x:c r="AI440" s="37" t="n">
        <x:v>97.3</x:v>
      </x:c>
      <x:c r="AJ440" s="37" t="n">
        <x:v>100</x:v>
      </x:c>
      <x:c r="AK440" s="35" t="str">
        <x:v>No</x:v>
      </x:c>
      <x:c r="AL440" s="38" t="n">
        <x:f>IF(AA440=0,0,AB440/AA440)</x:f>
        <x:v>1</x:v>
      </x:c>
      <x:c r="AM440" s="38" t="n">
        <x:f>IF(AB440=0,0,AC440/AB440)</x:f>
        <x:v>0.6666666666666666</x:v>
      </x:c>
      <x:c r="AN440" s="37" t="n">
        <x:f>ROUND((AD440*0.20+AE440*0.20+AF440*0.25+AG440*0.15+MIN(100,AC440*12)*0.20),1)</x:f>
        <x:v>72.8</x:v>
      </x:c>
      <x:c r="AO440" s="37" t="n">
        <x:f>ROUND(MAX(0,MIN(100,(X440*0.35)+(W440/45*100*0.20)+((5-O440)/4*100*0.15)+((5-P440)/4*100*0.10)+((6-Y440)/5*100*0.10)+((100-Z440)*0.10))),1)</x:f>
        <x:v>74.2</x:v>
      </x:c>
      <x:c r="AP440" s="37" t="str">
        <x:f>IF(AO440&gt;=70,"High",IF(AO440&gt;=40,"Moderate","Low"))</x:f>
        <x:v>High</x:v>
      </x:c>
      <x:c r="AQ440" s="37" t="n">
        <x:f>ROUND(MAX(0,MIN(100,(O440/4*100*0.25)+(P440/4*100*0.20)+(Q440/4*100*0.15)+(Y440/5*100*0.20)+(100-AO440)*0.20)),1)</x:f>
        <x:v>50.9</x:v>
      </x:c>
      <x:c r="AR440" s="37" t="n">
        <x:f>ROUND((AI440*0.20+AJ440*0.15+AN440*0.18+AG440*0.12+Z440*0.15+AQ440*0.20),1)</x:f>
        <x:v>84.1</x:v>
      </x:c>
      <x:c r="AS440" s="39" t="n">
        <x:f>ROUND((AC440*AF440*120)+(AH440*350)+(MAX(0,AI440-75)*220)+(MAX(0,AQ440-60)*100),0)</x:f>
        <x:v>28126</x:v>
      </x:c>
    </x:row>
    <x:row r="441">
      <x:c r="A441" s="35" t="n">
        <x:v>440</x:v>
      </x:c>
      <x:c r="B441" s="35" t="n">
        <x:v>39</x:v>
      </x:c>
      <x:c r="C441" s="35" t="str">
        <x:v>Female</x:v>
      </x:c>
      <x:c r="D441" s="35" t="str">
        <x:v>Finance</x:v>
      </x:c>
      <x:c r="E441" s="35" t="str">
        <x:v>Accountant</x:v>
      </x:c>
      <x:c r="F441" s="35" t="str">
        <x:v>Technical Degree</x:v>
      </x:c>
      <x:c r="G441" s="35" t="str">
        <x:v>Single</x:v>
      </x:c>
      <x:c r="H441" s="35" t="n">
        <x:v>3</x:v>
      </x:c>
      <x:c r="I441" s="36" t="n">
        <x:v>10100</x:v>
      </x:c>
      <x:c r="J441" s="35" t="n">
        <x:v>14</x:v>
      </x:c>
      <x:c r="K441" s="35" t="n">
        <x:v>6</x:v>
      </x:c>
      <x:c r="L441" s="35" t="n">
        <x:v>2</x:v>
      </x:c>
      <x:c r="M441" s="35" t="n">
        <x:v>10</x:v>
      </x:c>
      <x:c r="N441" s="35" t="str">
        <x:v>No</x:v>
      </x:c>
      <x:c r="O441" s="35" t="n">
        <x:v>4</x:v>
      </x:c>
      <x:c r="P441" s="35" t="n">
        <x:v>4</x:v>
      </x:c>
      <x:c r="Q441" s="35" t="n">
        <x:v>3</x:v>
      </x:c>
      <x:c r="R441" s="35" t="n">
        <x:v>2</x:v>
      </x:c>
      <x:c r="S441" s="35" t="n">
        <x:v>3</x:v>
      </x:c>
      <x:c r="T441" s="35" t="n">
        <x:v>5</x:v>
      </x:c>
      <x:c r="U441" s="35" t="n">
        <x:v>2</x:v>
      </x:c>
      <x:c r="V441" s="35" t="n">
        <x:v>0</x:v>
      </x:c>
      <x:c r="W441" s="35" t="n">
        <x:v>1</x:v>
      </x:c>
      <x:c r="X441" s="35" t="n">
        <x:v>94</x:v>
      </x:c>
      <x:c r="Y441" s="35" t="n">
        <x:v>3</x:v>
      </x:c>
      <x:c r="Z441" s="35" t="n">
        <x:v>87</x:v>
      </x:c>
      <x:c r="AA441" s="35" t="n">
        <x:v>8</x:v>
      </x:c>
      <x:c r="AB441" s="35" t="n">
        <x:v>8</x:v>
      </x:c>
      <x:c r="AC441" s="35" t="n">
        <x:v>7</x:v>
      </x:c>
      <x:c r="AD441" s="35" t="n">
        <x:v>96</x:v>
      </x:c>
      <x:c r="AE441" s="35" t="n">
        <x:v>80</x:v>
      </x:c>
      <x:c r="AF441" s="35" t="n">
        <x:v>88</x:v>
      </x:c>
      <x:c r="AG441" s="35" t="n">
        <x:v>75</x:v>
      </x:c>
      <x:c r="AH441" s="35" t="n">
        <x:v>9</x:v>
      </x:c>
      <x:c r="AI441" s="37" t="n">
        <x:v>88.3</x:v>
      </x:c>
      <x:c r="AJ441" s="37" t="n">
        <x:v>88.3</x:v>
      </x:c>
      <x:c r="AK441" s="35" t="str">
        <x:v>No</x:v>
      </x:c>
      <x:c r="AL441" s="38" t="n">
        <x:f>IF(AA441=0,0,AB441/AA441)</x:f>
        <x:v>1</x:v>
      </x:c>
      <x:c r="AM441" s="38" t="n">
        <x:f>IF(AB441=0,0,AC441/AB441)</x:f>
        <x:v>0.875</x:v>
      </x:c>
      <x:c r="AN441" s="37" t="n">
        <x:f>ROUND((AD441*0.20+AE441*0.20+AF441*0.25+AG441*0.15+MIN(100,AC441*12)*0.20),1)</x:f>
        <x:v>85.3</x:v>
      </x:c>
      <x:c r="AO441" s="37" t="n">
        <x:f>ROUND(MAX(0,MIN(100,(X441*0.35)+(W441/45*100*0.20)+((5-O441)/4*100*0.15)+((5-P441)/4*100*0.10)+((6-Y441)/5*100*0.10)+((100-Z441)*0.10))),1)</x:f>
        <x:v>46.9</x:v>
      </x:c>
      <x:c r="AP441" s="37" t="str">
        <x:f>IF(AO441&gt;=70,"High",IF(AO441&gt;=40,"Moderate","Low"))</x:f>
        <x:v>Moderate</x:v>
      </x:c>
      <x:c r="AQ441" s="37" t="n">
        <x:f>ROUND(MAX(0,MIN(100,(O441/4*100*0.25)+(P441/4*100*0.20)+(Q441/4*100*0.15)+(Y441/5*100*0.20)+(100-AO441)*0.20)),1)</x:f>
        <x:v>78.9</x:v>
      </x:c>
      <x:c r="AR441" s="37" t="n">
        <x:f>ROUND((AI441*0.20+AJ441*0.15+AN441*0.18+AG441*0.12+Z441*0.15+AQ441*0.20),1)</x:f>
        <x:v>84.1</x:v>
      </x:c>
      <x:c r="AS441" s="39" t="n">
        <x:f>ROUND((AC441*AF441*120)+(AH441*350)+(MAX(0,AI441-75)*220)+(MAX(0,AQ441-60)*100),0)</x:f>
        <x:v>81886</x:v>
      </x:c>
    </x:row>
    <x:row r="442">
      <x:c r="A442" s="35" t="n">
        <x:v>441</x:v>
      </x:c>
      <x:c r="B442" s="35" t="n">
        <x:v>46</x:v>
      </x:c>
      <x:c r="C442" s="35" t="str">
        <x:v>Female</x:v>
      </x:c>
      <x:c r="D442" s="35" t="str">
        <x:v>Information Technology</x:v>
      </x:c>
      <x:c r="E442" s="35" t="str">
        <x:v>IT Support</x:v>
      </x:c>
      <x:c r="F442" s="35" t="str">
        <x:v>Marketing</x:v>
      </x:c>
      <x:c r="G442" s="35" t="str">
        <x:v>Married</x:v>
      </x:c>
      <x:c r="H442" s="35" t="n">
        <x:v>3</x:v>
      </x:c>
      <x:c r="I442" s="36" t="n">
        <x:v>13920</x:v>
      </x:c>
      <x:c r="J442" s="35" t="n">
        <x:v>19</x:v>
      </x:c>
      <x:c r="K442" s="35" t="n">
        <x:v>14</x:v>
      </x:c>
      <x:c r="L442" s="35" t="n">
        <x:v>5</x:v>
      </x:c>
      <x:c r="M442" s="35" t="n">
        <x:v>16</x:v>
      </x:c>
      <x:c r="N442" s="35" t="str">
        <x:v>No</x:v>
      </x:c>
      <x:c r="O442" s="35" t="n">
        <x:v>2</x:v>
      </x:c>
      <x:c r="P442" s="35" t="n">
        <x:v>2</x:v>
      </x:c>
      <x:c r="Q442" s="35" t="n">
        <x:v>3</x:v>
      </x:c>
      <x:c r="R442" s="35" t="n">
        <x:v>3</x:v>
      </x:c>
      <x:c r="S442" s="35" t="n">
        <x:v>4</x:v>
      </x:c>
      <x:c r="T442" s="35" t="n">
        <x:v>6</x:v>
      </x:c>
      <x:c r="U442" s="35" t="n">
        <x:v>0</x:v>
      </x:c>
      <x:c r="V442" s="35" t="n">
        <x:v>6</x:v>
      </x:c>
      <x:c r="W442" s="35" t="n">
        <x:v>5</x:v>
      </x:c>
      <x:c r="X442" s="35" t="n">
        <x:v>57</x:v>
      </x:c>
      <x:c r="Y442" s="35" t="n">
        <x:v>3</x:v>
      </x:c>
      <x:c r="Z442" s="35" t="n">
        <x:v>90</x:v>
      </x:c>
      <x:c r="AA442" s="35" t="n">
        <x:v>5</x:v>
      </x:c>
      <x:c r="AB442" s="35" t="n">
        <x:v>2</x:v>
      </x:c>
      <x:c r="AC442" s="35" t="n">
        <x:v>2</x:v>
      </x:c>
      <x:c r="AD442" s="35" t="n">
        <x:v>99</x:v>
      </x:c>
      <x:c r="AE442" s="35" t="n">
        <x:v>90</x:v>
      </x:c>
      <x:c r="AF442" s="35" t="n">
        <x:v>57</x:v>
      </x:c>
      <x:c r="AG442" s="35" t="n">
        <x:v>89</x:v>
      </x:c>
      <x:c r="AH442" s="35" t="n">
        <x:v>8</x:v>
      </x:c>
      <x:c r="AI442" s="37" t="n">
        <x:v>100</x:v>
      </x:c>
      <x:c r="AJ442" s="37" t="n">
        <x:v>100</x:v>
      </x:c>
      <x:c r="AK442" s="35" t="str">
        <x:v>No</x:v>
      </x:c>
      <x:c r="AL442" s="38" t="n">
        <x:f>IF(AA442=0,0,AB442/AA442)</x:f>
        <x:v>0.4</x:v>
      </x:c>
      <x:c r="AM442" s="38" t="n">
        <x:f>IF(AB442=0,0,AC442/AB442)</x:f>
        <x:v>1</x:v>
      </x:c>
      <x:c r="AN442" s="37" t="n">
        <x:f>ROUND((AD442*0.20+AE442*0.20+AF442*0.25+AG442*0.15+MIN(100,AC442*12)*0.20),1)</x:f>
        <x:v>70.2</x:v>
      </x:c>
      <x:c r="AO442" s="37" t="n">
        <x:f>ROUND(MAX(0,MIN(100,(X442*0.35)+(W442/45*100*0.20)+((5-O442)/4*100*0.15)+((5-P442)/4*100*0.10)+((6-Y442)/5*100*0.10)+((100-Z442)*0.10))),1)</x:f>
        <x:v>47.9</x:v>
      </x:c>
      <x:c r="AP442" s="37" t="str">
        <x:f>IF(AO442&gt;=70,"High",IF(AO442&gt;=40,"Moderate","Low"))</x:f>
        <x:v>Moderate</x:v>
      </x:c>
      <x:c r="AQ442" s="37" t="n">
        <x:f>ROUND(MAX(0,MIN(100,(O442/4*100*0.25)+(P442/4*100*0.20)+(Q442/4*100*0.15)+(Y442/5*100*0.20)+(100-AO442)*0.20)),1)</x:f>
        <x:v>56.2</x:v>
      </x:c>
      <x:c r="AR442" s="37" t="n">
        <x:f>ROUND((AI442*0.20+AJ442*0.15+AN442*0.18+AG442*0.12+Z442*0.15+AQ442*0.20),1)</x:f>
        <x:v>83.1</x:v>
      </x:c>
      <x:c r="AS442" s="39" t="n">
        <x:f>ROUND((AC442*AF442*120)+(AH442*350)+(MAX(0,AI442-75)*220)+(MAX(0,AQ442-60)*100),0)</x:f>
        <x:v>21980</x:v>
      </x:c>
    </x:row>
    <x:row r="443">
      <x:c r="A443" s="35" t="n">
        <x:v>442</x:v>
      </x:c>
      <x:c r="B443" s="35" t="n">
        <x:v>32</x:v>
      </x:c>
      <x:c r="C443" s="35" t="str">
        <x:v>Female</x:v>
      </x:c>
      <x:c r="D443" s="35" t="str">
        <x:v>Finance</x:v>
      </x:c>
      <x:c r="E443" s="35" t="str">
        <x:v>Accountant</x:v>
      </x:c>
      <x:c r="F443" s="35" t="str">
        <x:v>Medical</x:v>
      </x:c>
      <x:c r="G443" s="35" t="str">
        <x:v>Single</x:v>
      </x:c>
      <x:c r="H443" s="35" t="n">
        <x:v>3</x:v>
      </x:c>
      <x:c r="I443" s="36" t="n">
        <x:v>14510</x:v>
      </x:c>
      <x:c r="J443" s="35" t="n">
        <x:v>8</x:v>
      </x:c>
      <x:c r="K443" s="35" t="n">
        <x:v>3</x:v>
      </x:c>
      <x:c r="L443" s="35" t="n">
        <x:v>2</x:v>
      </x:c>
      <x:c r="M443" s="35" t="n">
        <x:v>5</x:v>
      </x:c>
      <x:c r="N443" s="35" t="str">
        <x:v>No</x:v>
      </x:c>
      <x:c r="O443" s="35" t="n">
        <x:v>4</x:v>
      </x:c>
      <x:c r="P443" s="35" t="n">
        <x:v>3</x:v>
      </x:c>
      <x:c r="Q443" s="35" t="n">
        <x:v>3</x:v>
      </x:c>
      <x:c r="R443" s="35" t="n">
        <x:v>2</x:v>
      </x:c>
      <x:c r="S443" s="35" t="n">
        <x:v>4</x:v>
      </x:c>
      <x:c r="T443" s="35" t="n">
        <x:v>3</x:v>
      </x:c>
      <x:c r="U443" s="35" t="n">
        <x:v>1</x:v>
      </x:c>
      <x:c r="V443" s="35" t="n">
        <x:v>10</x:v>
      </x:c>
      <x:c r="W443" s="35" t="n">
        <x:v>14</x:v>
      </x:c>
      <x:c r="X443" s="35" t="n">
        <x:v>57</x:v>
      </x:c>
      <x:c r="Y443" s="35" t="n">
        <x:v>5</x:v>
      </x:c>
      <x:c r="Z443" s="35" t="n">
        <x:v>100</x:v>
      </x:c>
      <x:c r="AA443" s="35" t="n">
        <x:v>8</x:v>
      </x:c>
      <x:c r="AB443" s="35" t="n">
        <x:v>6</x:v>
      </x:c>
      <x:c r="AC443" s="35" t="n">
        <x:v>6</x:v>
      </x:c>
      <x:c r="AD443" s="35" t="n">
        <x:v>77</x:v>
      </x:c>
      <x:c r="AE443" s="35" t="n">
        <x:v>90</x:v>
      </x:c>
      <x:c r="AF443" s="35" t="n">
        <x:v>81</x:v>
      </x:c>
      <x:c r="AG443" s="35" t="n">
        <x:v>73</x:v>
      </x:c>
      <x:c r="AH443" s="35" t="n">
        <x:v>11</x:v>
      </x:c>
      <x:c r="AI443" s="37" t="n">
        <x:v>100</x:v>
      </x:c>
      <x:c r="AJ443" s="37" t="n">
        <x:v>94.6</x:v>
      </x:c>
      <x:c r="AK443" s="35" t="str">
        <x:v>No</x:v>
      </x:c>
      <x:c r="AL443" s="38" t="n">
        <x:f>IF(AA443=0,0,AB443/AA443)</x:f>
        <x:v>0.75</x:v>
      </x:c>
      <x:c r="AM443" s="38" t="n">
        <x:f>IF(AB443=0,0,AC443/AB443)</x:f>
        <x:v>1</x:v>
      </x:c>
      <x:c r="AN443" s="37" t="n">
        <x:f>ROUND((AD443*0.20+AE443*0.20+AF443*0.25+AG443*0.15+MIN(100,AC443*12)*0.20),1)</x:f>
        <x:v>79</x:v>
      </x:c>
      <x:c r="AO443" s="37" t="n">
        <x:f>ROUND(MAX(0,MIN(100,(X443*0.35)+(W443/45*100*0.20)+((5-O443)/4*100*0.15)+((5-P443)/4*100*0.10)+((6-Y443)/5*100*0.10)+((100-Z443)*0.10))),1)</x:f>
        <x:v>36.9</x:v>
      </x:c>
      <x:c r="AP443" s="37" t="str">
        <x:f>IF(AO443&gt;=70,"High",IF(AO443&gt;=40,"Moderate","Low"))</x:f>
        <x:v>Low</x:v>
      </x:c>
      <x:c r="AQ443" s="37" t="n">
        <x:f>ROUND(MAX(0,MIN(100,(O443/4*100*0.25)+(P443/4*100*0.20)+(Q443/4*100*0.15)+(Y443/5*100*0.20)+(100-AO443)*0.20)),1)</x:f>
        <x:v>83.9</x:v>
      </x:c>
      <x:c r="AR443" s="37" t="n">
        <x:f>ROUND((AI443*0.20+AJ443*0.15+AN443*0.18+AG443*0.12+Z443*0.15+AQ443*0.20),1)</x:f>
        <x:v>88.9</x:v>
      </x:c>
      <x:c r="AS443" s="39" t="n">
        <x:f>ROUND((AC443*AF443*120)+(AH443*350)+(MAX(0,AI443-75)*220)+(MAX(0,AQ443-60)*100),0)</x:f>
        <x:v>70060</x:v>
      </x:c>
    </x:row>
    <x:row r="444">
      <x:c r="A444" s="35" t="n">
        <x:v>443</x:v>
      </x:c>
      <x:c r="B444" s="35" t="n">
        <x:v>26</x:v>
      </x:c>
      <x:c r="C444" s="35" t="str">
        <x:v>Female</x:v>
      </x:c>
      <x:c r="D444" s="35" t="str">
        <x:v>Research &amp; Development</x:v>
      </x:c>
      <x:c r="E444" s="35" t="str">
        <x:v>Data Scientist</x:v>
      </x:c>
      <x:c r="F444" s="35" t="str">
        <x:v>Business</x:v>
      </x:c>
      <x:c r="G444" s="35" t="str">
        <x:v>Married</x:v>
      </x:c>
      <x:c r="H444" s="35" t="n">
        <x:v>1</x:v>
      </x:c>
      <x:c r="I444" s="36" t="n">
        <x:v>4880</x:v>
      </x:c>
      <x:c r="J444" s="35" t="n">
        <x:v>3</x:v>
      </x:c>
      <x:c r="K444" s="35" t="n">
        <x:v>2</x:v>
      </x:c>
      <x:c r="L444" s="35" t="n">
        <x:v>1</x:v>
      </x:c>
      <x:c r="M444" s="35" t="n">
        <x:v>7</x:v>
      </x:c>
      <x:c r="N444" s="35" t="str">
        <x:v>No</x:v>
      </x:c>
      <x:c r="O444" s="35" t="n">
        <x:v>4</x:v>
      </x:c>
      <x:c r="P444" s="35" t="n">
        <x:v>3</x:v>
      </x:c>
      <x:c r="Q444" s="35" t="n">
        <x:v>2</x:v>
      </x:c>
      <x:c r="R444" s="35" t="n">
        <x:v>3</x:v>
      </x:c>
      <x:c r="S444" s="35" t="n">
        <x:v>3</x:v>
      </x:c>
      <x:c r="T444" s="35" t="n">
        <x:v>2</x:v>
      </x:c>
      <x:c r="U444" s="35" t="n">
        <x:v>0</x:v>
      </x:c>
      <x:c r="V444" s="35" t="n">
        <x:v>9</x:v>
      </x:c>
      <x:c r="W444" s="35" t="n">
        <x:v>13</x:v>
      </x:c>
      <x:c r="X444" s="35" t="n">
        <x:v>61</x:v>
      </x:c>
      <x:c r="Y444" s="35" t="n">
        <x:v>5</x:v>
      </x:c>
      <x:c r="Z444" s="35" t="n">
        <x:v>100</x:v>
      </x:c>
      <x:c r="AA444" s="35" t="n">
        <x:v>2</x:v>
      </x:c>
      <x:c r="AB444" s="35" t="n">
        <x:v>2</x:v>
      </x:c>
      <x:c r="AC444" s="35" t="n">
        <x:v>2</x:v>
      </x:c>
      <x:c r="AD444" s="35" t="n">
        <x:v>79</x:v>
      </x:c>
      <x:c r="AE444" s="35" t="n">
        <x:v>60</x:v>
      </x:c>
      <x:c r="AF444" s="35" t="n">
        <x:v>53</x:v>
      </x:c>
      <x:c r="AG444" s="35" t="n">
        <x:v>100</x:v>
      </x:c>
      <x:c r="AH444" s="35" t="n">
        <x:v>6</x:v>
      </x:c>
      <x:c r="AI444" s="37" t="n">
        <x:v>93.4</x:v>
      </x:c>
      <x:c r="AJ444" s="37" t="n">
        <x:v>94</x:v>
      </x:c>
      <x:c r="AK444" s="35" t="str">
        <x:v>No</x:v>
      </x:c>
      <x:c r="AL444" s="38" t="n">
        <x:f>IF(AA444=0,0,AB444/AA444)</x:f>
        <x:v>1</x:v>
      </x:c>
      <x:c r="AM444" s="38" t="n">
        <x:f>IF(AB444=0,0,AC444/AB444)</x:f>
        <x:v>1</x:v>
      </x:c>
      <x:c r="AN444" s="37" t="n">
        <x:f>ROUND((AD444*0.20+AE444*0.20+AF444*0.25+AG444*0.15+MIN(100,AC444*12)*0.20),1)</x:f>
        <x:v>60.9</x:v>
      </x:c>
      <x:c r="AO444" s="37" t="n">
        <x:f>ROUND(MAX(0,MIN(100,(X444*0.35)+(W444/45*100*0.20)+((5-O444)/4*100*0.15)+((5-P444)/4*100*0.10)+((6-Y444)/5*100*0.10)+((100-Z444)*0.10))),1)</x:f>
        <x:v>37.9</x:v>
      </x:c>
      <x:c r="AP444" s="37" t="str">
        <x:f>IF(AO444&gt;=70,"High",IF(AO444&gt;=40,"Moderate","Low"))</x:f>
        <x:v>Low</x:v>
      </x:c>
      <x:c r="AQ444" s="37" t="n">
        <x:f>ROUND(MAX(0,MIN(100,(O444/4*100*0.25)+(P444/4*100*0.20)+(Q444/4*100*0.15)+(Y444/5*100*0.20)+(100-AO444)*0.20)),1)</x:f>
        <x:v>79.9</x:v>
      </x:c>
      <x:c r="AR444" s="37" t="n">
        <x:f>ROUND((AI444*0.20+AJ444*0.15+AN444*0.18+AG444*0.12+Z444*0.15+AQ444*0.20),1)</x:f>
        <x:v>86.7</x:v>
      </x:c>
      <x:c r="AS444" s="39" t="n">
        <x:f>ROUND((AC444*AF444*120)+(AH444*350)+(MAX(0,AI444-75)*220)+(MAX(0,AQ444-60)*100),0)</x:f>
        <x:v>20858</x:v>
      </x:c>
    </x:row>
    <x:row r="445">
      <x:c r="A445" s="35" t="n">
        <x:v>444</x:v>
      </x:c>
      <x:c r="B445" s="35" t="n">
        <x:v>21</x:v>
      </x:c>
      <x:c r="C445" s="35" t="str">
        <x:v>Female</x:v>
      </x:c>
      <x:c r="D445" s="35" t="str">
        <x:v>Finance</x:v>
      </x:c>
      <x:c r="E445" s="35" t="str">
        <x:v>Finance Manager</x:v>
      </x:c>
      <x:c r="F445" s="35" t="str">
        <x:v>Marketing</x:v>
      </x:c>
      <x:c r="G445" s="35" t="str">
        <x:v>Single</x:v>
      </x:c>
      <x:c r="H445" s="35" t="n">
        <x:v>1</x:v>
      </x:c>
      <x:c r="I445" s="36" t="n">
        <x:v>6700</x:v>
      </x:c>
      <x:c r="J445" s="35" t="n">
        <x:v>0</x:v>
      </x:c>
      <x:c r="K445" s="35" t="n">
        <x:v>0</x:v>
      </x:c>
      <x:c r="L445" s="35" t="n">
        <x:v>0</x:v>
      </x:c>
      <x:c r="M445" s="35" t="n">
        <x:v>5</x:v>
      </x:c>
      <x:c r="N445" s="35" t="str">
        <x:v>No</x:v>
      </x:c>
      <x:c r="O445" s="35" t="n">
        <x:v>3</x:v>
      </x:c>
      <x:c r="P445" s="35" t="n">
        <x:v>3</x:v>
      </x:c>
      <x:c r="Q445" s="35" t="n">
        <x:v>3</x:v>
      </x:c>
      <x:c r="R445" s="35" t="n">
        <x:v>3</x:v>
      </x:c>
      <x:c r="S445" s="35" t="n">
        <x:v>3</x:v>
      </x:c>
      <x:c r="T445" s="35" t="n">
        <x:v>3</x:v>
      </x:c>
      <x:c r="U445" s="35" t="n">
        <x:v>0</x:v>
      </x:c>
      <x:c r="V445" s="35" t="n">
        <x:v>9</x:v>
      </x:c>
      <x:c r="W445" s="35" t="n">
        <x:v>0</x:v>
      </x:c>
      <x:c r="X445" s="35" t="n">
        <x:v>66</x:v>
      </x:c>
      <x:c r="Y445" s="35" t="n">
        <x:v>5</x:v>
      </x:c>
      <x:c r="Z445" s="35" t="n">
        <x:v>95</x:v>
      </x:c>
      <x:c r="AA445" s="35" t="n">
        <x:v>3</x:v>
      </x:c>
      <x:c r="AB445" s="35" t="n">
        <x:v>1</x:v>
      </x:c>
      <x:c r="AC445" s="35" t="n">
        <x:v>1</x:v>
      </x:c>
      <x:c r="AD445" s="35" t="n">
        <x:v>82</x:v>
      </x:c>
      <x:c r="AE445" s="35" t="n">
        <x:v>81</x:v>
      </x:c>
      <x:c r="AF445" s="35" t="n">
        <x:v>61</x:v>
      </x:c>
      <x:c r="AG445" s="35" t="n">
        <x:v>92</x:v>
      </x:c>
      <x:c r="AH445" s="35" t="n">
        <x:v>5</x:v>
      </x:c>
      <x:c r="AI445" s="37" t="n">
        <x:v>94.9</x:v>
      </x:c>
      <x:c r="AJ445" s="37" t="n">
        <x:v>97.3</x:v>
      </x:c>
      <x:c r="AK445" s="35" t="str">
        <x:v>No</x:v>
      </x:c>
      <x:c r="AL445" s="38" t="n">
        <x:f>IF(AA445=0,0,AB445/AA445)</x:f>
        <x:v>0.3333333333333333</x:v>
      </x:c>
      <x:c r="AM445" s="38" t="n">
        <x:f>IF(AB445=0,0,AC445/AB445)</x:f>
        <x:v>1</x:v>
      </x:c>
      <x:c r="AN445" s="37" t="n">
        <x:f>ROUND((AD445*0.20+AE445*0.20+AF445*0.25+AG445*0.15+MIN(100,AC445*12)*0.20),1)</x:f>
        <x:v>64.1</x:v>
      </x:c>
      <x:c r="AO445" s="37" t="n">
        <x:f>ROUND(MAX(0,MIN(100,(X445*0.35)+(W445/45*100*0.20)+((5-O445)/4*100*0.15)+((5-P445)/4*100*0.10)+((6-Y445)/5*100*0.10)+((100-Z445)*0.10))),1)</x:f>
        <x:v>38.1</x:v>
      </x:c>
      <x:c r="AP445" s="37" t="str">
        <x:f>IF(AO445&gt;=70,"High",IF(AO445&gt;=40,"Moderate","Low"))</x:f>
        <x:v>Low</x:v>
      </x:c>
      <x:c r="AQ445" s="37" t="n">
        <x:f>ROUND(MAX(0,MIN(100,(O445/4*100*0.25)+(P445/4*100*0.20)+(Q445/4*100*0.15)+(Y445/5*100*0.20)+(100-AO445)*0.20)),1)</x:f>
        <x:v>77.4</x:v>
      </x:c>
      <x:c r="AR445" s="37" t="n">
        <x:f>ROUND((AI445*0.20+AJ445*0.15+AN445*0.18+AG445*0.12+Z445*0.15+AQ445*0.20),1)</x:f>
        <x:v>85.9</x:v>
      </x:c>
      <x:c r="AS445" s="39" t="n">
        <x:f>ROUND((AC445*AF445*120)+(AH445*350)+(MAX(0,AI445-75)*220)+(MAX(0,AQ445-60)*100),0)</x:f>
        <x:v>15188</x:v>
      </x:c>
    </x:row>
    <x:row r="446">
      <x:c r="A446" s="35" t="n">
        <x:v>445</x:v>
      </x:c>
      <x:c r="B446" s="35" t="n">
        <x:v>47</x:v>
      </x:c>
      <x:c r="C446" s="35" t="str">
        <x:v>Male</x:v>
      </x:c>
      <x:c r="D446" s="35" t="str">
        <x:v>Operations</x:v>
      </x:c>
      <x:c r="E446" s="35" t="str">
        <x:v>Quality Specialist</x:v>
      </x:c>
      <x:c r="F446" s="35" t="str">
        <x:v>Marketing</x:v>
      </x:c>
      <x:c r="G446" s="35" t="str">
        <x:v>Single</x:v>
      </x:c>
      <x:c r="H446" s="35" t="n">
        <x:v>3</x:v>
      </x:c>
      <x:c r="I446" s="36" t="n">
        <x:v>12770</x:v>
      </x:c>
      <x:c r="J446" s="35" t="n">
        <x:v>18</x:v>
      </x:c>
      <x:c r="K446" s="35" t="n">
        <x:v>15</x:v>
      </x:c>
      <x:c r="L446" s="35" t="n">
        <x:v>10</x:v>
      </x:c>
      <x:c r="M446" s="35" t="n">
        <x:v>37</x:v>
      </x:c>
      <x:c r="N446" s="35" t="str">
        <x:v>No</x:v>
      </x:c>
      <x:c r="O446" s="35" t="n">
        <x:v>2</x:v>
      </x:c>
      <x:c r="P446" s="35" t="n">
        <x:v>4</x:v>
      </x:c>
      <x:c r="Q446" s="35" t="n">
        <x:v>1</x:v>
      </x:c>
      <x:c r="R446" s="35" t="n">
        <x:v>3</x:v>
      </x:c>
      <x:c r="S446" s="35" t="n">
        <x:v>3</x:v>
      </x:c>
      <x:c r="T446" s="35" t="n">
        <x:v>5</x:v>
      </x:c>
      <x:c r="U446" s="35" t="n">
        <x:v>1</x:v>
      </x:c>
      <x:c r="V446" s="35" t="n">
        <x:v>11</x:v>
      </x:c>
      <x:c r="W446" s="35" t="n">
        <x:v>0</x:v>
      </x:c>
      <x:c r="X446" s="35" t="n">
        <x:v>46</x:v>
      </x:c>
      <x:c r="Y446" s="35" t="n">
        <x:v>5</x:v>
      </x:c>
      <x:c r="Z446" s="35" t="n">
        <x:v>100</x:v>
      </x:c>
      <x:c r="AA446" s="35" t="n">
        <x:v>12</x:v>
      </x:c>
      <x:c r="AB446" s="35" t="n">
        <x:v>7</x:v>
      </x:c>
      <x:c r="AC446" s="35" t="n">
        <x:v>4</x:v>
      </x:c>
      <x:c r="AD446" s="35" t="n">
        <x:v>86</x:v>
      </x:c>
      <x:c r="AE446" s="35" t="n">
        <x:v>82</x:v>
      </x:c>
      <x:c r="AF446" s="35" t="n">
        <x:v>94</x:v>
      </x:c>
      <x:c r="AG446" s="35" t="n">
        <x:v>100</x:v>
      </x:c>
      <x:c r="AH446" s="35" t="n">
        <x:v>9</x:v>
      </x:c>
      <x:c r="AI446" s="37" t="n">
        <x:v>100</x:v>
      </x:c>
      <x:c r="AJ446" s="37" t="n">
        <x:v>93</x:v>
      </x:c>
      <x:c r="AK446" s="35" t="str">
        <x:v>No</x:v>
      </x:c>
      <x:c r="AL446" s="38" t="n">
        <x:f>IF(AA446=0,0,AB446/AA446)</x:f>
        <x:v>0.5833333333333334</x:v>
      </x:c>
      <x:c r="AM446" s="38" t="n">
        <x:f>IF(AB446=0,0,AC446/AB446)</x:f>
        <x:v>0.5714285714285714</x:v>
      </x:c>
      <x:c r="AN446" s="37" t="n">
        <x:f>ROUND((AD446*0.20+AE446*0.20+AF446*0.25+AG446*0.15+MIN(100,AC446*12)*0.20),1)</x:f>
        <x:v>81.7</x:v>
      </x:c>
      <x:c r="AO446" s="37" t="n">
        <x:f>ROUND(MAX(0,MIN(100,(X446*0.35)+(W446/45*100*0.20)+((5-O446)/4*100*0.15)+((5-P446)/4*100*0.10)+((6-Y446)/5*100*0.10)+((100-Z446)*0.10))),1)</x:f>
        <x:v>31.9</x:v>
      </x:c>
      <x:c r="AP446" s="37" t="str">
        <x:f>IF(AO446&gt;=70,"High",IF(AO446&gt;=40,"Moderate","Low"))</x:f>
        <x:v>Low</x:v>
      </x:c>
      <x:c r="AQ446" s="37" t="n">
        <x:f>ROUND(MAX(0,MIN(100,(O446/4*100*0.25)+(P446/4*100*0.20)+(Q446/4*100*0.15)+(Y446/5*100*0.20)+(100-AO446)*0.20)),1)</x:f>
        <x:v>69.9</x:v>
      </x:c>
      <x:c r="AR446" s="37" t="n">
        <x:f>ROUND((AI446*0.20+AJ446*0.15+AN446*0.18+AG446*0.12+Z446*0.15+AQ446*0.20),1)</x:f>
        <x:v>89.6</x:v>
      </x:c>
      <x:c r="AS446" s="39" t="n">
        <x:f>ROUND((AC446*AF446*120)+(AH446*350)+(MAX(0,AI446-75)*220)+(MAX(0,AQ446-60)*100),0)</x:f>
        <x:v>54760</x:v>
      </x:c>
    </x:row>
    <x:row r="447">
      <x:c r="A447" s="35" t="n">
        <x:v>446</x:v>
      </x:c>
      <x:c r="B447" s="35" t="n">
        <x:v>31</x:v>
      </x:c>
      <x:c r="C447" s="35" t="str">
        <x:v>Female</x:v>
      </x:c>
      <x:c r="D447" s="35" t="str">
        <x:v>Sales</x:v>
      </x:c>
      <x:c r="E447" s="35" t="str">
        <x:v>Sales Executive</x:v>
      </x:c>
      <x:c r="F447" s="35" t="str">
        <x:v>Marketing</x:v>
      </x:c>
      <x:c r="G447" s="35" t="str">
        <x:v>Single</x:v>
      </x:c>
      <x:c r="H447" s="35" t="n">
        <x:v>2</x:v>
      </x:c>
      <x:c r="I447" s="36" t="n">
        <x:v>7650</x:v>
      </x:c>
      <x:c r="J447" s="35" t="n">
        <x:v>7</x:v>
      </x:c>
      <x:c r="K447" s="35" t="n">
        <x:v>3</x:v>
      </x:c>
      <x:c r="L447" s="35" t="n">
        <x:v>2</x:v>
      </x:c>
      <x:c r="M447" s="35" t="n">
        <x:v>6</x:v>
      </x:c>
      <x:c r="N447" s="35" t="str">
        <x:v>No</x:v>
      </x:c>
      <x:c r="O447" s="35" t="n">
        <x:v>3</x:v>
      </x:c>
      <x:c r="P447" s="35" t="n">
        <x:v>1</x:v>
      </x:c>
      <x:c r="Q447" s="35" t="n">
        <x:v>2</x:v>
      </x:c>
      <x:c r="R447" s="35" t="n">
        <x:v>4</x:v>
      </x:c>
      <x:c r="S447" s="35" t="n">
        <x:v>3</x:v>
      </x:c>
      <x:c r="T447" s="35" t="n">
        <x:v>4</x:v>
      </x:c>
      <x:c r="U447" s="35" t="n">
        <x:v>2</x:v>
      </x:c>
      <x:c r="V447" s="35" t="n">
        <x:v>6</x:v>
      </x:c>
      <x:c r="W447" s="35" t="n">
        <x:v>0</x:v>
      </x:c>
      <x:c r="X447" s="35" t="n">
        <x:v>43</x:v>
      </x:c>
      <x:c r="Y447" s="35" t="n">
        <x:v>5</x:v>
      </x:c>
      <x:c r="Z447" s="35" t="n">
        <x:v>100</x:v>
      </x:c>
      <x:c r="AA447" s="35" t="n">
        <x:v>4</x:v>
      </x:c>
      <x:c r="AB447" s="35" t="n">
        <x:v>3</x:v>
      </x:c>
      <x:c r="AC447" s="35" t="n">
        <x:v>2</x:v>
      </x:c>
      <x:c r="AD447" s="35" t="n">
        <x:v>48</x:v>
      </x:c>
      <x:c r="AE447" s="35" t="n">
        <x:v>69</x:v>
      </x:c>
      <x:c r="AF447" s="35" t="n">
        <x:v>61</x:v>
      </x:c>
      <x:c r="AG447" s="35" t="n">
        <x:v>100</x:v>
      </x:c>
      <x:c r="AH447" s="35" t="n">
        <x:v>5</x:v>
      </x:c>
      <x:c r="AI447" s="37" t="n">
        <x:v>100</x:v>
      </x:c>
      <x:c r="AJ447" s="37" t="n">
        <x:v>91.3</x:v>
      </x:c>
      <x:c r="AK447" s="35" t="str">
        <x:v>Yes</x:v>
      </x:c>
      <x:c r="AL447" s="38" t="n">
        <x:f>IF(AA447=0,0,AB447/AA447)</x:f>
        <x:v>0.75</x:v>
      </x:c>
      <x:c r="AM447" s="38" t="n">
        <x:f>IF(AB447=0,0,AC447/AB447)</x:f>
        <x:v>0.6666666666666666</x:v>
      </x:c>
      <x:c r="AN447" s="37" t="n">
        <x:f>ROUND((AD447*0.20+AE447*0.20+AF447*0.25+AG447*0.15+MIN(100,AC447*12)*0.20),1)</x:f>
        <x:v>58.5</x:v>
      </x:c>
      <x:c r="AO447" s="37" t="n">
        <x:f>ROUND(MAX(0,MIN(100,(X447*0.35)+(W447/45*100*0.20)+((5-O447)/4*100*0.15)+((5-P447)/4*100*0.10)+((6-Y447)/5*100*0.10)+((100-Z447)*0.10))),1)</x:f>
        <x:v>34.6</x:v>
      </x:c>
      <x:c r="AP447" s="37" t="str">
        <x:f>IF(AO447&gt;=70,"High",IF(AO447&gt;=40,"Moderate","Low"))</x:f>
        <x:v>Low</x:v>
      </x:c>
      <x:c r="AQ447" s="37" t="n">
        <x:f>ROUND(MAX(0,MIN(100,(O447/4*100*0.25)+(P447/4*100*0.20)+(Q447/4*100*0.15)+(Y447/5*100*0.20)+(100-AO447)*0.20)),1)</x:f>
        <x:v>64.3</x:v>
      </x:c>
      <x:c r="AR447" s="37" t="n">
        <x:f>ROUND((AI447*0.20+AJ447*0.15+AN447*0.18+AG447*0.12+Z447*0.15+AQ447*0.20),1)</x:f>
        <x:v>84.1</x:v>
      </x:c>
      <x:c r="AS447" s="39" t="n">
        <x:f>ROUND((AC447*AF447*120)+(AH447*350)+(MAX(0,AI447-75)*220)+(MAX(0,AQ447-60)*100),0)</x:f>
        <x:v>22320</x:v>
      </x:c>
    </x:row>
    <x:row r="448">
      <x:c r="A448" s="35" t="n">
        <x:v>447</x:v>
      </x:c>
      <x:c r="B448" s="35" t="n">
        <x:v>45</x:v>
      </x:c>
      <x:c r="C448" s="35" t="str">
        <x:v>Female</x:v>
      </x:c>
      <x:c r="D448" s="35" t="str">
        <x:v>Sales</x:v>
      </x:c>
      <x:c r="E448" s="35" t="str">
        <x:v>Sales Representative</x:v>
      </x:c>
      <x:c r="F448" s="35" t="str">
        <x:v>Human Resources</x:v>
      </x:c>
      <x:c r="G448" s="35" t="str">
        <x:v>Married</x:v>
      </x:c>
      <x:c r="H448" s="35" t="n">
        <x:v>3</x:v>
      </x:c>
      <x:c r="I448" s="36" t="n">
        <x:v>13110</x:v>
      </x:c>
      <x:c r="J448" s="35" t="n">
        <x:v>18</x:v>
      </x:c>
      <x:c r="K448" s="35" t="n">
        <x:v>8</x:v>
      </x:c>
      <x:c r="L448" s="35" t="n">
        <x:v>3</x:v>
      </x:c>
      <x:c r="M448" s="35" t="n">
        <x:v>8</x:v>
      </x:c>
      <x:c r="N448" s="35" t="str">
        <x:v>Yes</x:v>
      </x:c>
      <x:c r="O448" s="35" t="n">
        <x:v>2</x:v>
      </x:c>
      <x:c r="P448" s="35" t="n">
        <x:v>3</x:v>
      </x:c>
      <x:c r="Q448" s="35" t="n">
        <x:v>2</x:v>
      </x:c>
      <x:c r="R448" s="35" t="n">
        <x:v>4</x:v>
      </x:c>
      <x:c r="S448" s="35" t="n">
        <x:v>3</x:v>
      </x:c>
      <x:c r="T448" s="35" t="n">
        <x:v>2</x:v>
      </x:c>
      <x:c r="U448" s="35" t="n">
        <x:v>1</x:v>
      </x:c>
      <x:c r="V448" s="35" t="n">
        <x:v>0</x:v>
      </x:c>
      <x:c r="W448" s="35" t="n">
        <x:v>10</x:v>
      </x:c>
      <x:c r="X448" s="35" t="n">
        <x:v>81</x:v>
      </x:c>
      <x:c r="Y448" s="35" t="n">
        <x:v>4</x:v>
      </x:c>
      <x:c r="Z448" s="35" t="n">
        <x:v>100</x:v>
      </x:c>
      <x:c r="AA448" s="35" t="n">
        <x:v>5</x:v>
      </x:c>
      <x:c r="AB448" s="35" t="n">
        <x:v>3</x:v>
      </x:c>
      <x:c r="AC448" s="35" t="n">
        <x:v>3</x:v>
      </x:c>
      <x:c r="AD448" s="35" t="n">
        <x:v>67</x:v>
      </x:c>
      <x:c r="AE448" s="35" t="n">
        <x:v>72</x:v>
      </x:c>
      <x:c r="AF448" s="35" t="n">
        <x:v>81</x:v>
      </x:c>
      <x:c r="AG448" s="35" t="n">
        <x:v>100</x:v>
      </x:c>
      <x:c r="AH448" s="35" t="n">
        <x:v>8</x:v>
      </x:c>
      <x:c r="AI448" s="37" t="n">
        <x:v>100</x:v>
      </x:c>
      <x:c r="AJ448" s="37" t="n">
        <x:v>92.9</x:v>
      </x:c>
      <x:c r="AK448" s="35" t="str">
        <x:v>No</x:v>
      </x:c>
      <x:c r="AL448" s="38" t="n">
        <x:f>IF(AA448=0,0,AB448/AA448)</x:f>
        <x:v>0.6</x:v>
      </x:c>
      <x:c r="AM448" s="38" t="n">
        <x:f>IF(AB448=0,0,AC448/AB448)</x:f>
        <x:v>1</x:v>
      </x:c>
      <x:c r="AN448" s="37" t="n">
        <x:f>ROUND((AD448*0.20+AE448*0.20+AF448*0.25+AG448*0.15+MIN(100,AC448*12)*0.20),1)</x:f>
        <x:v>70.3</x:v>
      </x:c>
      <x:c r="AO448" s="37" t="n">
        <x:f>ROUND(MAX(0,MIN(100,(X448*0.35)+(W448/45*100*0.20)+((5-O448)/4*100*0.15)+((5-P448)/4*100*0.10)+((6-Y448)/5*100*0.10)+((100-Z448)*0.10))),1)</x:f>
        <x:v>53</x:v>
      </x:c>
      <x:c r="AP448" s="37" t="str">
        <x:f>IF(AO448&gt;=70,"High",IF(AO448&gt;=40,"Moderate","Low"))</x:f>
        <x:v>Moderate</x:v>
      </x:c>
      <x:c r="AQ448" s="37" t="n">
        <x:f>ROUND(MAX(0,MIN(100,(O448/4*100*0.25)+(P448/4*100*0.20)+(Q448/4*100*0.15)+(Y448/5*100*0.20)+(100-AO448)*0.20)),1)</x:f>
        <x:v>60.4</x:v>
      </x:c>
      <x:c r="AR448" s="37" t="n">
        <x:f>ROUND((AI448*0.20+AJ448*0.15+AN448*0.18+AG448*0.12+Z448*0.15+AQ448*0.20),1)</x:f>
        <x:v>85.7</x:v>
      </x:c>
      <x:c r="AS448" s="39" t="n">
        <x:f>ROUND((AC448*AF448*120)+(AH448*350)+(MAX(0,AI448-75)*220)+(MAX(0,AQ448-60)*100),0)</x:f>
        <x:v>37500</x:v>
      </x:c>
    </x:row>
    <x:row r="449">
      <x:c r="A449" s="35" t="n">
        <x:v>448</x:v>
      </x:c>
      <x:c r="B449" s="35" t="n">
        <x:v>22</x:v>
      </x:c>
      <x:c r="C449" s="35" t="str">
        <x:v>Female</x:v>
      </x:c>
      <x:c r="D449" s="35" t="str">
        <x:v>Finance</x:v>
      </x:c>
      <x:c r="E449" s="35" t="str">
        <x:v>Finance Manager</x:v>
      </x:c>
      <x:c r="F449" s="35" t="str">
        <x:v>Computer Science</x:v>
      </x:c>
      <x:c r="G449" s="35" t="str">
        <x:v>Married</x:v>
      </x:c>
      <x:c r="H449" s="35" t="n">
        <x:v>1</x:v>
      </x:c>
      <x:c r="I449" s="36" t="n">
        <x:v>6610</x:v>
      </x:c>
      <x:c r="J449" s="35" t="n">
        <x:v>0</x:v>
      </x:c>
      <x:c r="K449" s="35" t="n">
        <x:v>0</x:v>
      </x:c>
      <x:c r="L449" s="35" t="n">
        <x:v>0</x:v>
      </x:c>
      <x:c r="M449" s="35" t="n">
        <x:v>20</x:v>
      </x:c>
      <x:c r="N449" s="35" t="str">
        <x:v>Yes</x:v>
      </x:c>
      <x:c r="O449" s="35" t="n">
        <x:v>3</x:v>
      </x:c>
      <x:c r="P449" s="35" t="n">
        <x:v>2</x:v>
      </x:c>
      <x:c r="Q449" s="35" t="n">
        <x:v>3</x:v>
      </x:c>
      <x:c r="R449" s="35" t="n">
        <x:v>3</x:v>
      </x:c>
      <x:c r="S449" s="35" t="n">
        <x:v>3</x:v>
      </x:c>
      <x:c r="T449" s="35" t="n">
        <x:v>3</x:v>
      </x:c>
      <x:c r="U449" s="35" t="n">
        <x:v>1</x:v>
      </x:c>
      <x:c r="V449" s="35" t="n">
        <x:v>3</x:v>
      </x:c>
      <x:c r="W449" s="35" t="n">
        <x:v>26</x:v>
      </x:c>
      <x:c r="X449" s="35" t="n">
        <x:v>88</x:v>
      </x:c>
      <x:c r="Y449" s="35" t="n">
        <x:v>3</x:v>
      </x:c>
      <x:c r="Z449" s="35" t="n">
        <x:v>88</x:v>
      </x:c>
      <x:c r="AA449" s="35" t="n">
        <x:v>2</x:v>
      </x:c>
      <x:c r="AB449" s="35" t="n">
        <x:v>1</x:v>
      </x:c>
      <x:c r="AC449" s="35" t="n">
        <x:v>1</x:v>
      </x:c>
      <x:c r="AD449" s="35" t="n">
        <x:v>52</x:v>
      </x:c>
      <x:c r="AE449" s="35" t="n">
        <x:v>71</x:v>
      </x:c>
      <x:c r="AF449" s="35" t="n">
        <x:v>83</x:v>
      </x:c>
      <x:c r="AG449" s="35" t="n">
        <x:v>88</x:v>
      </x:c>
      <x:c r="AH449" s="35" t="n">
        <x:v>5</x:v>
      </x:c>
      <x:c r="AI449" s="37" t="n">
        <x:v>88</x:v>
      </x:c>
      <x:c r="AJ449" s="37" t="n">
        <x:v>100</x:v>
      </x:c>
      <x:c r="AK449" s="35" t="str">
        <x:v>No</x:v>
      </x:c>
      <x:c r="AL449" s="38" t="n">
        <x:f>IF(AA449=0,0,AB449/AA449)</x:f>
        <x:v>0.5</x:v>
      </x:c>
      <x:c r="AM449" s="38" t="n">
        <x:f>IF(AB449=0,0,AC449/AB449)</x:f>
        <x:v>1</x:v>
      </x:c>
      <x:c r="AN449" s="37" t="n">
        <x:f>ROUND((AD449*0.20+AE449*0.20+AF449*0.25+AG449*0.15+MIN(100,AC449*12)*0.20),1)</x:f>
        <x:v>61</x:v>
      </x:c>
      <x:c r="AO449" s="37" t="n">
        <x:f>ROUND(MAX(0,MIN(100,(X449*0.35)+(W449/45*100*0.20)+((5-O449)/4*100*0.15)+((5-P449)/4*100*0.10)+((6-Y449)/5*100*0.10)+((100-Z449)*0.10))),1)</x:f>
        <x:v>64.6</x:v>
      </x:c>
      <x:c r="AP449" s="37" t="str">
        <x:f>IF(AO449&gt;=70,"High",IF(AO449&gt;=40,"Moderate","Low"))</x:f>
        <x:v>Moderate</x:v>
      </x:c>
      <x:c r="AQ449" s="37" t="n">
        <x:f>ROUND(MAX(0,MIN(100,(O449/4*100*0.25)+(P449/4*100*0.20)+(Q449/4*100*0.15)+(Y449/5*100*0.20)+(100-AO449)*0.20)),1)</x:f>
        <x:v>59.1</x:v>
      </x:c>
      <x:c r="AR449" s="37" t="n">
        <x:f>ROUND((AI449*0.20+AJ449*0.15+AN449*0.18+AG449*0.12+Z449*0.15+AQ449*0.20),1)</x:f>
        <x:v>79.2</x:v>
      </x:c>
      <x:c r="AS449" s="39" t="n">
        <x:f>ROUND((AC449*AF449*120)+(AH449*350)+(MAX(0,AI449-75)*220)+(MAX(0,AQ449-60)*100),0)</x:f>
        <x:v>14570</x:v>
      </x:c>
    </x:row>
    <x:row r="450">
      <x:c r="A450" s="35" t="n">
        <x:v>449</x:v>
      </x:c>
      <x:c r="B450" s="35" t="n">
        <x:v>27</x:v>
      </x:c>
      <x:c r="C450" s="35" t="str">
        <x:v>Male</x:v>
      </x:c>
      <x:c r="D450" s="35" t="str">
        <x:v>Operations</x:v>
      </x:c>
      <x:c r="E450" s="35" t="str">
        <x:v>Operations Manager</x:v>
      </x:c>
      <x:c r="F450" s="35" t="str">
        <x:v>Medical</x:v>
      </x:c>
      <x:c r="G450" s="35" t="str">
        <x:v>Divorced</x:v>
      </x:c>
      <x:c r="H450" s="35" t="n">
        <x:v>1</x:v>
      </x:c>
      <x:c r="I450" s="36" t="n">
        <x:v>6570</x:v>
      </x:c>
      <x:c r="J450" s="35" t="n">
        <x:v>4</x:v>
      </x:c>
      <x:c r="K450" s="35" t="n">
        <x:v>2</x:v>
      </x:c>
      <x:c r="L450" s="35" t="n">
        <x:v>1</x:v>
      </x:c>
      <x:c r="M450" s="35" t="n">
        <x:v>3</x:v>
      </x:c>
      <x:c r="N450" s="35" t="str">
        <x:v>No</x:v>
      </x:c>
      <x:c r="O450" s="35" t="n">
        <x:v>3</x:v>
      </x:c>
      <x:c r="P450" s="35" t="n">
        <x:v>3</x:v>
      </x:c>
      <x:c r="Q450" s="35" t="n">
        <x:v>3</x:v>
      </x:c>
      <x:c r="R450" s="35" t="n">
        <x:v>2</x:v>
      </x:c>
      <x:c r="S450" s="35" t="n">
        <x:v>3</x:v>
      </x:c>
      <x:c r="T450" s="35" t="n">
        <x:v>2</x:v>
      </x:c>
      <x:c r="U450" s="35" t="n">
        <x:v>0</x:v>
      </x:c>
      <x:c r="V450" s="35" t="n">
        <x:v>8</x:v>
      </x:c>
      <x:c r="W450" s="35" t="n">
        <x:v>12</x:v>
      </x:c>
      <x:c r="X450" s="35" t="n">
        <x:v>78</x:v>
      </x:c>
      <x:c r="Y450" s="35" t="n">
        <x:v>3</x:v>
      </x:c>
      <x:c r="Z450" s="35" t="n">
        <x:v>93</x:v>
      </x:c>
      <x:c r="AA450" s="35" t="n">
        <x:v>2</x:v>
      </x:c>
      <x:c r="AB450" s="35" t="n">
        <x:v>2</x:v>
      </x:c>
      <x:c r="AC450" s="35" t="n">
        <x:v>2</x:v>
      </x:c>
      <x:c r="AD450" s="35" t="n">
        <x:v>52</x:v>
      </x:c>
      <x:c r="AE450" s="35" t="n">
        <x:v>76</x:v>
      </x:c>
      <x:c r="AF450" s="35" t="n">
        <x:v>68</x:v>
      </x:c>
      <x:c r="AG450" s="35" t="n">
        <x:v>73</x:v>
      </x:c>
      <x:c r="AH450" s="35" t="n">
        <x:v>4</x:v>
      </x:c>
      <x:c r="AI450" s="37" t="n">
        <x:v>96.4</x:v>
      </x:c>
      <x:c r="AJ450" s="37" t="n">
        <x:v>95</x:v>
      </x:c>
      <x:c r="AK450" s="35" t="str">
        <x:v>No</x:v>
      </x:c>
      <x:c r="AL450" s="38" t="n">
        <x:f>IF(AA450=0,0,AB450/AA450)</x:f>
        <x:v>1</x:v>
      </x:c>
      <x:c r="AM450" s="38" t="n">
        <x:f>IF(AB450=0,0,AC450/AB450)</x:f>
        <x:v>1</x:v>
      </x:c>
      <x:c r="AN450" s="37" t="n">
        <x:f>ROUND((AD450*0.20+AE450*0.20+AF450*0.25+AG450*0.15+MIN(100,AC450*12)*0.20),1)</x:f>
        <x:v>58.4</x:v>
      </x:c>
      <x:c r="AO450" s="37" t="n">
        <x:f>ROUND(MAX(0,MIN(100,(X450*0.35)+(W450/45*100*0.20)+((5-O450)/4*100*0.15)+((5-P450)/4*100*0.10)+((6-Y450)/5*100*0.10)+((100-Z450)*0.10))),1)</x:f>
        <x:v>51.8</x:v>
      </x:c>
      <x:c r="AP450" s="37" t="str">
        <x:f>IF(AO450&gt;=70,"High",IF(AO450&gt;=40,"Moderate","Low"))</x:f>
        <x:v>Moderate</x:v>
      </x:c>
      <x:c r="AQ450" s="37" t="n">
        <x:f>ROUND(MAX(0,MIN(100,(O450/4*100*0.25)+(P450/4*100*0.20)+(Q450/4*100*0.15)+(Y450/5*100*0.20)+(100-AO450)*0.20)),1)</x:f>
        <x:v>66.6</x:v>
      </x:c>
      <x:c r="AR450" s="37" t="n">
        <x:f>ROUND((AI450*0.20+AJ450*0.15+AN450*0.18+AG450*0.12+Z450*0.15+AQ450*0.20),1)</x:f>
        <x:v>80.1</x:v>
      </x:c>
      <x:c r="AS450" s="39" t="n">
        <x:f>ROUND((AC450*AF450*120)+(AH450*350)+(MAX(0,AI450-75)*220)+(MAX(0,AQ450-60)*100),0)</x:f>
        <x:v>23088</x:v>
      </x:c>
    </x:row>
    <x:row r="451">
      <x:c r="A451" s="35" t="n">
        <x:v>450</x:v>
      </x:c>
      <x:c r="B451" s="35" t="n">
        <x:v>44</x:v>
      </x:c>
      <x:c r="C451" s="35" t="str">
        <x:v>Male</x:v>
      </x:c>
      <x:c r="D451" s="35" t="str">
        <x:v>Research &amp; Development</x:v>
      </x:c>
      <x:c r="E451" s="35" t="str">
        <x:v>Data Scientist</x:v>
      </x:c>
      <x:c r="F451" s="35" t="str">
        <x:v>Technical Degree</x:v>
      </x:c>
      <x:c r="G451" s="35" t="str">
        <x:v>Divorced</x:v>
      </x:c>
      <x:c r="H451" s="35" t="n">
        <x:v>3</x:v>
      </x:c>
      <x:c r="I451" s="36" t="n">
        <x:v>12460</x:v>
      </x:c>
      <x:c r="J451" s="35" t="n">
        <x:v>18</x:v>
      </x:c>
      <x:c r="K451" s="35" t="n">
        <x:v>9</x:v>
      </x:c>
      <x:c r="L451" s="35" t="n">
        <x:v>6</x:v>
      </x:c>
      <x:c r="M451" s="35" t="n">
        <x:v>9</x:v>
      </x:c>
      <x:c r="N451" s="35" t="str">
        <x:v>No</x:v>
      </x:c>
      <x:c r="O451" s="35" t="n">
        <x:v>2</x:v>
      </x:c>
      <x:c r="P451" s="35" t="n">
        <x:v>3</x:v>
      </x:c>
      <x:c r="Q451" s="35" t="n">
        <x:v>3</x:v>
      </x:c>
      <x:c r="R451" s="35" t="n">
        <x:v>4</x:v>
      </x:c>
      <x:c r="S451" s="35" t="n">
        <x:v>3</x:v>
      </x:c>
      <x:c r="T451" s="35" t="n">
        <x:v>6</x:v>
      </x:c>
      <x:c r="U451" s="35" t="n">
        <x:v>0</x:v>
      </x:c>
      <x:c r="V451" s="35" t="n">
        <x:v>6</x:v>
      </x:c>
      <x:c r="W451" s="35" t="n">
        <x:v>5</x:v>
      </x:c>
      <x:c r="X451" s="35" t="n">
        <x:v>72</x:v>
      </x:c>
      <x:c r="Y451" s="35" t="n">
        <x:v>4</x:v>
      </x:c>
      <x:c r="Z451" s="35" t="n">
        <x:v>100</x:v>
      </x:c>
      <x:c r="AA451" s="35" t="n">
        <x:v>7</x:v>
      </x:c>
      <x:c r="AB451" s="35" t="n">
        <x:v>5</x:v>
      </x:c>
      <x:c r="AC451" s="35" t="n">
        <x:v>4</x:v>
      </x:c>
      <x:c r="AD451" s="35" t="n">
        <x:v>93</x:v>
      </x:c>
      <x:c r="AE451" s="35" t="n">
        <x:v>78</x:v>
      </x:c>
      <x:c r="AF451" s="35" t="n">
        <x:v>80</x:v>
      </x:c>
      <x:c r="AG451" s="35" t="n">
        <x:v>100</x:v>
      </x:c>
      <x:c r="AH451" s="35" t="n">
        <x:v>4</x:v>
      </x:c>
      <x:c r="AI451" s="37" t="n">
        <x:v>96</x:v>
      </x:c>
      <x:c r="AJ451" s="37" t="n">
        <x:v>100</x:v>
      </x:c>
      <x:c r="AK451" s="35" t="str">
        <x:v>No</x:v>
      </x:c>
      <x:c r="AL451" s="38" t="n">
        <x:f>IF(AA451=0,0,AB451/AA451)</x:f>
        <x:v>0.7142857142857143</x:v>
      </x:c>
      <x:c r="AM451" s="38" t="n">
        <x:f>IF(AB451=0,0,AC451/AB451)</x:f>
        <x:v>0.8</x:v>
      </x:c>
      <x:c r="AN451" s="37" t="n">
        <x:f>ROUND((AD451*0.20+AE451*0.20+AF451*0.25+AG451*0.15+MIN(100,AC451*12)*0.20),1)</x:f>
        <x:v>78.8</x:v>
      </x:c>
      <x:c r="AO451" s="37" t="n">
        <x:f>ROUND(MAX(0,MIN(100,(X451*0.35)+(W451/45*100*0.20)+((5-O451)/4*100*0.15)+((5-P451)/4*100*0.10)+((6-Y451)/5*100*0.10)+((100-Z451)*0.10))),1)</x:f>
        <x:v>47.7</x:v>
      </x:c>
      <x:c r="AP451" s="37" t="str">
        <x:f>IF(AO451&gt;=70,"High",IF(AO451&gt;=40,"Moderate","Low"))</x:f>
        <x:v>Moderate</x:v>
      </x:c>
      <x:c r="AQ451" s="37" t="n">
        <x:f>ROUND(MAX(0,MIN(100,(O451/4*100*0.25)+(P451/4*100*0.20)+(Q451/4*100*0.15)+(Y451/5*100*0.20)+(100-AO451)*0.20)),1)</x:f>
        <x:v>65.2</x:v>
      </x:c>
      <x:c r="AR451" s="37" t="n">
        <x:f>ROUND((AI451*0.20+AJ451*0.15+AN451*0.18+AG451*0.12+Z451*0.15+AQ451*0.20),1)</x:f>
        <x:v>88.4</x:v>
      </x:c>
      <x:c r="AS451" s="39" t="n">
        <x:f>ROUND((AC451*AF451*120)+(AH451*350)+(MAX(0,AI451-75)*220)+(MAX(0,AQ451-60)*100),0)</x:f>
        <x:v>44940</x:v>
      </x:c>
    </x:row>
    <x:row r="452">
      <x:c r="A452" s="35" t="n">
        <x:v>451</x:v>
      </x:c>
      <x:c r="B452" s="35" t="n">
        <x:v>21</x:v>
      </x:c>
      <x:c r="C452" s="35" t="str">
        <x:v>Female</x:v>
      </x:c>
      <x:c r="D452" s="35" t="str">
        <x:v>Research &amp; Development</x:v>
      </x:c>
      <x:c r="E452" s="35" t="str">
        <x:v>R&amp;D Manager</x:v>
      </x:c>
      <x:c r="F452" s="35" t="str">
        <x:v>Business</x:v>
      </x:c>
      <x:c r="G452" s="35" t="str">
        <x:v>Married</x:v>
      </x:c>
      <x:c r="H452" s="35" t="n">
        <x:v>1</x:v>
      </x:c>
      <x:c r="I452" s="36" t="n">
        <x:v>4200</x:v>
      </x:c>
      <x:c r="J452" s="35" t="n">
        <x:v>0</x:v>
      </x:c>
      <x:c r="K452" s="35" t="n">
        <x:v>0</x:v>
      </x:c>
      <x:c r="L452" s="35" t="n">
        <x:v>0</x:v>
      </x:c>
      <x:c r="M452" s="35" t="n">
        <x:v>7</x:v>
      </x:c>
      <x:c r="N452" s="35" t="str">
        <x:v>Yes</x:v>
      </x:c>
      <x:c r="O452" s="35" t="n">
        <x:v>4</x:v>
      </x:c>
      <x:c r="P452" s="35" t="n">
        <x:v>3</x:v>
      </x:c>
      <x:c r="Q452" s="35" t="n">
        <x:v>3</x:v>
      </x:c>
      <x:c r="R452" s="35" t="n">
        <x:v>3</x:v>
      </x:c>
      <x:c r="S452" s="35" t="n">
        <x:v>3</x:v>
      </x:c>
      <x:c r="T452" s="35" t="n">
        <x:v>0</x:v>
      </x:c>
      <x:c r="U452" s="35" t="n">
        <x:v>0</x:v>
      </x:c>
      <x:c r="V452" s="35" t="n">
        <x:v>6</x:v>
      </x:c>
      <x:c r="W452" s="35" t="n">
        <x:v>19</x:v>
      </x:c>
      <x:c r="X452" s="35" t="n">
        <x:v>55</x:v>
      </x:c>
      <x:c r="Y452" s="35" t="n">
        <x:v>5</x:v>
      </x:c>
      <x:c r="Z452" s="35" t="n">
        <x:v>100</x:v>
      </x:c>
      <x:c r="AA452" s="35" t="n">
        <x:v>3</x:v>
      </x:c>
      <x:c r="AB452" s="35" t="n">
        <x:v>3</x:v>
      </x:c>
      <x:c r="AC452" s="35" t="n">
        <x:v>3</x:v>
      </x:c>
      <x:c r="AD452" s="35" t="n">
        <x:v>63</x:v>
      </x:c>
      <x:c r="AE452" s="35" t="n">
        <x:v>80</x:v>
      </x:c>
      <x:c r="AF452" s="35" t="n">
        <x:v>67</x:v>
      </x:c>
      <x:c r="AG452" s="35" t="n">
        <x:v>86</x:v>
      </x:c>
      <x:c r="AH452" s="35" t="n">
        <x:v>6</x:v>
      </x:c>
      <x:c r="AI452" s="37" t="n">
        <x:v>100</x:v>
      </x:c>
      <x:c r="AJ452" s="37" t="n">
        <x:v>91.4</x:v>
      </x:c>
      <x:c r="AK452" s="35" t="str">
        <x:v>No</x:v>
      </x:c>
      <x:c r="AL452" s="38" t="n">
        <x:f>IF(AA452=0,0,AB452/AA452)</x:f>
        <x:v>1</x:v>
      </x:c>
      <x:c r="AM452" s="38" t="n">
        <x:f>IF(AB452=0,0,AC452/AB452)</x:f>
        <x:v>1</x:v>
      </x:c>
      <x:c r="AN452" s="37" t="n">
        <x:f>ROUND((AD452*0.20+AE452*0.20+AF452*0.25+AG452*0.15+MIN(100,AC452*12)*0.20),1)</x:f>
        <x:v>65.5</x:v>
      </x:c>
      <x:c r="AO452" s="37" t="n">
        <x:f>ROUND(MAX(0,MIN(100,(X452*0.35)+(W452/45*100*0.20)+((5-O452)/4*100*0.15)+((5-P452)/4*100*0.10)+((6-Y452)/5*100*0.10)+((100-Z452)*0.10))),1)</x:f>
        <x:v>38.4</x:v>
      </x:c>
      <x:c r="AP452" s="37" t="str">
        <x:f>IF(AO452&gt;=70,"High",IF(AO452&gt;=40,"Moderate","Low"))</x:f>
        <x:v>Low</x:v>
      </x:c>
      <x:c r="AQ452" s="37" t="n">
        <x:f>ROUND(MAX(0,MIN(100,(O452/4*100*0.25)+(P452/4*100*0.20)+(Q452/4*100*0.15)+(Y452/5*100*0.20)+(100-AO452)*0.20)),1)</x:f>
        <x:v>83.6</x:v>
      </x:c>
      <x:c r="AR452" s="37" t="n">
        <x:f>ROUND((AI452*0.20+AJ452*0.15+AN452*0.18+AG452*0.12+Z452*0.15+AQ452*0.20),1)</x:f>
        <x:v>87.5</x:v>
      </x:c>
      <x:c r="AS452" s="39" t="n">
        <x:f>ROUND((AC452*AF452*120)+(AH452*350)+(MAX(0,AI452-75)*220)+(MAX(0,AQ452-60)*100),0)</x:f>
        <x:v>34080</x:v>
      </x:c>
    </x:row>
    <x:row r="453">
      <x:c r="A453" s="35" t="n">
        <x:v>452</x:v>
      </x:c>
      <x:c r="B453" s="35" t="n">
        <x:v>36</x:v>
      </x:c>
      <x:c r="C453" s="35" t="str">
        <x:v>Female</x:v>
      </x:c>
      <x:c r="D453" s="35" t="str">
        <x:v>Sales</x:v>
      </x:c>
      <x:c r="E453" s="35" t="str">
        <x:v>Sales Representative</x:v>
      </x:c>
      <x:c r="F453" s="35" t="str">
        <x:v>Business</x:v>
      </x:c>
      <x:c r="G453" s="35" t="str">
        <x:v>Married</x:v>
      </x:c>
      <x:c r="H453" s="35" t="n">
        <x:v>2</x:v>
      </x:c>
      <x:c r="I453" s="36" t="n">
        <x:v>7020</x:v>
      </x:c>
      <x:c r="J453" s="35" t="n">
        <x:v>10</x:v>
      </x:c>
      <x:c r="K453" s="35" t="n">
        <x:v>5</x:v>
      </x:c>
      <x:c r="L453" s="35" t="n">
        <x:v>3</x:v>
      </x:c>
      <x:c r="M453" s="35" t="n">
        <x:v>2</x:v>
      </x:c>
      <x:c r="N453" s="35" t="str">
        <x:v>No</x:v>
      </x:c>
      <x:c r="O453" s="35" t="n">
        <x:v>4</x:v>
      </x:c>
      <x:c r="P453" s="35" t="n">
        <x:v>4</x:v>
      </x:c>
      <x:c r="Q453" s="35" t="n">
        <x:v>3</x:v>
      </x:c>
      <x:c r="R453" s="35" t="n">
        <x:v>3</x:v>
      </x:c>
      <x:c r="S453" s="35" t="n">
        <x:v>3</x:v>
      </x:c>
      <x:c r="T453" s="35" t="n">
        <x:v>3</x:v>
      </x:c>
      <x:c r="U453" s="35" t="n">
        <x:v>0</x:v>
      </x:c>
      <x:c r="V453" s="35" t="n">
        <x:v>8</x:v>
      </x:c>
      <x:c r="W453" s="35" t="n">
        <x:v>8</x:v>
      </x:c>
      <x:c r="X453" s="35" t="n">
        <x:v>60</x:v>
      </x:c>
      <x:c r="Y453" s="35" t="n">
        <x:v>5</x:v>
      </x:c>
      <x:c r="Z453" s="35" t="n">
        <x:v>100</x:v>
      </x:c>
      <x:c r="AA453" s="35" t="n">
        <x:v>1</x:v>
      </x:c>
      <x:c r="AB453" s="35" t="n">
        <x:v>1</x:v>
      </x:c>
      <x:c r="AC453" s="35" t="n">
        <x:v>1</x:v>
      </x:c>
      <x:c r="AD453" s="35" t="n">
        <x:v>57</x:v>
      </x:c>
      <x:c r="AE453" s="35" t="n">
        <x:v>70</x:v>
      </x:c>
      <x:c r="AF453" s="35" t="n">
        <x:v>49</x:v>
      </x:c>
      <x:c r="AG453" s="35" t="n">
        <x:v>88</x:v>
      </x:c>
      <x:c r="AH453" s="35" t="n">
        <x:v>5</x:v>
      </x:c>
      <x:c r="AI453" s="37" t="n">
        <x:v>89.2</x:v>
      </x:c>
      <x:c r="AJ453" s="37" t="n">
        <x:v>94.1</x:v>
      </x:c>
      <x:c r="AK453" s="35" t="str">
        <x:v>No</x:v>
      </x:c>
      <x:c r="AL453" s="38" t="n">
        <x:f>IF(AA453=0,0,AB453/AA453)</x:f>
        <x:v>1</x:v>
      </x:c>
      <x:c r="AM453" s="38" t="n">
        <x:f>IF(AB453=0,0,AC453/AB453)</x:f>
        <x:v>1</x:v>
      </x:c>
      <x:c r="AN453" s="37" t="n">
        <x:f>ROUND((AD453*0.20+AE453*0.20+AF453*0.25+AG453*0.15+MIN(100,AC453*12)*0.20),1)</x:f>
        <x:v>53.2</x:v>
      </x:c>
      <x:c r="AO453" s="37" t="n">
        <x:f>ROUND(MAX(0,MIN(100,(X453*0.35)+(W453/45*100*0.20)+((5-O453)/4*100*0.15)+((5-P453)/4*100*0.10)+((6-Y453)/5*100*0.10)+((100-Z453)*0.10))),1)</x:f>
        <x:v>32.8</x:v>
      </x:c>
      <x:c r="AP453" s="37" t="str">
        <x:f>IF(AO453&gt;=70,"High",IF(AO453&gt;=40,"Moderate","Low"))</x:f>
        <x:v>Low</x:v>
      </x:c>
      <x:c r="AQ453" s="37" t="n">
        <x:f>ROUND(MAX(0,MIN(100,(O453/4*100*0.25)+(P453/4*100*0.20)+(Q453/4*100*0.15)+(Y453/5*100*0.20)+(100-AO453)*0.20)),1)</x:f>
        <x:v>89.7</x:v>
      </x:c>
      <x:c r="AR453" s="37" t="n">
        <x:f>ROUND((AI453*0.20+AJ453*0.15+AN453*0.18+AG453*0.12+Z453*0.15+AQ453*0.20),1)</x:f>
        <x:v>85</x:v>
      </x:c>
      <x:c r="AS453" s="39" t="n">
        <x:f>ROUND((AC453*AF453*120)+(AH453*350)+(MAX(0,AI453-75)*220)+(MAX(0,AQ453-60)*100),0)</x:f>
        <x:v>13724</x:v>
      </x:c>
    </x:row>
    <x:row r="454">
      <x:c r="A454" s="35" t="n">
        <x:v>453</x:v>
      </x:c>
      <x:c r="B454" s="35" t="n">
        <x:v>35</x:v>
      </x:c>
      <x:c r="C454" s="35" t="str">
        <x:v>Male</x:v>
      </x:c>
      <x:c r="D454" s="35" t="str">
        <x:v>Marketing</x:v>
      </x:c>
      <x:c r="E454" s="35" t="str">
        <x:v>Marketing Specialist</x:v>
      </x:c>
      <x:c r="F454" s="35" t="str">
        <x:v>Marketing</x:v>
      </x:c>
      <x:c r="G454" s="35" t="str">
        <x:v>Married</x:v>
      </x:c>
      <x:c r="H454" s="35" t="n">
        <x:v>2</x:v>
      </x:c>
      <x:c r="I454" s="36" t="n">
        <x:v>8770</x:v>
      </x:c>
      <x:c r="J454" s="35" t="n">
        <x:v>11</x:v>
      </x:c>
      <x:c r="K454" s="35" t="n">
        <x:v>5</x:v>
      </x:c>
      <x:c r="L454" s="35" t="n">
        <x:v>4</x:v>
      </x:c>
      <x:c r="M454" s="35" t="n">
        <x:v>4</x:v>
      </x:c>
      <x:c r="N454" s="35" t="str">
        <x:v>No</x:v>
      </x:c>
      <x:c r="O454" s="35" t="n">
        <x:v>3</x:v>
      </x:c>
      <x:c r="P454" s="35" t="n">
        <x:v>4</x:v>
      </x:c>
      <x:c r="Q454" s="35" t="n">
        <x:v>3</x:v>
      </x:c>
      <x:c r="R454" s="35" t="n">
        <x:v>2</x:v>
      </x:c>
      <x:c r="S454" s="35" t="n">
        <x:v>3</x:v>
      </x:c>
      <x:c r="T454" s="35" t="n">
        <x:v>2</x:v>
      </x:c>
      <x:c r="U454" s="35" t="n">
        <x:v>0</x:v>
      </x:c>
      <x:c r="V454" s="35" t="n">
        <x:v>6</x:v>
      </x:c>
      <x:c r="W454" s="35" t="n">
        <x:v>5</x:v>
      </x:c>
      <x:c r="X454" s="35" t="n">
        <x:v>63</x:v>
      </x:c>
      <x:c r="Y454" s="35" t="n">
        <x:v>5</x:v>
      </x:c>
      <x:c r="Z454" s="35" t="n">
        <x:v>100</x:v>
      </x:c>
      <x:c r="AA454" s="35" t="n">
        <x:v>6</x:v>
      </x:c>
      <x:c r="AB454" s="35" t="n">
        <x:v>5</x:v>
      </x:c>
      <x:c r="AC454" s="35" t="n">
        <x:v>5</x:v>
      </x:c>
      <x:c r="AD454" s="35" t="n">
        <x:v>80</x:v>
      </x:c>
      <x:c r="AE454" s="35" t="n">
        <x:v>61</x:v>
      </x:c>
      <x:c r="AF454" s="35" t="n">
        <x:v>87</x:v>
      </x:c>
      <x:c r="AG454" s="35" t="n">
        <x:v>72</x:v>
      </x:c>
      <x:c r="AH454" s="35" t="n">
        <x:v>9</x:v>
      </x:c>
      <x:c r="AI454" s="37" t="n">
        <x:v>96</x:v>
      </x:c>
      <x:c r="AJ454" s="37" t="n">
        <x:v>90.6</x:v>
      </x:c>
      <x:c r="AK454" s="35" t="str">
        <x:v>No</x:v>
      </x:c>
      <x:c r="AL454" s="38" t="n">
        <x:f>IF(AA454=0,0,AB454/AA454)</x:f>
        <x:v>0.8333333333333334</x:v>
      </x:c>
      <x:c r="AM454" s="38" t="n">
        <x:f>IF(AB454=0,0,AC454/AB454)</x:f>
        <x:v>1</x:v>
      </x:c>
      <x:c r="AN454" s="37" t="n">
        <x:f>ROUND((AD454*0.20+AE454*0.20+AF454*0.25+AG454*0.15+MIN(100,AC454*12)*0.20),1)</x:f>
        <x:v>72.8</x:v>
      </x:c>
      <x:c r="AO454" s="37" t="n">
        <x:f>ROUND(MAX(0,MIN(100,(X454*0.35)+(W454/45*100*0.20)+((5-O454)/4*100*0.15)+((5-P454)/4*100*0.10)+((6-Y454)/5*100*0.10)+((100-Z454)*0.10))),1)</x:f>
        <x:v>36.3</x:v>
      </x:c>
      <x:c r="AP454" s="37" t="str">
        <x:f>IF(AO454&gt;=70,"High",IF(AO454&gt;=40,"Moderate","Low"))</x:f>
        <x:v>Low</x:v>
      </x:c>
      <x:c r="AQ454" s="37" t="n">
        <x:f>ROUND(MAX(0,MIN(100,(O454/4*100*0.25)+(P454/4*100*0.20)+(Q454/4*100*0.15)+(Y454/5*100*0.20)+(100-AO454)*0.20)),1)</x:f>
        <x:v>82.7</x:v>
      </x:c>
      <x:c r="AR454" s="37" t="n">
        <x:f>ROUND((AI454*0.20+AJ454*0.15+AN454*0.18+AG454*0.12+Z454*0.15+AQ454*0.20),1)</x:f>
        <x:v>86.1</x:v>
      </x:c>
      <x:c r="AS454" s="39" t="n">
        <x:f>ROUND((AC454*AF454*120)+(AH454*350)+(MAX(0,AI454-75)*220)+(MAX(0,AQ454-60)*100),0)</x:f>
        <x:v>62240</x:v>
      </x:c>
    </x:row>
    <x:row r="455">
      <x:c r="A455" s="35" t="n">
        <x:v>454</x:v>
      </x:c>
      <x:c r="B455" s="35" t="n">
        <x:v>37</x:v>
      </x:c>
      <x:c r="C455" s="35" t="str">
        <x:v>Female</x:v>
      </x:c>
      <x:c r="D455" s="35" t="str">
        <x:v>Operations</x:v>
      </x:c>
      <x:c r="E455" s="35" t="str">
        <x:v>Operations Specialist</x:v>
      </x:c>
      <x:c r="F455" s="35" t="str">
        <x:v>Medical</x:v>
      </x:c>
      <x:c r="G455" s="35" t="str">
        <x:v>Married</x:v>
      </x:c>
      <x:c r="H455" s="35" t="n">
        <x:v>2</x:v>
      </x:c>
      <x:c r="I455" s="36" t="n">
        <x:v>7670</x:v>
      </x:c>
      <x:c r="J455" s="35" t="n">
        <x:v>9</x:v>
      </x:c>
      <x:c r="K455" s="35" t="n">
        <x:v>7</x:v>
      </x:c>
      <x:c r="L455" s="35" t="n">
        <x:v>3</x:v>
      </x:c>
      <x:c r="M455" s="35" t="n">
        <x:v>6</x:v>
      </x:c>
      <x:c r="N455" s="35" t="str">
        <x:v>Yes</x:v>
      </x:c>
      <x:c r="O455" s="35" t="n">
        <x:v>3</x:v>
      </x:c>
      <x:c r="P455" s="35" t="n">
        <x:v>3</x:v>
      </x:c>
      <x:c r="Q455" s="35" t="n">
        <x:v>1</x:v>
      </x:c>
      <x:c r="R455" s="35" t="n">
        <x:v>3</x:v>
      </x:c>
      <x:c r="S455" s="35" t="n">
        <x:v>3</x:v>
      </x:c>
      <x:c r="T455" s="35" t="n">
        <x:v>3</x:v>
      </x:c>
      <x:c r="U455" s="35" t="n">
        <x:v>0</x:v>
      </x:c>
      <x:c r="V455" s="35" t="n">
        <x:v>4</x:v>
      </x:c>
      <x:c r="W455" s="35" t="n">
        <x:v>13</x:v>
      </x:c>
      <x:c r="X455" s="35" t="n">
        <x:v>64</x:v>
      </x:c>
      <x:c r="Y455" s="35" t="n">
        <x:v>5</x:v>
      </x:c>
      <x:c r="Z455" s="35" t="n">
        <x:v>100</x:v>
      </x:c>
      <x:c r="AA455" s="35" t="n">
        <x:v>6</x:v>
      </x:c>
      <x:c r="AB455" s="35" t="n">
        <x:v>5</x:v>
      </x:c>
      <x:c r="AC455" s="35" t="n">
        <x:v>5</x:v>
      </x:c>
      <x:c r="AD455" s="35" t="n">
        <x:v>71</x:v>
      </x:c>
      <x:c r="AE455" s="35" t="n">
        <x:v>100</x:v>
      </x:c>
      <x:c r="AF455" s="35" t="n">
        <x:v>69</x:v>
      </x:c>
      <x:c r="AG455" s="35" t="n">
        <x:v>82</x:v>
      </x:c>
      <x:c r="AH455" s="35" t="n">
        <x:v>10</x:v>
      </x:c>
      <x:c r="AI455" s="37" t="n">
        <x:v>91.5</x:v>
      </x:c>
      <x:c r="AJ455" s="37" t="n">
        <x:v>82.2</x:v>
      </x:c>
      <x:c r="AK455" s="35" t="str">
        <x:v>Yes</x:v>
      </x:c>
      <x:c r="AL455" s="38" t="n">
        <x:f>IF(AA455=0,0,AB455/AA455)</x:f>
        <x:v>0.8333333333333334</x:v>
      </x:c>
      <x:c r="AM455" s="38" t="n">
        <x:f>IF(AB455=0,0,AC455/AB455)</x:f>
        <x:v>1</x:v>
      </x:c>
      <x:c r="AN455" s="37" t="n">
        <x:f>ROUND((AD455*0.20+AE455*0.20+AF455*0.25+AG455*0.15+MIN(100,AC455*12)*0.20),1)</x:f>
        <x:v>75.8</x:v>
      </x:c>
      <x:c r="AO455" s="37" t="n">
        <x:f>ROUND(MAX(0,MIN(100,(X455*0.35)+(W455/45*100*0.20)+((5-O455)/4*100*0.15)+((5-P455)/4*100*0.10)+((6-Y455)/5*100*0.10)+((100-Z455)*0.10))),1)</x:f>
        <x:v>42.7</x:v>
      </x:c>
      <x:c r="AP455" s="37" t="str">
        <x:f>IF(AO455&gt;=70,"High",IF(AO455&gt;=40,"Moderate","Low"))</x:f>
        <x:v>Moderate</x:v>
      </x:c>
      <x:c r="AQ455" s="37" t="n">
        <x:f>ROUND(MAX(0,MIN(100,(O455/4*100*0.25)+(P455/4*100*0.20)+(Q455/4*100*0.15)+(Y455/5*100*0.20)+(100-AO455)*0.20)),1)</x:f>
        <x:v>69</x:v>
      </x:c>
      <x:c r="AR455" s="37" t="n">
        <x:f>ROUND((AI455*0.20+AJ455*0.15+AN455*0.18+AG455*0.12+Z455*0.15+AQ455*0.20),1)</x:f>
        <x:v>82.9</x:v>
      </x:c>
      <x:c r="AS455" s="39" t="n">
        <x:f>ROUND((AC455*AF455*120)+(AH455*350)+(MAX(0,AI455-75)*220)+(MAX(0,AQ455-60)*100),0)</x:f>
        <x:v>49430</x:v>
      </x:c>
    </x:row>
    <x:row r="456">
      <x:c r="A456" s="35" t="n">
        <x:v>455</x:v>
      </x:c>
      <x:c r="B456" s="35" t="n">
        <x:v>46</x:v>
      </x:c>
      <x:c r="C456" s="35" t="str">
        <x:v>Male</x:v>
      </x:c>
      <x:c r="D456" s="35" t="str">
        <x:v>Information Technology</x:v>
      </x:c>
      <x:c r="E456" s="35" t="str">
        <x:v>IT Manager</x:v>
      </x:c>
      <x:c r="F456" s="35" t="str">
        <x:v>Life Sciences</x:v>
      </x:c>
      <x:c r="G456" s="35" t="str">
        <x:v>Single</x:v>
      </x:c>
      <x:c r="H456" s="35" t="n">
        <x:v>3</x:v>
      </x:c>
      <x:c r="I456" s="36" t="n">
        <x:v>12260</x:v>
      </x:c>
      <x:c r="J456" s="35" t="n">
        <x:v>15</x:v>
      </x:c>
      <x:c r="K456" s="35" t="n">
        <x:v>12</x:v>
      </x:c>
      <x:c r="L456" s="35" t="n">
        <x:v>10</x:v>
      </x:c>
      <x:c r="M456" s="35" t="n">
        <x:v>10</x:v>
      </x:c>
      <x:c r="N456" s="35" t="str">
        <x:v>No</x:v>
      </x:c>
      <x:c r="O456" s="35" t="n">
        <x:v>3</x:v>
      </x:c>
      <x:c r="P456" s="35" t="n">
        <x:v>2</x:v>
      </x:c>
      <x:c r="Q456" s="35" t="n">
        <x:v>3</x:v>
      </x:c>
      <x:c r="R456" s="35" t="n">
        <x:v>4</x:v>
      </x:c>
      <x:c r="S456" s="35" t="n">
        <x:v>3</x:v>
      </x:c>
      <x:c r="T456" s="35" t="n">
        <x:v>4</x:v>
      </x:c>
      <x:c r="U456" s="35" t="n">
        <x:v>1</x:v>
      </x:c>
      <x:c r="V456" s="35" t="n">
        <x:v>11</x:v>
      </x:c>
      <x:c r="W456" s="35" t="n">
        <x:v>2</x:v>
      </x:c>
      <x:c r="X456" s="35" t="n">
        <x:v>50</x:v>
      </x:c>
      <x:c r="Y456" s="35" t="n">
        <x:v>5</x:v>
      </x:c>
      <x:c r="Z456" s="35" t="n">
        <x:v>100</x:v>
      </x:c>
      <x:c r="AA456" s="35" t="n">
        <x:v>8</x:v>
      </x:c>
      <x:c r="AB456" s="35" t="n">
        <x:v>7</x:v>
      </x:c>
      <x:c r="AC456" s="35" t="n">
        <x:v>6</x:v>
      </x:c>
      <x:c r="AD456" s="35" t="n">
        <x:v>90</x:v>
      </x:c>
      <x:c r="AE456" s="35" t="n">
        <x:v>97</x:v>
      </x:c>
      <x:c r="AF456" s="35" t="n">
        <x:v>100</x:v>
      </x:c>
      <x:c r="AG456" s="35" t="n">
        <x:v>95</x:v>
      </x:c>
      <x:c r="AH456" s="35" t="n">
        <x:v>9</x:v>
      </x:c>
      <x:c r="AI456" s="37" t="n">
        <x:v>96.2</x:v>
      </x:c>
      <x:c r="AJ456" s="37" t="n">
        <x:v>95.4</x:v>
      </x:c>
      <x:c r="AK456" s="35" t="str">
        <x:v>No</x:v>
      </x:c>
      <x:c r="AL456" s="38" t="n">
        <x:f>IF(AA456=0,0,AB456/AA456)</x:f>
        <x:v>0.875</x:v>
      </x:c>
      <x:c r="AM456" s="38" t="n">
        <x:f>IF(AB456=0,0,AC456/AB456)</x:f>
        <x:v>0.8571428571428571</x:v>
      </x:c>
      <x:c r="AN456" s="37" t="n">
        <x:f>ROUND((AD456*0.20+AE456*0.20+AF456*0.25+AG456*0.15+MIN(100,AC456*12)*0.20),1)</x:f>
        <x:v>91.1</x:v>
      </x:c>
      <x:c r="AO456" s="37" t="n">
        <x:f>ROUND(MAX(0,MIN(100,(X456*0.35)+(W456/45*100*0.20)+((5-O456)/4*100*0.15)+((5-P456)/4*100*0.10)+((6-Y456)/5*100*0.10)+((100-Z456)*0.10))),1)</x:f>
        <x:v>35.4</x:v>
      </x:c>
      <x:c r="AP456" s="37" t="str">
        <x:f>IF(AO456&gt;=70,"High",IF(AO456&gt;=40,"Moderate","Low"))</x:f>
        <x:v>Low</x:v>
      </x:c>
      <x:c r="AQ456" s="37" t="n">
        <x:f>ROUND(MAX(0,MIN(100,(O456/4*100*0.25)+(P456/4*100*0.20)+(Q456/4*100*0.15)+(Y456/5*100*0.20)+(100-AO456)*0.20)),1)</x:f>
        <x:v>72.9</x:v>
      </x:c>
      <x:c r="AR456" s="37" t="n">
        <x:f>ROUND((AI456*0.20+AJ456*0.15+AN456*0.18+AG456*0.12+Z456*0.15+AQ456*0.20),1)</x:f>
        <x:v>90.9</x:v>
      </x:c>
      <x:c r="AS456" s="39" t="n">
        <x:f>ROUND((AC456*AF456*120)+(AH456*350)+(MAX(0,AI456-75)*220)+(MAX(0,AQ456-60)*100),0)</x:f>
        <x:v>81104</x:v>
      </x:c>
    </x:row>
    <x:row r="457">
      <x:c r="A457" s="35" t="n">
        <x:v>456</x:v>
      </x:c>
      <x:c r="B457" s="35" t="n">
        <x:v>45</x:v>
      </x:c>
      <x:c r="C457" s="35" t="str">
        <x:v>Female</x:v>
      </x:c>
      <x:c r="D457" s="35" t="str">
        <x:v>Operations</x:v>
      </x:c>
      <x:c r="E457" s="35" t="str">
        <x:v>Operations Manager</x:v>
      </x:c>
      <x:c r="F457" s="35" t="str">
        <x:v>Life Sciences</x:v>
      </x:c>
      <x:c r="G457" s="35" t="str">
        <x:v>Married</x:v>
      </x:c>
      <x:c r="H457" s="35" t="n">
        <x:v>3</x:v>
      </x:c>
      <x:c r="I457" s="36" t="n">
        <x:v>13920</x:v>
      </x:c>
      <x:c r="J457" s="35" t="n">
        <x:v>13</x:v>
      </x:c>
      <x:c r="K457" s="35" t="n">
        <x:v>8</x:v>
      </x:c>
      <x:c r="L457" s="35" t="n">
        <x:v>4</x:v>
      </x:c>
      <x:c r="M457" s="35" t="n">
        <x:v>14</x:v>
      </x:c>
      <x:c r="N457" s="35" t="str">
        <x:v>No</x:v>
      </x:c>
      <x:c r="O457" s="35" t="n">
        <x:v>3</x:v>
      </x:c>
      <x:c r="P457" s="35" t="n">
        <x:v>3</x:v>
      </x:c>
      <x:c r="Q457" s="35" t="n">
        <x:v>4</x:v>
      </x:c>
      <x:c r="R457" s="35" t="n">
        <x:v>3</x:v>
      </x:c>
      <x:c r="S457" s="35" t="n">
        <x:v>4</x:v>
      </x:c>
      <x:c r="T457" s="35" t="n">
        <x:v>3</x:v>
      </x:c>
      <x:c r="U457" s="35" t="n">
        <x:v>1</x:v>
      </x:c>
      <x:c r="V457" s="35" t="n">
        <x:v>13</x:v>
      </x:c>
      <x:c r="W457" s="35" t="n">
        <x:v>0</x:v>
      </x:c>
      <x:c r="X457" s="35" t="n">
        <x:v>62</x:v>
      </x:c>
      <x:c r="Y457" s="35" t="n">
        <x:v>4</x:v>
      </x:c>
      <x:c r="Z457" s="35" t="n">
        <x:v>100</x:v>
      </x:c>
      <x:c r="AA457" s="35" t="n">
        <x:v>3</x:v>
      </x:c>
      <x:c r="AB457" s="35" t="n">
        <x:v>3</x:v>
      </x:c>
      <x:c r="AC457" s="35" t="n">
        <x:v>2</x:v>
      </x:c>
      <x:c r="AD457" s="35" t="n">
        <x:v>66</x:v>
      </x:c>
      <x:c r="AE457" s="35" t="n">
        <x:v>85</x:v>
      </x:c>
      <x:c r="AF457" s="35" t="n">
        <x:v>83</x:v>
      </x:c>
      <x:c r="AG457" s="35" t="n">
        <x:v>84</x:v>
      </x:c>
      <x:c r="AH457" s="35" t="n">
        <x:v>8</x:v>
      </x:c>
      <x:c r="AI457" s="37" t="n">
        <x:v>95.6</x:v>
      </x:c>
      <x:c r="AJ457" s="37" t="n">
        <x:v>100</x:v>
      </x:c>
      <x:c r="AK457" s="35" t="str">
        <x:v>No</x:v>
      </x:c>
      <x:c r="AL457" s="38" t="n">
        <x:f>IF(AA457=0,0,AB457/AA457)</x:f>
        <x:v>1</x:v>
      </x:c>
      <x:c r="AM457" s="38" t="n">
        <x:f>IF(AB457=0,0,AC457/AB457)</x:f>
        <x:v>0.6666666666666666</x:v>
      </x:c>
      <x:c r="AN457" s="37" t="n">
        <x:f>ROUND((AD457*0.20+AE457*0.20+AF457*0.25+AG457*0.15+MIN(100,AC457*12)*0.20),1)</x:f>
        <x:v>68.4</x:v>
      </x:c>
      <x:c r="AO457" s="37" t="n">
        <x:f>ROUND(MAX(0,MIN(100,(X457*0.35)+(W457/45*100*0.20)+((5-O457)/4*100*0.15)+((5-P457)/4*100*0.10)+((6-Y457)/5*100*0.10)+((100-Z457)*0.10))),1)</x:f>
        <x:v>38.2</x:v>
      </x:c>
      <x:c r="AP457" s="37" t="str">
        <x:f>IF(AO457&gt;=70,"High",IF(AO457&gt;=40,"Moderate","Low"))</x:f>
        <x:v>Low</x:v>
      </x:c>
      <x:c r="AQ457" s="37" t="n">
        <x:f>ROUND(MAX(0,MIN(100,(O457/4*100*0.25)+(P457/4*100*0.20)+(Q457/4*100*0.15)+(Y457/5*100*0.20)+(100-AO457)*0.20)),1)</x:f>
        <x:v>77.1</x:v>
      </x:c>
      <x:c r="AR457" s="37" t="n">
        <x:f>ROUND((AI457*0.20+AJ457*0.15+AN457*0.18+AG457*0.12+Z457*0.15+AQ457*0.20),1)</x:f>
        <x:v>86.9</x:v>
      </x:c>
      <x:c r="AS457" s="39" t="n">
        <x:f>ROUND((AC457*AF457*120)+(AH457*350)+(MAX(0,AI457-75)*220)+(MAX(0,AQ457-60)*100),0)</x:f>
        <x:v>28962</x:v>
      </x:c>
    </x:row>
    <x:row r="458">
      <x:c r="A458" s="35" t="n">
        <x:v>457</x:v>
      </x:c>
      <x:c r="B458" s="35" t="n">
        <x:v>44</x:v>
      </x:c>
      <x:c r="C458" s="35" t="str">
        <x:v>Male</x:v>
      </x:c>
      <x:c r="D458" s="35" t="str">
        <x:v>Information Technology</x:v>
      </x:c>
      <x:c r="E458" s="35" t="str">
        <x:v>IT Support</x:v>
      </x:c>
      <x:c r="F458" s="35" t="str">
        <x:v>Business</x:v>
      </x:c>
      <x:c r="G458" s="35" t="str">
        <x:v>Married</x:v>
      </x:c>
      <x:c r="H458" s="35" t="n">
        <x:v>4</x:v>
      </x:c>
      <x:c r="I458" s="36" t="n">
        <x:v>18920</x:v>
      </x:c>
      <x:c r="J458" s="35" t="n">
        <x:v>14</x:v>
      </x:c>
      <x:c r="K458" s="35" t="n">
        <x:v>4</x:v>
      </x:c>
      <x:c r="L458" s="35" t="n">
        <x:v>1</x:v>
      </x:c>
      <x:c r="M458" s="35" t="n">
        <x:v>4</x:v>
      </x:c>
      <x:c r="N458" s="35" t="str">
        <x:v>No</x:v>
      </x:c>
      <x:c r="O458" s="35" t="n">
        <x:v>4</x:v>
      </x:c>
      <x:c r="P458" s="35" t="n">
        <x:v>3</x:v>
      </x:c>
      <x:c r="Q458" s="35" t="n">
        <x:v>3</x:v>
      </x:c>
      <x:c r="R458" s="35" t="n">
        <x:v>3</x:v>
      </x:c>
      <x:c r="S458" s="35" t="n">
        <x:v>3</x:v>
      </x:c>
      <x:c r="T458" s="35" t="n">
        <x:v>4</x:v>
      </x:c>
      <x:c r="U458" s="35" t="n">
        <x:v>1</x:v>
      </x:c>
      <x:c r="V458" s="35" t="n">
        <x:v>2</x:v>
      </x:c>
      <x:c r="W458" s="35" t="n">
        <x:v>2</x:v>
      </x:c>
      <x:c r="X458" s="35" t="n">
        <x:v>47</x:v>
      </x:c>
      <x:c r="Y458" s="35" t="n">
        <x:v>5</x:v>
      </x:c>
      <x:c r="Z458" s="35" t="n">
        <x:v>100</x:v>
      </x:c>
      <x:c r="AA458" s="35" t="n">
        <x:v>3</x:v>
      </x:c>
      <x:c r="AB458" s="35" t="n">
        <x:v>3</x:v>
      </x:c>
      <x:c r="AC458" s="35" t="n">
        <x:v>3</x:v>
      </x:c>
      <x:c r="AD458" s="35" t="n">
        <x:v>76</x:v>
      </x:c>
      <x:c r="AE458" s="35" t="n">
        <x:v>77</x:v>
      </x:c>
      <x:c r="AF458" s="35" t="n">
        <x:v>79</x:v>
      </x:c>
      <x:c r="AG458" s="35" t="n">
        <x:v>98</x:v>
      </x:c>
      <x:c r="AH458" s="35" t="n">
        <x:v>5</x:v>
      </x:c>
      <x:c r="AI458" s="37" t="n">
        <x:v>100</x:v>
      </x:c>
      <x:c r="AJ458" s="37" t="n">
        <x:v>100</x:v>
      </x:c>
      <x:c r="AK458" s="35" t="str">
        <x:v>No</x:v>
      </x:c>
      <x:c r="AL458" s="38" t="n">
        <x:f>IF(AA458=0,0,AB458/AA458)</x:f>
        <x:v>1</x:v>
      </x:c>
      <x:c r="AM458" s="38" t="n">
        <x:f>IF(AB458=0,0,AC458/AB458)</x:f>
        <x:v>1</x:v>
      </x:c>
      <x:c r="AN458" s="37" t="n">
        <x:f>ROUND((AD458*0.20+AE458*0.20+AF458*0.25+AG458*0.15+MIN(100,AC458*12)*0.20),1)</x:f>
        <x:v>72.3</x:v>
      </x:c>
      <x:c r="AO458" s="37" t="n">
        <x:f>ROUND(MAX(0,MIN(100,(X458*0.35)+(W458/45*100*0.20)+((5-O458)/4*100*0.15)+((5-P458)/4*100*0.10)+((6-Y458)/5*100*0.10)+((100-Z458)*0.10))),1)</x:f>
        <x:v>28.1</x:v>
      </x:c>
      <x:c r="AP458" s="37" t="str">
        <x:f>IF(AO458&gt;=70,"High",IF(AO458&gt;=40,"Moderate","Low"))</x:f>
        <x:v>Low</x:v>
      </x:c>
      <x:c r="AQ458" s="37" t="n">
        <x:f>ROUND(MAX(0,MIN(100,(O458/4*100*0.25)+(P458/4*100*0.20)+(Q458/4*100*0.15)+(Y458/5*100*0.20)+(100-AO458)*0.20)),1)</x:f>
        <x:v>85.6</x:v>
      </x:c>
      <x:c r="AR458" s="37" t="n">
        <x:f>ROUND((AI458*0.20+AJ458*0.15+AN458*0.18+AG458*0.12+Z458*0.15+AQ458*0.20),1)</x:f>
        <x:v>91.9</x:v>
      </x:c>
      <x:c r="AS458" s="39" t="n">
        <x:f>ROUND((AC458*AF458*120)+(AH458*350)+(MAX(0,AI458-75)*220)+(MAX(0,AQ458-60)*100),0)</x:f>
        <x:v>38250</x:v>
      </x:c>
    </x:row>
    <x:row r="459">
      <x:c r="A459" s="35" t="n">
        <x:v>458</x:v>
      </x:c>
      <x:c r="B459" s="35" t="n">
        <x:v>51</x:v>
      </x:c>
      <x:c r="C459" s="35" t="str">
        <x:v>Female</x:v>
      </x:c>
      <x:c r="D459" s="35" t="str">
        <x:v>Finance</x:v>
      </x:c>
      <x:c r="E459" s="35" t="str">
        <x:v>Financial Analyst</x:v>
      </x:c>
      <x:c r="F459" s="35" t="str">
        <x:v>Medical</x:v>
      </x:c>
      <x:c r="G459" s="35" t="str">
        <x:v>Married</x:v>
      </x:c>
      <x:c r="H459" s="35" t="n">
        <x:v>4</x:v>
      </x:c>
      <x:c r="I459" s="36" t="n">
        <x:v>20920</x:v>
      </x:c>
      <x:c r="J459" s="35" t="n">
        <x:v>16</x:v>
      </x:c>
      <x:c r="K459" s="35" t="n">
        <x:v>6</x:v>
      </x:c>
      <x:c r="L459" s="35" t="n">
        <x:v>2</x:v>
      </x:c>
      <x:c r="M459" s="35" t="n">
        <x:v>14</x:v>
      </x:c>
      <x:c r="N459" s="35" t="str">
        <x:v>No</x:v>
      </x:c>
      <x:c r="O459" s="35" t="n">
        <x:v>4</x:v>
      </x:c>
      <x:c r="P459" s="35" t="n">
        <x:v>3</x:v>
      </x:c>
      <x:c r="Q459" s="35" t="n">
        <x:v>4</x:v>
      </x:c>
      <x:c r="R459" s="35" t="n">
        <x:v>3</x:v>
      </x:c>
      <x:c r="S459" s="35" t="n">
        <x:v>3</x:v>
      </x:c>
      <x:c r="T459" s="35" t="n">
        <x:v>3</x:v>
      </x:c>
      <x:c r="U459" s="35" t="n">
        <x:v>1</x:v>
      </x:c>
      <x:c r="V459" s="35" t="n">
        <x:v>0</x:v>
      </x:c>
      <x:c r="W459" s="35" t="n">
        <x:v>0</x:v>
      </x:c>
      <x:c r="X459" s="35" t="n">
        <x:v>59</x:v>
      </x:c>
      <x:c r="Y459" s="35" t="n">
        <x:v>5</x:v>
      </x:c>
      <x:c r="Z459" s="35" t="n">
        <x:v>100</x:v>
      </x:c>
      <x:c r="AA459" s="35" t="n">
        <x:v>5</x:v>
      </x:c>
      <x:c r="AB459" s="35" t="n">
        <x:v>4</x:v>
      </x:c>
      <x:c r="AC459" s="35" t="n">
        <x:v>3</x:v>
      </x:c>
      <x:c r="AD459" s="35" t="n">
        <x:v>65</x:v>
      </x:c>
      <x:c r="AE459" s="35" t="n">
        <x:v>77</x:v>
      </x:c>
      <x:c r="AF459" s="35" t="n">
        <x:v>86</x:v>
      </x:c>
      <x:c r="AG459" s="35" t="n">
        <x:v>94</x:v>
      </x:c>
      <x:c r="AH459" s="35" t="n">
        <x:v>5</x:v>
      </x:c>
      <x:c r="AI459" s="37" t="n">
        <x:v>100</x:v>
      </x:c>
      <x:c r="AJ459" s="37" t="n">
        <x:v>95.1</x:v>
      </x:c>
      <x:c r="AK459" s="35" t="str">
        <x:v>No</x:v>
      </x:c>
      <x:c r="AL459" s="38" t="n">
        <x:f>IF(AA459=0,0,AB459/AA459)</x:f>
        <x:v>0.8</x:v>
      </x:c>
      <x:c r="AM459" s="38" t="n">
        <x:f>IF(AB459=0,0,AC459/AB459)</x:f>
        <x:v>0.75</x:v>
      </x:c>
      <x:c r="AN459" s="37" t="n">
        <x:f>ROUND((AD459*0.20+AE459*0.20+AF459*0.25+AG459*0.15+MIN(100,AC459*12)*0.20),1)</x:f>
        <x:v>71.2</x:v>
      </x:c>
      <x:c r="AO459" s="37" t="n">
        <x:f>ROUND(MAX(0,MIN(100,(X459*0.35)+(W459/45*100*0.20)+((5-O459)/4*100*0.15)+((5-P459)/4*100*0.10)+((6-Y459)/5*100*0.10)+((100-Z459)*0.10))),1)</x:f>
        <x:v>31.4</x:v>
      </x:c>
      <x:c r="AP459" s="37" t="str">
        <x:f>IF(AO459&gt;=70,"High",IF(AO459&gt;=40,"Moderate","Low"))</x:f>
        <x:v>Low</x:v>
      </x:c>
      <x:c r="AQ459" s="37" t="n">
        <x:f>ROUND(MAX(0,MIN(100,(O459/4*100*0.25)+(P459/4*100*0.20)+(Q459/4*100*0.15)+(Y459/5*100*0.20)+(100-AO459)*0.20)),1)</x:f>
        <x:v>88.7</x:v>
      </x:c>
      <x:c r="AR459" s="37" t="n">
        <x:f>ROUND((AI459*0.20+AJ459*0.15+AN459*0.18+AG459*0.12+Z459*0.15+AQ459*0.20),1)</x:f>
        <x:v>91.1</x:v>
      </x:c>
      <x:c r="AS459" s="39" t="n">
        <x:f>ROUND((AC459*AF459*120)+(AH459*350)+(MAX(0,AI459-75)*220)+(MAX(0,AQ459-60)*100),0)</x:f>
        <x:v>41080</x:v>
      </x:c>
    </x:row>
    <x:row r="460">
      <x:c r="A460" s="35" t="n">
        <x:v>459</x:v>
      </x:c>
      <x:c r="B460" s="35" t="n">
        <x:v>49</x:v>
      </x:c>
      <x:c r="C460" s="35" t="str">
        <x:v>Male</x:v>
      </x:c>
      <x:c r="D460" s="35" t="str">
        <x:v>Human Resources</x:v>
      </x:c>
      <x:c r="E460" s="35" t="str">
        <x:v>HR Manager</x:v>
      </x:c>
      <x:c r="F460" s="35" t="str">
        <x:v>Life Sciences</x:v>
      </x:c>
      <x:c r="G460" s="35" t="str">
        <x:v>Married</x:v>
      </x:c>
      <x:c r="H460" s="35" t="n">
        <x:v>4</x:v>
      </x:c>
      <x:c r="I460" s="36" t="n">
        <x:v>15520</x:v>
      </x:c>
      <x:c r="J460" s="35" t="n">
        <x:v>22</x:v>
      </x:c>
      <x:c r="K460" s="35" t="n">
        <x:v>12</x:v>
      </x:c>
      <x:c r="L460" s="35" t="n">
        <x:v>4</x:v>
      </x:c>
      <x:c r="M460" s="35" t="n">
        <x:v>1</x:v>
      </x:c>
      <x:c r="N460" s="35" t="str">
        <x:v>No</x:v>
      </x:c>
      <x:c r="O460" s="35" t="n">
        <x:v>2</x:v>
      </x:c>
      <x:c r="P460" s="35" t="n">
        <x:v>2</x:v>
      </x:c>
      <x:c r="Q460" s="35" t="n">
        <x:v>4</x:v>
      </x:c>
      <x:c r="R460" s="35" t="n">
        <x:v>2</x:v>
      </x:c>
      <x:c r="S460" s="35" t="n">
        <x:v>3</x:v>
      </x:c>
      <x:c r="T460" s="35" t="n">
        <x:v>3</x:v>
      </x:c>
      <x:c r="U460" s="35" t="n">
        <x:v>1</x:v>
      </x:c>
      <x:c r="V460" s="35" t="n">
        <x:v>7</x:v>
      </x:c>
      <x:c r="W460" s="35" t="n">
        <x:v>10</x:v>
      </x:c>
      <x:c r="X460" s="35" t="n">
        <x:v>95</x:v>
      </x:c>
      <x:c r="Y460" s="35" t="n">
        <x:v>4</x:v>
      </x:c>
      <x:c r="Z460" s="35" t="n">
        <x:v>76</x:v>
      </x:c>
      <x:c r="AA460" s="35" t="n">
        <x:v>5</x:v>
      </x:c>
      <x:c r="AB460" s="35" t="n">
        <x:v>3</x:v>
      </x:c>
      <x:c r="AC460" s="35" t="n">
        <x:v>2</x:v>
      </x:c>
      <x:c r="AD460" s="35" t="n">
        <x:v>67</x:v>
      </x:c>
      <x:c r="AE460" s="35" t="n">
        <x:v>88</x:v>
      </x:c>
      <x:c r="AF460" s="35" t="n">
        <x:v>89</x:v>
      </x:c>
      <x:c r="AG460" s="35" t="n">
        <x:v>60</x:v>
      </x:c>
      <x:c r="AH460" s="35" t="n">
        <x:v>2</x:v>
      </x:c>
      <x:c r="AI460" s="37" t="n">
        <x:v>80.1</x:v>
      </x:c>
      <x:c r="AJ460" s="37" t="n">
        <x:v>86.3</x:v>
      </x:c>
      <x:c r="AK460" s="35" t="str">
        <x:v>No</x:v>
      </x:c>
      <x:c r="AL460" s="38" t="n">
        <x:f>IF(AA460=0,0,AB460/AA460)</x:f>
        <x:v>0.6</x:v>
      </x:c>
      <x:c r="AM460" s="38" t="n">
        <x:f>IF(AB460=0,0,AC460/AB460)</x:f>
        <x:v>0.6666666666666666</x:v>
      </x:c>
      <x:c r="AN460" s="37" t="n">
        <x:f>ROUND((AD460*0.20+AE460*0.20+AF460*0.25+AG460*0.15+MIN(100,AC460*12)*0.20),1)</x:f>
        <x:v>67.1</x:v>
      </x:c>
      <x:c r="AO460" s="37" t="n">
        <x:f>ROUND(MAX(0,MIN(100,(X460*0.35)+(W460/45*100*0.20)+((5-O460)/4*100*0.15)+((5-P460)/4*100*0.10)+((6-Y460)/5*100*0.10)+((100-Z460)*0.10))),1)</x:f>
        <x:v>62.8</x:v>
      </x:c>
      <x:c r="AP460" s="37" t="str">
        <x:f>IF(AO460&gt;=70,"High",IF(AO460&gt;=40,"Moderate","Low"))</x:f>
        <x:v>Moderate</x:v>
      </x:c>
      <x:c r="AQ460" s="37" t="n">
        <x:f>ROUND(MAX(0,MIN(100,(O460/4*100*0.25)+(P460/4*100*0.20)+(Q460/4*100*0.15)+(Y460/5*100*0.20)+(100-AO460)*0.20)),1)</x:f>
        <x:v>60.9</x:v>
      </x:c>
      <x:c r="AR460" s="37" t="n">
        <x:f>ROUND((AI460*0.20+AJ460*0.15+AN460*0.18+AG460*0.12+Z460*0.15+AQ460*0.20),1)</x:f>
        <x:v>71.8</x:v>
      </x:c>
      <x:c r="AS460" s="39" t="n">
        <x:f>ROUND((AC460*AF460*120)+(AH460*350)+(MAX(0,AI460-75)*220)+(MAX(0,AQ460-60)*100),0)</x:f>
        <x:v>23272</x:v>
      </x:c>
    </x:row>
    <x:row r="461">
      <x:c r="A461" s="35" t="n">
        <x:v>460</x:v>
      </x:c>
      <x:c r="B461" s="35" t="n">
        <x:v>24</x:v>
      </x:c>
      <x:c r="C461" s="35" t="str">
        <x:v>Female</x:v>
      </x:c>
      <x:c r="D461" s="35" t="str">
        <x:v>Human Resources</x:v>
      </x:c>
      <x:c r="E461" s="35" t="str">
        <x:v>HR Manager</x:v>
      </x:c>
      <x:c r="F461" s="35" t="str">
        <x:v>Human Resources</x:v>
      </x:c>
      <x:c r="G461" s="35" t="str">
        <x:v>Married</x:v>
      </x:c>
      <x:c r="H461" s="35" t="n">
        <x:v>1</x:v>
      </x:c>
      <x:c r="I461" s="36" t="n">
        <x:v>5460</x:v>
      </x:c>
      <x:c r="J461" s="35" t="n">
        <x:v>2</x:v>
      </x:c>
      <x:c r="K461" s="35" t="n">
        <x:v>1</x:v>
      </x:c>
      <x:c r="L461" s="35" t="n">
        <x:v>0</x:v>
      </x:c>
      <x:c r="M461" s="35" t="n">
        <x:v>3</x:v>
      </x:c>
      <x:c r="N461" s="35" t="str">
        <x:v>No</x:v>
      </x:c>
      <x:c r="O461" s="35" t="n">
        <x:v>3</x:v>
      </x:c>
      <x:c r="P461" s="35" t="n">
        <x:v>4</x:v>
      </x:c>
      <x:c r="Q461" s="35" t="n">
        <x:v>4</x:v>
      </x:c>
      <x:c r="R461" s="35" t="n">
        <x:v>3</x:v>
      </x:c>
      <x:c r="S461" s="35" t="n">
        <x:v>3</x:v>
      </x:c>
      <x:c r="T461" s="35" t="n">
        <x:v>1</x:v>
      </x:c>
      <x:c r="U461" s="35" t="n">
        <x:v>1</x:v>
      </x:c>
      <x:c r="V461" s="35" t="n">
        <x:v>6</x:v>
      </x:c>
      <x:c r="W461" s="35" t="n">
        <x:v>0</x:v>
      </x:c>
      <x:c r="X461" s="35" t="n">
        <x:v>43</x:v>
      </x:c>
      <x:c r="Y461" s="35" t="n">
        <x:v>5</x:v>
      </x:c>
      <x:c r="Z461" s="35" t="n">
        <x:v>100</x:v>
      </x:c>
      <x:c r="AA461" s="35" t="n">
        <x:v>5</x:v>
      </x:c>
      <x:c r="AB461" s="35" t="n">
        <x:v>4</x:v>
      </x:c>
      <x:c r="AC461" s="35" t="n">
        <x:v>3</x:v>
      </x:c>
      <x:c r="AD461" s="35" t="n">
        <x:v>68</x:v>
      </x:c>
      <x:c r="AE461" s="35" t="n">
        <x:v>88</x:v>
      </x:c>
      <x:c r="AF461" s="35" t="n">
        <x:v>64</x:v>
      </x:c>
      <x:c r="AG461" s="35" t="n">
        <x:v>79</x:v>
      </x:c>
      <x:c r="AH461" s="35" t="n">
        <x:v>6</x:v>
      </x:c>
      <x:c r="AI461" s="37" t="n">
        <x:v>99.5</x:v>
      </x:c>
      <x:c r="AJ461" s="37" t="n">
        <x:v>85.9</x:v>
      </x:c>
      <x:c r="AK461" s="35" t="str">
        <x:v>No</x:v>
      </x:c>
      <x:c r="AL461" s="38" t="n">
        <x:f>IF(AA461=0,0,AB461/AA461)</x:f>
        <x:v>0.8</x:v>
      </x:c>
      <x:c r="AM461" s="38" t="n">
        <x:f>IF(AB461=0,0,AC461/AB461)</x:f>
        <x:v>0.75</x:v>
      </x:c>
      <x:c r="AN461" s="37" t="n">
        <x:f>ROUND((AD461*0.20+AE461*0.20+AF461*0.25+AG461*0.15+MIN(100,AC461*12)*0.20),1)</x:f>
        <x:v>66.3</x:v>
      </x:c>
      <x:c r="AO461" s="37" t="n">
        <x:f>ROUND(MAX(0,MIN(100,(X461*0.35)+(W461/45*100*0.20)+((5-O461)/4*100*0.15)+((5-P461)/4*100*0.10)+((6-Y461)/5*100*0.10)+((100-Z461)*0.10))),1)</x:f>
        <x:v>27.1</x:v>
      </x:c>
      <x:c r="AP461" s="37" t="str">
        <x:f>IF(AO461&gt;=70,"High",IF(AO461&gt;=40,"Moderate","Low"))</x:f>
        <x:v>Low</x:v>
      </x:c>
      <x:c r="AQ461" s="37" t="n">
        <x:f>ROUND(MAX(0,MIN(100,(O461/4*100*0.25)+(P461/4*100*0.20)+(Q461/4*100*0.15)+(Y461/5*100*0.20)+(100-AO461)*0.20)),1)</x:f>
        <x:v>88.3</x:v>
      </x:c>
      <x:c r="AR461" s="37" t="n">
        <x:f>ROUND((AI461*0.20+AJ461*0.15+AN461*0.18+AG461*0.12+Z461*0.15+AQ461*0.20),1)</x:f>
        <x:v>86.9</x:v>
      </x:c>
      <x:c r="AS461" s="39" t="n">
        <x:f>ROUND((AC461*AF461*120)+(AH461*350)+(MAX(0,AI461-75)*220)+(MAX(0,AQ461-60)*100),0)</x:f>
        <x:v>33360</x:v>
      </x:c>
    </x:row>
    <x:row r="462">
      <x:c r="A462" s="35" t="n">
        <x:v>461</x:v>
      </x:c>
      <x:c r="B462" s="35" t="n">
        <x:v>33</x:v>
      </x:c>
      <x:c r="C462" s="35" t="str">
        <x:v>Female</x:v>
      </x:c>
      <x:c r="D462" s="35" t="str">
        <x:v>Sales</x:v>
      </x:c>
      <x:c r="E462" s="35" t="str">
        <x:v>Sales Executive</x:v>
      </x:c>
      <x:c r="F462" s="35" t="str">
        <x:v>Technical Degree</x:v>
      </x:c>
      <x:c r="G462" s="35" t="str">
        <x:v>Married</x:v>
      </x:c>
      <x:c r="H462" s="35" t="n">
        <x:v>2</x:v>
      </x:c>
      <x:c r="I462" s="36" t="n">
        <x:v>7270</x:v>
      </x:c>
      <x:c r="J462" s="35" t="n">
        <x:v>7</x:v>
      </x:c>
      <x:c r="K462" s="35" t="n">
        <x:v>2</x:v>
      </x:c>
      <x:c r="L462" s="35" t="n">
        <x:v>2</x:v>
      </x:c>
      <x:c r="M462" s="35" t="n">
        <x:v>5</x:v>
      </x:c>
      <x:c r="N462" s="35" t="str">
        <x:v>No</x:v>
      </x:c>
      <x:c r="O462" s="35" t="n">
        <x:v>3</x:v>
      </x:c>
      <x:c r="P462" s="35" t="n">
        <x:v>3</x:v>
      </x:c>
      <x:c r="Q462" s="35" t="n">
        <x:v>2</x:v>
      </x:c>
      <x:c r="R462" s="35" t="n">
        <x:v>4</x:v>
      </x:c>
      <x:c r="S462" s="35" t="n">
        <x:v>3</x:v>
      </x:c>
      <x:c r="T462" s="35" t="n">
        <x:v>3</x:v>
      </x:c>
      <x:c r="U462" s="35" t="n">
        <x:v>1</x:v>
      </x:c>
      <x:c r="V462" s="35" t="n">
        <x:v>4</x:v>
      </x:c>
      <x:c r="W462" s="35" t="n">
        <x:v>0</x:v>
      </x:c>
      <x:c r="X462" s="35" t="n">
        <x:v>62</x:v>
      </x:c>
      <x:c r="Y462" s="35" t="n">
        <x:v>5</x:v>
      </x:c>
      <x:c r="Z462" s="35" t="n">
        <x:v>100</x:v>
      </x:c>
      <x:c r="AA462" s="35" t="n">
        <x:v>4</x:v>
      </x:c>
      <x:c r="AB462" s="35" t="n">
        <x:v>2</x:v>
      </x:c>
      <x:c r="AC462" s="35" t="n">
        <x:v>2</x:v>
      </x:c>
      <x:c r="AD462" s="35" t="n">
        <x:v>63</x:v>
      </x:c>
      <x:c r="AE462" s="35" t="n">
        <x:v>67</x:v>
      </x:c>
      <x:c r="AF462" s="35" t="n">
        <x:v>72</x:v>
      </x:c>
      <x:c r="AG462" s="35" t="n">
        <x:v>97</x:v>
      </x:c>
      <x:c r="AH462" s="35" t="n">
        <x:v>7</x:v>
      </x:c>
      <x:c r="AI462" s="37" t="n">
        <x:v>100</x:v>
      </x:c>
      <x:c r="AJ462" s="37" t="n">
        <x:v>100</x:v>
      </x:c>
      <x:c r="AK462" s="35" t="str">
        <x:v>No</x:v>
      </x:c>
      <x:c r="AL462" s="38" t="n">
        <x:f>IF(AA462=0,0,AB462/AA462)</x:f>
        <x:v>0.5</x:v>
      </x:c>
      <x:c r="AM462" s="38" t="n">
        <x:f>IF(AB462=0,0,AC462/AB462)</x:f>
        <x:v>1</x:v>
      </x:c>
      <x:c r="AN462" s="37" t="n">
        <x:f>ROUND((AD462*0.20+AE462*0.20+AF462*0.25+AG462*0.15+MIN(100,AC462*12)*0.20),1)</x:f>
        <x:v>63.4</x:v>
      </x:c>
      <x:c r="AO462" s="37" t="n">
        <x:f>ROUND(MAX(0,MIN(100,(X462*0.35)+(W462/45*100*0.20)+((5-O462)/4*100*0.15)+((5-P462)/4*100*0.10)+((6-Y462)/5*100*0.10)+((100-Z462)*0.10))),1)</x:f>
        <x:v>36.2</x:v>
      </x:c>
      <x:c r="AP462" s="37" t="str">
        <x:f>IF(AO462&gt;=70,"High",IF(AO462&gt;=40,"Moderate","Low"))</x:f>
        <x:v>Low</x:v>
      </x:c>
      <x:c r="AQ462" s="37" t="n">
        <x:f>ROUND(MAX(0,MIN(100,(O462/4*100*0.25)+(P462/4*100*0.20)+(Q462/4*100*0.15)+(Y462/5*100*0.20)+(100-AO462)*0.20)),1)</x:f>
        <x:v>74</x:v>
      </x:c>
      <x:c r="AR462" s="37" t="n">
        <x:f>ROUND((AI462*0.20+AJ462*0.15+AN462*0.18+AG462*0.12+Z462*0.15+AQ462*0.20),1)</x:f>
        <x:v>87.9</x:v>
      </x:c>
      <x:c r="AS462" s="39" t="n">
        <x:f>ROUND((AC462*AF462*120)+(AH462*350)+(MAX(0,AI462-75)*220)+(MAX(0,AQ462-60)*100),0)</x:f>
        <x:v>26630</x:v>
      </x:c>
    </x:row>
    <x:row r="463">
      <x:c r="A463" s="35" t="n">
        <x:v>462</x:v>
      </x:c>
      <x:c r="B463" s="35" t="n">
        <x:v>37</x:v>
      </x:c>
      <x:c r="C463" s="35" t="str">
        <x:v>Male</x:v>
      </x:c>
      <x:c r="D463" s="35" t="str">
        <x:v>Sales</x:v>
      </x:c>
      <x:c r="E463" s="35" t="str">
        <x:v>Account Manager</x:v>
      </x:c>
      <x:c r="F463" s="35" t="str">
        <x:v>Marketing</x:v>
      </x:c>
      <x:c r="G463" s="35" t="str">
        <x:v>Single</x:v>
      </x:c>
      <x:c r="H463" s="35" t="n">
        <x:v>3</x:v>
      </x:c>
      <x:c r="I463" s="36" t="n">
        <x:v>9710</x:v>
      </x:c>
      <x:c r="J463" s="35" t="n">
        <x:v>8</x:v>
      </x:c>
      <x:c r="K463" s="35" t="n">
        <x:v>4</x:v>
      </x:c>
      <x:c r="L463" s="35" t="n">
        <x:v>3</x:v>
      </x:c>
      <x:c r="M463" s="35" t="n">
        <x:v>1</x:v>
      </x:c>
      <x:c r="N463" s="35" t="str">
        <x:v>Yes</x:v>
      </x:c>
      <x:c r="O463" s="35" t="n">
        <x:v>4</x:v>
      </x:c>
      <x:c r="P463" s="35" t="n">
        <x:v>4</x:v>
      </x:c>
      <x:c r="Q463" s="35" t="n">
        <x:v>3</x:v>
      </x:c>
      <x:c r="R463" s="35" t="n">
        <x:v>3</x:v>
      </x:c>
      <x:c r="S463" s="35" t="n">
        <x:v>3</x:v>
      </x:c>
      <x:c r="T463" s="35" t="n">
        <x:v>3</x:v>
      </x:c>
      <x:c r="U463" s="35" t="n">
        <x:v>1</x:v>
      </x:c>
      <x:c r="V463" s="35" t="n">
        <x:v>12</x:v>
      </x:c>
      <x:c r="W463" s="35" t="n">
        <x:v>26</x:v>
      </x:c>
      <x:c r="X463" s="35" t="n">
        <x:v>70</x:v>
      </x:c>
      <x:c r="Y463" s="35" t="n">
        <x:v>4</x:v>
      </x:c>
      <x:c r="Z463" s="35" t="n">
        <x:v>100</x:v>
      </x:c>
      <x:c r="AA463" s="35" t="n">
        <x:v>6</x:v>
      </x:c>
      <x:c r="AB463" s="35" t="n">
        <x:v>3</x:v>
      </x:c>
      <x:c r="AC463" s="35" t="n">
        <x:v>2</x:v>
      </x:c>
      <x:c r="AD463" s="35" t="n">
        <x:v>78</x:v>
      </x:c>
      <x:c r="AE463" s="35" t="n">
        <x:v>77</x:v>
      </x:c>
      <x:c r="AF463" s="35" t="n">
        <x:v>81</x:v>
      </x:c>
      <x:c r="AG463" s="35" t="n">
        <x:v>100</x:v>
      </x:c>
      <x:c r="AH463" s="35" t="n">
        <x:v>5</x:v>
      </x:c>
      <x:c r="AI463" s="37" t="n">
        <x:v>100</x:v>
      </x:c>
      <x:c r="AJ463" s="37" t="n">
        <x:v>99.9</x:v>
      </x:c>
      <x:c r="AK463" s="35" t="str">
        <x:v>No</x:v>
      </x:c>
      <x:c r="AL463" s="38" t="n">
        <x:f>IF(AA463=0,0,AB463/AA463)</x:f>
        <x:v>0.5</x:v>
      </x:c>
      <x:c r="AM463" s="38" t="n">
        <x:f>IF(AB463=0,0,AC463/AB463)</x:f>
        <x:v>0.6666666666666666</x:v>
      </x:c>
      <x:c r="AN463" s="37" t="n">
        <x:f>ROUND((AD463*0.20+AE463*0.20+AF463*0.25+AG463*0.15+MIN(100,AC463*12)*0.20),1)</x:f>
        <x:v>71.1</x:v>
      </x:c>
      <x:c r="AO463" s="37" t="n">
        <x:f>ROUND(MAX(0,MIN(100,(X463*0.35)+(W463/45*100*0.20)+((5-O463)/4*100*0.15)+((5-P463)/4*100*0.10)+((6-Y463)/5*100*0.10)+((100-Z463)*0.10))),1)</x:f>
        <x:v>46.3</x:v>
      </x:c>
      <x:c r="AP463" s="37" t="str">
        <x:f>IF(AO463&gt;=70,"High",IF(AO463&gt;=40,"Moderate","Low"))</x:f>
        <x:v>Moderate</x:v>
      </x:c>
      <x:c r="AQ463" s="37" t="n">
        <x:f>ROUND(MAX(0,MIN(100,(O463/4*100*0.25)+(P463/4*100*0.20)+(Q463/4*100*0.15)+(Y463/5*100*0.20)+(100-AO463)*0.20)),1)</x:f>
        <x:v>83</x:v>
      </x:c>
      <x:c r="AR463" s="37" t="n">
        <x:f>ROUND((AI463*0.20+AJ463*0.15+AN463*0.18+AG463*0.12+Z463*0.15+AQ463*0.20),1)</x:f>
        <x:v>91.4</x:v>
      </x:c>
      <x:c r="AS463" s="39" t="n">
        <x:f>ROUND((AC463*AF463*120)+(AH463*350)+(MAX(0,AI463-75)*220)+(MAX(0,AQ463-60)*100),0)</x:f>
        <x:v>28990</x:v>
      </x:c>
    </x:row>
    <x:row r="464">
      <x:c r="A464" s="35" t="n">
        <x:v>463</x:v>
      </x:c>
      <x:c r="B464" s="35" t="n">
        <x:v>24</x:v>
      </x:c>
      <x:c r="C464" s="35" t="str">
        <x:v>Male</x:v>
      </x:c>
      <x:c r="D464" s="35" t="str">
        <x:v>Sales</x:v>
      </x:c>
      <x:c r="E464" s="35" t="str">
        <x:v>Sales Representative</x:v>
      </x:c>
      <x:c r="F464" s="35" t="str">
        <x:v>Human Resources</x:v>
      </x:c>
      <x:c r="G464" s="35" t="str">
        <x:v>Single</x:v>
      </x:c>
      <x:c r="H464" s="35" t="n">
        <x:v>1</x:v>
      </x:c>
      <x:c r="I464" s="36" t="n">
        <x:v>5250</x:v>
      </x:c>
      <x:c r="J464" s="35" t="n">
        <x:v>3</x:v>
      </x:c>
      <x:c r="K464" s="35" t="n">
        <x:v>2</x:v>
      </x:c>
      <x:c r="L464" s="35" t="n">
        <x:v>1</x:v>
      </x:c>
      <x:c r="M464" s="35" t="n">
        <x:v>3</x:v>
      </x:c>
      <x:c r="N464" s="35" t="str">
        <x:v>Yes</x:v>
      </x:c>
      <x:c r="O464" s="35" t="n">
        <x:v>3</x:v>
      </x:c>
      <x:c r="P464" s="35" t="n">
        <x:v>3</x:v>
      </x:c>
      <x:c r="Q464" s="35" t="n">
        <x:v>4</x:v>
      </x:c>
      <x:c r="R464" s="35" t="n">
        <x:v>4</x:v>
      </x:c>
      <x:c r="S464" s="35" t="n">
        <x:v>3</x:v>
      </x:c>
      <x:c r="T464" s="35" t="n">
        <x:v>4</x:v>
      </x:c>
      <x:c r="U464" s="35" t="n">
        <x:v>1</x:v>
      </x:c>
      <x:c r="V464" s="35" t="n">
        <x:v>6</x:v>
      </x:c>
      <x:c r="W464" s="35" t="n">
        <x:v>18</x:v>
      </x:c>
      <x:c r="X464" s="35" t="n">
        <x:v>61</x:v>
      </x:c>
      <x:c r="Y464" s="35" t="n">
        <x:v>5</x:v>
      </x:c>
      <x:c r="Z464" s="35" t="n">
        <x:v>100</x:v>
      </x:c>
      <x:c r="AA464" s="35" t="n">
        <x:v>2</x:v>
      </x:c>
      <x:c r="AB464" s="35" t="n">
        <x:v>1</x:v>
      </x:c>
      <x:c r="AC464" s="35" t="n">
        <x:v>1</x:v>
      </x:c>
      <x:c r="AD464" s="35" t="n">
        <x:v>76</x:v>
      </x:c>
      <x:c r="AE464" s="35" t="n">
        <x:v>75</x:v>
      </x:c>
      <x:c r="AF464" s="35" t="n">
        <x:v>73</x:v>
      </x:c>
      <x:c r="AG464" s="35" t="n">
        <x:v>100</x:v>
      </x:c>
      <x:c r="AH464" s="35" t="n">
        <x:v>4</x:v>
      </x:c>
      <x:c r="AI464" s="37" t="n">
        <x:v>96.5</x:v>
      </x:c>
      <x:c r="AJ464" s="37" t="n">
        <x:v>92.1</x:v>
      </x:c>
      <x:c r="AK464" s="35" t="str">
        <x:v>No</x:v>
      </x:c>
      <x:c r="AL464" s="38" t="n">
        <x:f>IF(AA464=0,0,AB464/AA464)</x:f>
        <x:v>0.5</x:v>
      </x:c>
      <x:c r="AM464" s="38" t="n">
        <x:f>IF(AB464=0,0,AC464/AB464)</x:f>
        <x:v>1</x:v>
      </x:c>
      <x:c r="AN464" s="37" t="n">
        <x:f>ROUND((AD464*0.20+AE464*0.20+AF464*0.25+AG464*0.15+MIN(100,AC464*12)*0.20),1)</x:f>
        <x:v>65.9</x:v>
      </x:c>
      <x:c r="AO464" s="37" t="n">
        <x:f>ROUND(MAX(0,MIN(100,(X464*0.35)+(W464/45*100*0.20)+((5-O464)/4*100*0.15)+((5-P464)/4*100*0.10)+((6-Y464)/5*100*0.10)+((100-Z464)*0.10))),1)</x:f>
        <x:v>43.8</x:v>
      </x:c>
      <x:c r="AP464" s="37" t="str">
        <x:f>IF(AO464&gt;=70,"High",IF(AO464&gt;=40,"Moderate","Low"))</x:f>
        <x:v>Moderate</x:v>
      </x:c>
      <x:c r="AQ464" s="37" t="n">
        <x:f>ROUND(MAX(0,MIN(100,(O464/4*100*0.25)+(P464/4*100*0.20)+(Q464/4*100*0.15)+(Y464/5*100*0.20)+(100-AO464)*0.20)),1)</x:f>
        <x:v>80</x:v>
      </x:c>
      <x:c r="AR464" s="37" t="n">
        <x:f>ROUND((AI464*0.20+AJ464*0.15+AN464*0.18+AG464*0.12+Z464*0.15+AQ464*0.20),1)</x:f>
        <x:v>88</x:v>
      </x:c>
      <x:c r="AS464" s="39" t="n">
        <x:f>ROUND((AC464*AF464*120)+(AH464*350)+(MAX(0,AI464-75)*220)+(MAX(0,AQ464-60)*100),0)</x:f>
        <x:v>16890</x:v>
      </x:c>
    </x:row>
    <x:row r="465">
      <x:c r="A465" s="35" t="n">
        <x:v>464</x:v>
      </x:c>
      <x:c r="B465" s="35" t="n">
        <x:v>28</x:v>
      </x:c>
      <x:c r="C465" s="35" t="str">
        <x:v>Male</x:v>
      </x:c>
      <x:c r="D465" s="35" t="str">
        <x:v>Finance</x:v>
      </x:c>
      <x:c r="E465" s="35" t="str">
        <x:v>Accountant</x:v>
      </x:c>
      <x:c r="F465" s="35" t="str">
        <x:v>Business</x:v>
      </x:c>
      <x:c r="G465" s="35" t="str">
        <x:v>Married</x:v>
      </x:c>
      <x:c r="H465" s="35" t="n">
        <x:v>1</x:v>
      </x:c>
      <x:c r="I465" s="36" t="n">
        <x:v>4110</x:v>
      </x:c>
      <x:c r="J465" s="35" t="n">
        <x:v>4</x:v>
      </x:c>
      <x:c r="K465" s="35" t="n">
        <x:v>1</x:v>
      </x:c>
      <x:c r="L465" s="35" t="n">
        <x:v>1</x:v>
      </x:c>
      <x:c r="M465" s="35" t="n">
        <x:v>13</x:v>
      </x:c>
      <x:c r="N465" s="35" t="str">
        <x:v>No</x:v>
      </x:c>
      <x:c r="O465" s="35" t="n">
        <x:v>3</x:v>
      </x:c>
      <x:c r="P465" s="35" t="n">
        <x:v>2</x:v>
      </x:c>
      <x:c r="Q465" s="35" t="n">
        <x:v>3</x:v>
      </x:c>
      <x:c r="R465" s="35" t="n">
        <x:v>3</x:v>
      </x:c>
      <x:c r="S465" s="35" t="n">
        <x:v>3</x:v>
      </x:c>
      <x:c r="T465" s="35" t="n">
        <x:v>4</x:v>
      </x:c>
      <x:c r="U465" s="35" t="n">
        <x:v>0</x:v>
      </x:c>
      <x:c r="V465" s="35" t="n">
        <x:v>9</x:v>
      </x:c>
      <x:c r="W465" s="35" t="n">
        <x:v>5</x:v>
      </x:c>
      <x:c r="X465" s="35" t="n">
        <x:v>75</x:v>
      </x:c>
      <x:c r="Y465" s="35" t="n">
        <x:v>4</x:v>
      </x:c>
      <x:c r="Z465" s="35" t="n">
        <x:v>98</x:v>
      </x:c>
      <x:c r="AA465" s="35" t="n">
        <x:v>4</x:v>
      </x:c>
      <x:c r="AB465" s="35" t="n">
        <x:v>4</x:v>
      </x:c>
      <x:c r="AC465" s="35" t="n">
        <x:v>3</x:v>
      </x:c>
      <x:c r="AD465" s="35" t="n">
        <x:v>69</x:v>
      </x:c>
      <x:c r="AE465" s="35" t="n">
        <x:v>80</x:v>
      </x:c>
      <x:c r="AF465" s="35" t="n">
        <x:v>65</x:v>
      </x:c>
      <x:c r="AG465" s="35" t="n">
        <x:v>96</x:v>
      </x:c>
      <x:c r="AH465" s="35" t="n">
        <x:v>4</x:v>
      </x:c>
      <x:c r="AI465" s="37" t="n">
        <x:v>100</x:v>
      </x:c>
      <x:c r="AJ465" s="37" t="n">
        <x:v>99.2</x:v>
      </x:c>
      <x:c r="AK465" s="35" t="str">
        <x:v>No</x:v>
      </x:c>
      <x:c r="AL465" s="38" t="n">
        <x:f>IF(AA465=0,0,AB465/AA465)</x:f>
        <x:v>1</x:v>
      </x:c>
      <x:c r="AM465" s="38" t="n">
        <x:f>IF(AB465=0,0,AC465/AB465)</x:f>
        <x:v>0.75</x:v>
      </x:c>
      <x:c r="AN465" s="37" t="n">
        <x:f>ROUND((AD465*0.20+AE465*0.20+AF465*0.25+AG465*0.15+MIN(100,AC465*12)*0.20),1)</x:f>
        <x:v>67.6</x:v>
      </x:c>
      <x:c r="AO465" s="37" t="n">
        <x:f>ROUND(MAX(0,MIN(100,(X465*0.35)+(W465/45*100*0.20)+((5-O465)/4*100*0.15)+((5-P465)/4*100*0.10)+((6-Y465)/5*100*0.10)+((100-Z465)*0.10))),1)</x:f>
        <x:v>47.7</x:v>
      </x:c>
      <x:c r="AP465" s="37" t="str">
        <x:f>IF(AO465&gt;=70,"High",IF(AO465&gt;=40,"Moderate","Low"))</x:f>
        <x:v>Moderate</x:v>
      </x:c>
      <x:c r="AQ465" s="37" t="n">
        <x:f>ROUND(MAX(0,MIN(100,(O465/4*100*0.25)+(P465/4*100*0.20)+(Q465/4*100*0.15)+(Y465/5*100*0.20)+(100-AO465)*0.20)),1)</x:f>
        <x:v>66.5</x:v>
      </x:c>
      <x:c r="AR465" s="37" t="n">
        <x:f>ROUND((AI465*0.20+AJ465*0.15+AN465*0.18+AG465*0.12+Z465*0.15+AQ465*0.20),1)</x:f>
        <x:v>86.6</x:v>
      </x:c>
      <x:c r="AS465" s="39" t="n">
        <x:f>ROUND((AC465*AF465*120)+(AH465*350)+(MAX(0,AI465-75)*220)+(MAX(0,AQ465-60)*100),0)</x:f>
        <x:v>30950</x:v>
      </x:c>
    </x:row>
    <x:row r="466">
      <x:c r="A466" s="35" t="n">
        <x:v>465</x:v>
      </x:c>
      <x:c r="B466" s="35" t="n">
        <x:v>48</x:v>
      </x:c>
      <x:c r="C466" s="35" t="str">
        <x:v>Male</x:v>
      </x:c>
      <x:c r="D466" s="35" t="str">
        <x:v>Sales</x:v>
      </x:c>
      <x:c r="E466" s="35" t="str">
        <x:v>Sales Executive</x:v>
      </x:c>
      <x:c r="F466" s="35" t="str">
        <x:v>Computer Science</x:v>
      </x:c>
      <x:c r="G466" s="35" t="str">
        <x:v>Married</x:v>
      </x:c>
      <x:c r="H466" s="35" t="n">
        <x:v>4</x:v>
      </x:c>
      <x:c r="I466" s="36" t="n">
        <x:v>16340</x:v>
      </x:c>
      <x:c r="J466" s="35" t="n">
        <x:v>16</x:v>
      </x:c>
      <x:c r="K466" s="35" t="n">
        <x:v>10</x:v>
      </x:c>
      <x:c r="L466" s="35" t="n">
        <x:v>7</x:v>
      </x:c>
      <x:c r="M466" s="35" t="n">
        <x:v>14</x:v>
      </x:c>
      <x:c r="N466" s="35" t="str">
        <x:v>No</x:v>
      </x:c>
      <x:c r="O466" s="35" t="n">
        <x:v>3</x:v>
      </x:c>
      <x:c r="P466" s="35" t="n">
        <x:v>1</x:v>
      </x:c>
      <x:c r="Q466" s="35" t="n">
        <x:v>2</x:v>
      </x:c>
      <x:c r="R466" s="35" t="n">
        <x:v>2</x:v>
      </x:c>
      <x:c r="S466" s="35" t="n">
        <x:v>3</x:v>
      </x:c>
      <x:c r="T466" s="35" t="n">
        <x:v>4</x:v>
      </x:c>
      <x:c r="U466" s="35" t="n">
        <x:v>0</x:v>
      </x:c>
      <x:c r="V466" s="35" t="n">
        <x:v>7</x:v>
      </x:c>
      <x:c r="W466" s="35" t="n">
        <x:v>3</x:v>
      </x:c>
      <x:c r="X466" s="35" t="n">
        <x:v>68</x:v>
      </x:c>
      <x:c r="Y466" s="35" t="n">
        <x:v>4</x:v>
      </x:c>
      <x:c r="Z466" s="35" t="n">
        <x:v>76</x:v>
      </x:c>
      <x:c r="AA466" s="35" t="n">
        <x:v>9</x:v>
      </x:c>
      <x:c r="AB466" s="35" t="n">
        <x:v>5</x:v>
      </x:c>
      <x:c r="AC466" s="35" t="n">
        <x:v>3</x:v>
      </x:c>
      <x:c r="AD466" s="35" t="n">
        <x:v>91</x:v>
      </x:c>
      <x:c r="AE466" s="35" t="n">
        <x:v>75</x:v>
      </x:c>
      <x:c r="AF466" s="35" t="n">
        <x:v>88</x:v>
      </x:c>
      <x:c r="AG466" s="35" t="n">
        <x:v>89</x:v>
      </x:c>
      <x:c r="AH466" s="35" t="n">
        <x:v>5</x:v>
      </x:c>
      <x:c r="AI466" s="37" t="n">
        <x:v>88.8</x:v>
      </x:c>
      <x:c r="AJ466" s="37" t="n">
        <x:v>88.7</x:v>
      </x:c>
      <x:c r="AK466" s="35" t="str">
        <x:v>No</x:v>
      </x:c>
      <x:c r="AL466" s="38" t="n">
        <x:f>IF(AA466=0,0,AB466/AA466)</x:f>
        <x:v>0.5555555555555556</x:v>
      </x:c>
      <x:c r="AM466" s="38" t="n">
        <x:f>IF(AB466=0,0,AC466/AB466)</x:f>
        <x:v>0.6</x:v>
      </x:c>
      <x:c r="AN466" s="37" t="n">
        <x:f>ROUND((AD466*0.20+AE466*0.20+AF466*0.25+AG466*0.15+MIN(100,AC466*12)*0.20),1)</x:f>
        <x:v>75.8</x:v>
      </x:c>
      <x:c r="AO466" s="37" t="n">
        <x:f>ROUND(MAX(0,MIN(100,(X466*0.35)+(W466/45*100*0.20)+((5-O466)/4*100*0.15)+((5-P466)/4*100*0.10)+((6-Y466)/5*100*0.10)+((100-Z466)*0.10))),1)</x:f>
        <x:v>49</x:v>
      </x:c>
      <x:c r="AP466" s="37" t="str">
        <x:f>IF(AO466&gt;=70,"High",IF(AO466&gt;=40,"Moderate","Low"))</x:f>
        <x:v>Moderate</x:v>
      </x:c>
      <x:c r="AQ466" s="37" t="n">
        <x:f>ROUND(MAX(0,MIN(100,(O466/4*100*0.25)+(P466/4*100*0.20)+(Q466/4*100*0.15)+(Y466/5*100*0.20)+(100-AO466)*0.20)),1)</x:f>
        <x:v>57.5</x:v>
      </x:c>
      <x:c r="AR466" s="37" t="n">
        <x:f>ROUND((AI466*0.20+AJ466*0.15+AN466*0.18+AG466*0.12+Z466*0.15+AQ466*0.20),1)</x:f>
        <x:v>78.3</x:v>
      </x:c>
      <x:c r="AS466" s="39" t="n">
        <x:f>ROUND((AC466*AF466*120)+(AH466*350)+(MAX(0,AI466-75)*220)+(MAX(0,AQ466-60)*100),0)</x:f>
        <x:v>36466</x:v>
      </x:c>
    </x:row>
    <x:row r="467">
      <x:c r="A467" s="35" t="n">
        <x:v>466</x:v>
      </x:c>
      <x:c r="B467" s="35" t="n">
        <x:v>34</x:v>
      </x:c>
      <x:c r="C467" s="35" t="str">
        <x:v>Male</x:v>
      </x:c>
      <x:c r="D467" s="35" t="str">
        <x:v>Information Technology</x:v>
      </x:c>
      <x:c r="E467" s="35" t="str">
        <x:v>IT Manager</x:v>
      </x:c>
      <x:c r="F467" s="35" t="str">
        <x:v>Marketing</x:v>
      </x:c>
      <x:c r="G467" s="35" t="str">
        <x:v>Single</x:v>
      </x:c>
      <x:c r="H467" s="35" t="n">
        <x:v>2</x:v>
      </x:c>
      <x:c r="I467" s="36" t="n">
        <x:v>10910</x:v>
      </x:c>
      <x:c r="J467" s="35" t="n">
        <x:v>11</x:v>
      </x:c>
      <x:c r="K467" s="35" t="n">
        <x:v>4</x:v>
      </x:c>
      <x:c r="L467" s="35" t="n">
        <x:v>2</x:v>
      </x:c>
      <x:c r="M467" s="35" t="n">
        <x:v>6</x:v>
      </x:c>
      <x:c r="N467" s="35" t="str">
        <x:v>No</x:v>
      </x:c>
      <x:c r="O467" s="35" t="n">
        <x:v>3</x:v>
      </x:c>
      <x:c r="P467" s="35" t="n">
        <x:v>4</x:v>
      </x:c>
      <x:c r="Q467" s="35" t="n">
        <x:v>4</x:v>
      </x:c>
      <x:c r="R467" s="35" t="n">
        <x:v>3</x:v>
      </x:c>
      <x:c r="S467" s="35" t="n">
        <x:v>3</x:v>
      </x:c>
      <x:c r="T467" s="35" t="n">
        <x:v>5</x:v>
      </x:c>
      <x:c r="U467" s="35" t="n">
        <x:v>2</x:v>
      </x:c>
      <x:c r="V467" s="35" t="n">
        <x:v>4</x:v>
      </x:c>
      <x:c r="W467" s="35" t="n">
        <x:v>6</x:v>
      </x:c>
      <x:c r="X467" s="35" t="n">
        <x:v>82</x:v>
      </x:c>
      <x:c r="Y467" s="35" t="n">
        <x:v>4</x:v>
      </x:c>
      <x:c r="Z467" s="35" t="n">
        <x:v>100</x:v>
      </x:c>
      <x:c r="AA467" s="35" t="n">
        <x:v>10</x:v>
      </x:c>
      <x:c r="AB467" s="35" t="n">
        <x:v>5</x:v>
      </x:c>
      <x:c r="AC467" s="35" t="n">
        <x:v>4</x:v>
      </x:c>
      <x:c r="AD467" s="35" t="n">
        <x:v>91</x:v>
      </x:c>
      <x:c r="AE467" s="35" t="n">
        <x:v>70</x:v>
      </x:c>
      <x:c r="AF467" s="35" t="n">
        <x:v>88</x:v>
      </x:c>
      <x:c r="AG467" s="35" t="n">
        <x:v>100</x:v>
      </x:c>
      <x:c r="AH467" s="35" t="n">
        <x:v>9</x:v>
      </x:c>
      <x:c r="AI467" s="37" t="n">
        <x:v>95.8</x:v>
      </x:c>
      <x:c r="AJ467" s="37" t="n">
        <x:v>100</x:v>
      </x:c>
      <x:c r="AK467" s="35" t="str">
        <x:v>No</x:v>
      </x:c>
      <x:c r="AL467" s="38" t="n">
        <x:f>IF(AA467=0,0,AB467/AA467)</x:f>
        <x:v>0.5</x:v>
      </x:c>
      <x:c r="AM467" s="38" t="n">
        <x:f>IF(AB467=0,0,AC467/AB467)</x:f>
        <x:v>0.8</x:v>
      </x:c>
      <x:c r="AN467" s="37" t="n">
        <x:f>ROUND((AD467*0.20+AE467*0.20+AF467*0.25+AG467*0.15+MIN(100,AC467*12)*0.20),1)</x:f>
        <x:v>78.8</x:v>
      </x:c>
      <x:c r="AO467" s="37" t="n">
        <x:f>ROUND(MAX(0,MIN(100,(X467*0.35)+(W467/45*100*0.20)+((5-O467)/4*100*0.15)+((5-P467)/4*100*0.10)+((6-Y467)/5*100*0.10)+((100-Z467)*0.10))),1)</x:f>
        <x:v>45.4</x:v>
      </x:c>
      <x:c r="AP467" s="37" t="str">
        <x:f>IF(AO467&gt;=70,"High",IF(AO467&gt;=40,"Moderate","Low"))</x:f>
        <x:v>Moderate</x:v>
      </x:c>
      <x:c r="AQ467" s="37" t="n">
        <x:f>ROUND(MAX(0,MIN(100,(O467/4*100*0.25)+(P467/4*100*0.20)+(Q467/4*100*0.15)+(Y467/5*100*0.20)+(100-AO467)*0.20)),1)</x:f>
        <x:v>80.7</x:v>
      </x:c>
      <x:c r="AR467" s="37" t="n">
        <x:f>ROUND((AI467*0.20+AJ467*0.15+AN467*0.18+AG467*0.12+Z467*0.15+AQ467*0.20),1)</x:f>
        <x:v>91.5</x:v>
      </x:c>
      <x:c r="AS467" s="39" t="n">
        <x:f>ROUND((AC467*AF467*120)+(AH467*350)+(MAX(0,AI467-75)*220)+(MAX(0,AQ467-60)*100),0)</x:f>
        <x:v>52036</x:v>
      </x:c>
    </x:row>
    <x:row r="468">
      <x:c r="A468" s="35" t="n">
        <x:v>467</x:v>
      </x:c>
      <x:c r="B468" s="35" t="n">
        <x:v>30</x:v>
      </x:c>
      <x:c r="C468" s="35" t="str">
        <x:v>Male</x:v>
      </x:c>
      <x:c r="D468" s="35" t="str">
        <x:v>Research &amp; Development</x:v>
      </x:c>
      <x:c r="E468" s="35" t="str">
        <x:v>R&amp;D Manager</x:v>
      </x:c>
      <x:c r="F468" s="35" t="str">
        <x:v>Technical Degree</x:v>
      </x:c>
      <x:c r="G468" s="35" t="str">
        <x:v>Married</x:v>
      </x:c>
      <x:c r="H468" s="35" t="n">
        <x:v>1</x:v>
      </x:c>
      <x:c r="I468" s="36" t="n">
        <x:v>5220</x:v>
      </x:c>
      <x:c r="J468" s="35" t="n">
        <x:v>5</x:v>
      </x:c>
      <x:c r="K468" s="35" t="n">
        <x:v>4</x:v>
      </x:c>
      <x:c r="L468" s="35" t="n">
        <x:v>3</x:v>
      </x:c>
      <x:c r="M468" s="35" t="n">
        <x:v>3</x:v>
      </x:c>
      <x:c r="N468" s="35" t="str">
        <x:v>No</x:v>
      </x:c>
      <x:c r="O468" s="35" t="n">
        <x:v>3</x:v>
      </x:c>
      <x:c r="P468" s="35" t="n">
        <x:v>3</x:v>
      </x:c>
      <x:c r="Q468" s="35" t="n">
        <x:v>3</x:v>
      </x:c>
      <x:c r="R468" s="35" t="n">
        <x:v>3</x:v>
      </x:c>
      <x:c r="S468" s="35" t="n">
        <x:v>3</x:v>
      </x:c>
      <x:c r="T468" s="35" t="n">
        <x:v>3</x:v>
      </x:c>
      <x:c r="U468" s="35" t="n">
        <x:v>1</x:v>
      </x:c>
      <x:c r="V468" s="35" t="n">
        <x:v>8</x:v>
      </x:c>
      <x:c r="W468" s="35" t="n">
        <x:v>4</x:v>
      </x:c>
      <x:c r="X468" s="35" t="n">
        <x:v>57</x:v>
      </x:c>
      <x:c r="Y468" s="35" t="n">
        <x:v>5</x:v>
      </x:c>
      <x:c r="Z468" s="35" t="n">
        <x:v>100</x:v>
      </x:c>
      <x:c r="AA468" s="35" t="n">
        <x:v>5</x:v>
      </x:c>
      <x:c r="AB468" s="35" t="n">
        <x:v>5</x:v>
      </x:c>
      <x:c r="AC468" s="35" t="n">
        <x:v>5</x:v>
      </x:c>
      <x:c r="AD468" s="35" t="n">
        <x:v>86</x:v>
      </x:c>
      <x:c r="AE468" s="35" t="n">
        <x:v>91</x:v>
      </x:c>
      <x:c r="AF468" s="35" t="n">
        <x:v>87</x:v>
      </x:c>
      <x:c r="AG468" s="35" t="n">
        <x:v>100</x:v>
      </x:c>
      <x:c r="AH468" s="35" t="n">
        <x:v>10</x:v>
      </x:c>
      <x:c r="AI468" s="37" t="n">
        <x:v>96.2</x:v>
      </x:c>
      <x:c r="AJ468" s="37" t="n">
        <x:v>100</x:v>
      </x:c>
      <x:c r="AK468" s="35" t="str">
        <x:v>No</x:v>
      </x:c>
      <x:c r="AL468" s="38" t="n">
        <x:f>IF(AA468=0,0,AB468/AA468)</x:f>
        <x:v>1</x:v>
      </x:c>
      <x:c r="AM468" s="38" t="n">
        <x:f>IF(AB468=0,0,AC468/AB468)</x:f>
        <x:v>1</x:v>
      </x:c>
      <x:c r="AN468" s="37" t="n">
        <x:f>ROUND((AD468*0.20+AE468*0.20+AF468*0.25+AG468*0.15+MIN(100,AC468*12)*0.20),1)</x:f>
        <x:v>84.2</x:v>
      </x:c>
      <x:c r="AO468" s="37" t="n">
        <x:f>ROUND(MAX(0,MIN(100,(X468*0.35)+(W468/45*100*0.20)+((5-O468)/4*100*0.15)+((5-P468)/4*100*0.10)+((6-Y468)/5*100*0.10)+((100-Z468)*0.10))),1)</x:f>
        <x:v>36.2</x:v>
      </x:c>
      <x:c r="AP468" s="37" t="str">
        <x:f>IF(AO468&gt;=70,"High",IF(AO468&gt;=40,"Moderate","Low"))</x:f>
        <x:v>Low</x:v>
      </x:c>
      <x:c r="AQ468" s="37" t="n">
        <x:f>ROUND(MAX(0,MIN(100,(O468/4*100*0.25)+(P468/4*100*0.20)+(Q468/4*100*0.15)+(Y468/5*100*0.20)+(100-AO468)*0.20)),1)</x:f>
        <x:v>77.8</x:v>
      </x:c>
      <x:c r="AR468" s="37" t="n">
        <x:f>ROUND((AI468*0.20+AJ468*0.15+AN468*0.18+AG468*0.12+Z468*0.15+AQ468*0.20),1)</x:f>
        <x:v>92</x:v>
      </x:c>
      <x:c r="AS468" s="39" t="n">
        <x:f>ROUND((AC468*AF468*120)+(AH468*350)+(MAX(0,AI468-75)*220)+(MAX(0,AQ468-60)*100),0)</x:f>
        <x:v>62144</x:v>
      </x:c>
    </x:row>
    <x:row r="469">
      <x:c r="A469" s="35" t="n">
        <x:v>468</x:v>
      </x:c>
      <x:c r="B469" s="35" t="n">
        <x:v>41</x:v>
      </x:c>
      <x:c r="C469" s="35" t="str">
        <x:v>Female</x:v>
      </x:c>
      <x:c r="D469" s="35" t="str">
        <x:v>Research &amp; Development</x:v>
      </x:c>
      <x:c r="E469" s="35" t="str">
        <x:v>Research Scientist</x:v>
      </x:c>
      <x:c r="F469" s="35" t="str">
        <x:v>Life Sciences</x:v>
      </x:c>
      <x:c r="G469" s="35" t="str">
        <x:v>Divorced</x:v>
      </x:c>
      <x:c r="H469" s="35" t="n">
        <x:v>3</x:v>
      </x:c>
      <x:c r="I469" s="36" t="n">
        <x:v>14030</x:v>
      </x:c>
      <x:c r="J469" s="35" t="n">
        <x:v>15</x:v>
      </x:c>
      <x:c r="K469" s="35" t="n">
        <x:v>10</x:v>
      </x:c>
      <x:c r="L469" s="35" t="n">
        <x:v>4</x:v>
      </x:c>
      <x:c r="M469" s="35" t="n">
        <x:v>33</x:v>
      </x:c>
      <x:c r="N469" s="35" t="str">
        <x:v>Yes</x:v>
      </x:c>
      <x:c r="O469" s="35" t="n">
        <x:v>3</x:v>
      </x:c>
      <x:c r="P469" s="35" t="n">
        <x:v>2</x:v>
      </x:c>
      <x:c r="Q469" s="35" t="n">
        <x:v>2</x:v>
      </x:c>
      <x:c r="R469" s="35" t="n">
        <x:v>2</x:v>
      </x:c>
      <x:c r="S469" s="35" t="n">
        <x:v>3</x:v>
      </x:c>
      <x:c r="T469" s="35" t="n">
        <x:v>3</x:v>
      </x:c>
      <x:c r="U469" s="35" t="n">
        <x:v>0</x:v>
      </x:c>
      <x:c r="V469" s="35" t="n">
        <x:v>5</x:v>
      </x:c>
      <x:c r="W469" s="35" t="n">
        <x:v>25</x:v>
      </x:c>
      <x:c r="X469" s="35" t="n">
        <x:v>97</x:v>
      </x:c>
      <x:c r="Y469" s="35" t="n">
        <x:v>4</x:v>
      </x:c>
      <x:c r="Z469" s="35" t="n">
        <x:v>90</x:v>
      </x:c>
      <x:c r="AA469" s="35" t="n">
        <x:v>6</x:v>
      </x:c>
      <x:c r="AB469" s="35" t="n">
        <x:v>4</x:v>
      </x:c>
      <x:c r="AC469" s="35" t="n">
        <x:v>2</x:v>
      </x:c>
      <x:c r="AD469" s="35" t="n">
        <x:v>63</x:v>
      </x:c>
      <x:c r="AE469" s="35" t="n">
        <x:v>67</x:v>
      </x:c>
      <x:c r="AF469" s="35" t="n">
        <x:v>94</x:v>
      </x:c>
      <x:c r="AG469" s="35" t="n">
        <x:v>79</x:v>
      </x:c>
      <x:c r="AH469" s="35" t="n">
        <x:v>6</x:v>
      </x:c>
      <x:c r="AI469" s="37" t="n">
        <x:v>100</x:v>
      </x:c>
      <x:c r="AJ469" s="37" t="n">
        <x:v>92.4</x:v>
      </x:c>
      <x:c r="AK469" s="35" t="str">
        <x:v>Yes</x:v>
      </x:c>
      <x:c r="AL469" s="38" t="n">
        <x:f>IF(AA469=0,0,AB469/AA469)</x:f>
        <x:v>0.6666666666666666</x:v>
      </x:c>
      <x:c r="AM469" s="38" t="n">
        <x:f>IF(AB469=0,0,AC469/AB469)</x:f>
        <x:v>0.5</x:v>
      </x:c>
      <x:c r="AN469" s="37" t="n">
        <x:f>ROUND((AD469*0.20+AE469*0.20+AF469*0.25+AG469*0.15+MIN(100,AC469*12)*0.20),1)</x:f>
        <x:v>66.2</x:v>
      </x:c>
      <x:c r="AO469" s="37" t="n">
        <x:f>ROUND(MAX(0,MIN(100,(X469*0.35)+(W469/45*100*0.20)+((5-O469)/4*100*0.15)+((5-P469)/4*100*0.10)+((6-Y469)/5*100*0.10)+((100-Z469)*0.10))),1)</x:f>
        <x:v>65.1</x:v>
      </x:c>
      <x:c r="AP469" s="37" t="str">
        <x:f>IF(AO469&gt;=70,"High",IF(AO469&gt;=40,"Moderate","Low"))</x:f>
        <x:v>Moderate</x:v>
      </x:c>
      <x:c r="AQ469" s="37" t="n">
        <x:f>ROUND(MAX(0,MIN(100,(O469/4*100*0.25)+(P469/4*100*0.20)+(Q469/4*100*0.15)+(Y469/5*100*0.20)+(100-AO469)*0.20)),1)</x:f>
        <x:v>59.2</x:v>
      </x:c>
      <x:c r="AR469" s="37" t="n">
        <x:f>ROUND((AI469*0.20+AJ469*0.15+AN469*0.18+AG469*0.12+Z469*0.15+AQ469*0.20),1)</x:f>
        <x:v>80.6</x:v>
      </x:c>
      <x:c r="AS469" s="39" t="n">
        <x:f>ROUND((AC469*AF469*120)+(AH469*350)+(MAX(0,AI469-75)*220)+(MAX(0,AQ469-60)*100),0)</x:f>
        <x:v>30160</x:v>
      </x:c>
    </x:row>
    <x:row r="470">
      <x:c r="A470" s="35" t="n">
        <x:v>469</x:v>
      </x:c>
      <x:c r="B470" s="35" t="n">
        <x:v>42</x:v>
      </x:c>
      <x:c r="C470" s="35" t="str">
        <x:v>Male</x:v>
      </x:c>
      <x:c r="D470" s="35" t="str">
        <x:v>Research &amp; Development</x:v>
      </x:c>
      <x:c r="E470" s="35" t="str">
        <x:v>Laboratory Technician</x:v>
      </x:c>
      <x:c r="F470" s="35" t="str">
        <x:v>Business</x:v>
      </x:c>
      <x:c r="G470" s="35" t="str">
        <x:v>Married</x:v>
      </x:c>
      <x:c r="H470" s="35" t="n">
        <x:v>3</x:v>
      </x:c>
      <x:c r="I470" s="36" t="n">
        <x:v>11870</x:v>
      </x:c>
      <x:c r="J470" s="35" t="n">
        <x:v>10</x:v>
      </x:c>
      <x:c r="K470" s="35" t="n">
        <x:v>8</x:v>
      </x:c>
      <x:c r="L470" s="35" t="n">
        <x:v>6</x:v>
      </x:c>
      <x:c r="M470" s="35" t="n">
        <x:v>3</x:v>
      </x:c>
      <x:c r="N470" s="35" t="str">
        <x:v>No</x:v>
      </x:c>
      <x:c r="O470" s="35" t="n">
        <x:v>1</x:v>
      </x:c>
      <x:c r="P470" s="35" t="n">
        <x:v>3</x:v>
      </x:c>
      <x:c r="Q470" s="35" t="n">
        <x:v>4</x:v>
      </x:c>
      <x:c r="R470" s="35" t="n">
        <x:v>4</x:v>
      </x:c>
      <x:c r="S470" s="35" t="n">
        <x:v>3</x:v>
      </x:c>
      <x:c r="T470" s="35" t="n">
        <x:v>3</x:v>
      </x:c>
      <x:c r="U470" s="35" t="n">
        <x:v>0</x:v>
      </x:c>
      <x:c r="V470" s="35" t="n">
        <x:v>4</x:v>
      </x:c>
      <x:c r="W470" s="35" t="n">
        <x:v>7</x:v>
      </x:c>
      <x:c r="X470" s="35" t="n">
        <x:v>74</x:v>
      </x:c>
      <x:c r="Y470" s="35" t="n">
        <x:v>3</x:v>
      </x:c>
      <x:c r="Z470" s="35" t="n">
        <x:v>100</x:v>
      </x:c>
      <x:c r="AA470" s="35" t="n">
        <x:v>4</x:v>
      </x:c>
      <x:c r="AB470" s="35" t="n">
        <x:v>4</x:v>
      </x:c>
      <x:c r="AC470" s="35" t="n">
        <x:v>4</x:v>
      </x:c>
      <x:c r="AD470" s="35" t="n">
        <x:v>67</x:v>
      </x:c>
      <x:c r="AE470" s="35" t="n">
        <x:v>90</x:v>
      </x:c>
      <x:c r="AF470" s="35" t="n">
        <x:v>97</x:v>
      </x:c>
      <x:c r="AG470" s="35" t="n">
        <x:v>100</x:v>
      </x:c>
      <x:c r="AH470" s="35" t="n">
        <x:v>11</x:v>
      </x:c>
      <x:c r="AI470" s="37" t="n">
        <x:v>93.7</x:v>
      </x:c>
      <x:c r="AJ470" s="37" t="n">
        <x:v>98.6</x:v>
      </x:c>
      <x:c r="AK470" s="35" t="str">
        <x:v>No</x:v>
      </x:c>
      <x:c r="AL470" s="38" t="n">
        <x:f>IF(AA470=0,0,AB470/AA470)</x:f>
        <x:v>1</x:v>
      </x:c>
      <x:c r="AM470" s="38" t="n">
        <x:f>IF(AB470=0,0,AC470/AB470)</x:f>
        <x:v>1</x:v>
      </x:c>
      <x:c r="AN470" s="37" t="n">
        <x:f>ROUND((AD470*0.20+AE470*0.20+AF470*0.25+AG470*0.15+MIN(100,AC470*12)*0.20),1)</x:f>
        <x:v>80.3</x:v>
      </x:c>
      <x:c r="AO470" s="37" t="n">
        <x:f>ROUND(MAX(0,MIN(100,(X470*0.35)+(W470/45*100*0.20)+((5-O470)/4*100*0.15)+((5-P470)/4*100*0.10)+((6-Y470)/5*100*0.10)+((100-Z470)*0.10))),1)</x:f>
        <x:v>55</x:v>
      </x:c>
      <x:c r="AP470" s="37" t="str">
        <x:f>IF(AO470&gt;=70,"High",IF(AO470&gt;=40,"Moderate","Low"))</x:f>
        <x:v>Moderate</x:v>
      </x:c>
      <x:c r="AQ470" s="37" t="n">
        <x:f>ROUND(MAX(0,MIN(100,(O470/4*100*0.25)+(P470/4*100*0.20)+(Q470/4*100*0.15)+(Y470/5*100*0.20)+(100-AO470)*0.20)),1)</x:f>
        <x:v>57.3</x:v>
      </x:c>
      <x:c r="AR470" s="37" t="n">
        <x:f>ROUND((AI470*0.20+AJ470*0.15+AN470*0.18+AG470*0.12+Z470*0.15+AQ470*0.20),1)</x:f>
        <x:v>86.4</x:v>
      </x:c>
      <x:c r="AS470" s="39" t="n">
        <x:f>ROUND((AC470*AF470*120)+(AH470*350)+(MAX(0,AI470-75)*220)+(MAX(0,AQ470-60)*100),0)</x:f>
        <x:v>54524</x:v>
      </x:c>
    </x:row>
    <x:row r="471">
      <x:c r="A471" s="35" t="n">
        <x:v>470</x:v>
      </x:c>
      <x:c r="B471" s="35" t="n">
        <x:v>36</x:v>
      </x:c>
      <x:c r="C471" s="35" t="str">
        <x:v>Female</x:v>
      </x:c>
      <x:c r="D471" s="35" t="str">
        <x:v>Research &amp; Development</x:v>
      </x:c>
      <x:c r="E471" s="35" t="str">
        <x:v>Research Scientist</x:v>
      </x:c>
      <x:c r="F471" s="35" t="str">
        <x:v>Marketing</x:v>
      </x:c>
      <x:c r="G471" s="35" t="str">
        <x:v>Single</x:v>
      </x:c>
      <x:c r="H471" s="35" t="n">
        <x:v>2</x:v>
      </x:c>
      <x:c r="I471" s="36" t="n">
        <x:v>6190</x:v>
      </x:c>
      <x:c r="J471" s="35" t="n">
        <x:v>12</x:v>
      </x:c>
      <x:c r="K471" s="35" t="n">
        <x:v>3</x:v>
      </x:c>
      <x:c r="L471" s="35" t="n">
        <x:v>2</x:v>
      </x:c>
      <x:c r="M471" s="35" t="n">
        <x:v>15</x:v>
      </x:c>
      <x:c r="N471" s="35" t="str">
        <x:v>No</x:v>
      </x:c>
      <x:c r="O471" s="35" t="n">
        <x:v>4</x:v>
      </x:c>
      <x:c r="P471" s="35" t="n">
        <x:v>4</x:v>
      </x:c>
      <x:c r="Q471" s="35" t="n">
        <x:v>4</x:v>
      </x:c>
      <x:c r="R471" s="35" t="n">
        <x:v>2</x:v>
      </x:c>
      <x:c r="S471" s="35" t="n">
        <x:v>3</x:v>
      </x:c>
      <x:c r="T471" s="35" t="n">
        <x:v>5</x:v>
      </x:c>
      <x:c r="U471" s="35" t="n">
        <x:v>2</x:v>
      </x:c>
      <x:c r="V471" s="35" t="n">
        <x:v>6</x:v>
      </x:c>
      <x:c r="W471" s="35" t="n">
        <x:v>3</x:v>
      </x:c>
      <x:c r="X471" s="35" t="n">
        <x:v>63</x:v>
      </x:c>
      <x:c r="Y471" s="35" t="n">
        <x:v>5</x:v>
      </x:c>
      <x:c r="Z471" s="35" t="n">
        <x:v>100</x:v>
      </x:c>
      <x:c r="AA471" s="35" t="n">
        <x:v>2</x:v>
      </x:c>
      <x:c r="AB471" s="35" t="n">
        <x:v>1</x:v>
      </x:c>
      <x:c r="AC471" s="35" t="n">
        <x:v>1</x:v>
      </x:c>
      <x:c r="AD471" s="35" t="n">
        <x:v>73</x:v>
      </x:c>
      <x:c r="AE471" s="35" t="n">
        <x:v>84</x:v>
      </x:c>
      <x:c r="AF471" s="35" t="n">
        <x:v>70</x:v>
      </x:c>
      <x:c r="AG471" s="35" t="n">
        <x:v>92</x:v>
      </x:c>
      <x:c r="AH471" s="35" t="n">
        <x:v>3</x:v>
      </x:c>
      <x:c r="AI471" s="37" t="n">
        <x:v>92.5</x:v>
      </x:c>
      <x:c r="AJ471" s="37" t="n">
        <x:v>89.8</x:v>
      </x:c>
      <x:c r="AK471" s="35" t="str">
        <x:v>No</x:v>
      </x:c>
      <x:c r="AL471" s="38" t="n">
        <x:f>IF(AA471=0,0,AB471/AA471)</x:f>
        <x:v>0.5</x:v>
      </x:c>
      <x:c r="AM471" s="38" t="n">
        <x:f>IF(AB471=0,0,AC471/AB471)</x:f>
        <x:v>1</x:v>
      </x:c>
      <x:c r="AN471" s="37" t="n">
        <x:f>ROUND((AD471*0.20+AE471*0.20+AF471*0.25+AG471*0.15+MIN(100,AC471*12)*0.20),1)</x:f>
        <x:v>65.1</x:v>
      </x:c>
      <x:c r="AO471" s="37" t="n">
        <x:f>ROUND(MAX(0,MIN(100,(X471*0.35)+(W471/45*100*0.20)+((5-O471)/4*100*0.15)+((5-P471)/4*100*0.10)+((6-Y471)/5*100*0.10)+((100-Z471)*0.10))),1)</x:f>
        <x:v>31.6</x:v>
      </x:c>
      <x:c r="AP471" s="37" t="str">
        <x:f>IF(AO471&gt;=70,"High",IF(AO471&gt;=40,"Moderate","Low"))</x:f>
        <x:v>Low</x:v>
      </x:c>
      <x:c r="AQ471" s="37" t="n">
        <x:f>ROUND(MAX(0,MIN(100,(O471/4*100*0.25)+(P471/4*100*0.20)+(Q471/4*100*0.15)+(Y471/5*100*0.20)+(100-AO471)*0.20)),1)</x:f>
        <x:v>93.7</x:v>
      </x:c>
      <x:c r="AR471" s="37" t="n">
        <x:f>ROUND((AI471*0.20+AJ471*0.15+AN471*0.18+AG471*0.12+Z471*0.15+AQ471*0.20),1)</x:f>
        <x:v>88.5</x:v>
      </x:c>
      <x:c r="AS471" s="39" t="n">
        <x:f>ROUND((AC471*AF471*120)+(AH471*350)+(MAX(0,AI471-75)*220)+(MAX(0,AQ471-60)*100),0)</x:f>
        <x:v>16670</x:v>
      </x:c>
    </x:row>
    <x:row r="472">
      <x:c r="A472" s="35" t="n">
        <x:v>471</x:v>
      </x:c>
      <x:c r="B472" s="35" t="n">
        <x:v>36</x:v>
      </x:c>
      <x:c r="C472" s="35" t="str">
        <x:v>Male</x:v>
      </x:c>
      <x:c r="D472" s="35" t="str">
        <x:v>Human Resources</x:v>
      </x:c>
      <x:c r="E472" s="35" t="str">
        <x:v>HR Specialist</x:v>
      </x:c>
      <x:c r="F472" s="35" t="str">
        <x:v>Technical Degree</x:v>
      </x:c>
      <x:c r="G472" s="35" t="str">
        <x:v>Single</x:v>
      </x:c>
      <x:c r="H472" s="35" t="n">
        <x:v>2</x:v>
      </x:c>
      <x:c r="I472" s="36" t="n">
        <x:v>7600</x:v>
      </x:c>
      <x:c r="J472" s="35" t="n">
        <x:v>8</x:v>
      </x:c>
      <x:c r="K472" s="35" t="n">
        <x:v>6</x:v>
      </x:c>
      <x:c r="L472" s="35" t="n">
        <x:v>2</x:v>
      </x:c>
      <x:c r="M472" s="35" t="n">
        <x:v>3</x:v>
      </x:c>
      <x:c r="N472" s="35" t="str">
        <x:v>No</x:v>
      </x:c>
      <x:c r="O472" s="35" t="n">
        <x:v>3</x:v>
      </x:c>
      <x:c r="P472" s="35" t="n">
        <x:v>3</x:v>
      </x:c>
      <x:c r="Q472" s="35" t="n">
        <x:v>2</x:v>
      </x:c>
      <x:c r="R472" s="35" t="n">
        <x:v>3</x:v>
      </x:c>
      <x:c r="S472" s="35" t="n">
        <x:v>3</x:v>
      </x:c>
      <x:c r="T472" s="35" t="n">
        <x:v>2</x:v>
      </x:c>
      <x:c r="U472" s="35" t="n">
        <x:v>0</x:v>
      </x:c>
      <x:c r="V472" s="35" t="n">
        <x:v>4</x:v>
      </x:c>
      <x:c r="W472" s="35" t="n">
        <x:v>9</x:v>
      </x:c>
      <x:c r="X472" s="35" t="n">
        <x:v>69</x:v>
      </x:c>
      <x:c r="Y472" s="35" t="n">
        <x:v>5</x:v>
      </x:c>
      <x:c r="Z472" s="35" t="n">
        <x:v>100</x:v>
      </x:c>
      <x:c r="AA472" s="35" t="n">
        <x:v>8</x:v>
      </x:c>
      <x:c r="AB472" s="35" t="n">
        <x:v>7</x:v>
      </x:c>
      <x:c r="AC472" s="35" t="n">
        <x:v>4</x:v>
      </x:c>
      <x:c r="AD472" s="35" t="n">
        <x:v>67</x:v>
      </x:c>
      <x:c r="AE472" s="35" t="n">
        <x:v>89</x:v>
      </x:c>
      <x:c r="AF472" s="35" t="n">
        <x:v>99</x:v>
      </x:c>
      <x:c r="AG472" s="35" t="n">
        <x:v>100</x:v>
      </x:c>
      <x:c r="AH472" s="35" t="n">
        <x:v>8</x:v>
      </x:c>
      <x:c r="AI472" s="37" t="n">
        <x:v>91.7</x:v>
      </x:c>
      <x:c r="AJ472" s="37" t="n">
        <x:v>85.3</x:v>
      </x:c>
      <x:c r="AK472" s="35" t="str">
        <x:v>No</x:v>
      </x:c>
      <x:c r="AL472" s="38" t="n">
        <x:f>IF(AA472=0,0,AB472/AA472)</x:f>
        <x:v>0.875</x:v>
      </x:c>
      <x:c r="AM472" s="38" t="n">
        <x:f>IF(AB472=0,0,AC472/AB472)</x:f>
        <x:v>0.5714285714285714</x:v>
      </x:c>
      <x:c r="AN472" s="37" t="n">
        <x:f>ROUND((AD472*0.20+AE472*0.20+AF472*0.25+AG472*0.15+MIN(100,AC472*12)*0.20),1)</x:f>
        <x:v>80.6</x:v>
      </x:c>
      <x:c r="AO472" s="37" t="n">
        <x:f>ROUND(MAX(0,MIN(100,(X472*0.35)+(W472/45*100*0.20)+((5-O472)/4*100*0.15)+((5-P472)/4*100*0.10)+((6-Y472)/5*100*0.10)+((100-Z472)*0.10))),1)</x:f>
        <x:v>42.7</x:v>
      </x:c>
      <x:c r="AP472" s="37" t="str">
        <x:f>IF(AO472&gt;=70,"High",IF(AO472&gt;=40,"Moderate","Low"))</x:f>
        <x:v>Moderate</x:v>
      </x:c>
      <x:c r="AQ472" s="37" t="n">
        <x:f>ROUND(MAX(0,MIN(100,(O472/4*100*0.25)+(P472/4*100*0.20)+(Q472/4*100*0.15)+(Y472/5*100*0.20)+(100-AO472)*0.20)),1)</x:f>
        <x:v>72.7</x:v>
      </x:c>
      <x:c r="AR472" s="37" t="n">
        <x:f>ROUND((AI472*0.20+AJ472*0.15+AN472*0.18+AG472*0.12+Z472*0.15+AQ472*0.20),1)</x:f>
        <x:v>87.2</x:v>
      </x:c>
      <x:c r="AS472" s="39" t="n">
        <x:f>ROUND((AC472*AF472*120)+(AH472*350)+(MAX(0,AI472-75)*220)+(MAX(0,AQ472-60)*100),0)</x:f>
        <x:v>55264</x:v>
      </x:c>
    </x:row>
    <x:row r="473">
      <x:c r="A473" s="35" t="n">
        <x:v>472</x:v>
      </x:c>
      <x:c r="B473" s="35" t="n">
        <x:v>21</x:v>
      </x:c>
      <x:c r="C473" s="35" t="str">
        <x:v>Male</x:v>
      </x:c>
      <x:c r="D473" s="35" t="str">
        <x:v>Marketing</x:v>
      </x:c>
      <x:c r="E473" s="35" t="str">
        <x:v>Marketing Specialist</x:v>
      </x:c>
      <x:c r="F473" s="35" t="str">
        <x:v>Life Sciences</x:v>
      </x:c>
      <x:c r="G473" s="35" t="str">
        <x:v>Divorced</x:v>
      </x:c>
      <x:c r="H473" s="35" t="n">
        <x:v>1</x:v>
      </x:c>
      <x:c r="I473" s="36" t="n">
        <x:v>5960</x:v>
      </x:c>
      <x:c r="J473" s="35" t="n">
        <x:v>0</x:v>
      </x:c>
      <x:c r="K473" s="35" t="n">
        <x:v>0</x:v>
      </x:c>
      <x:c r="L473" s="35" t="n">
        <x:v>0</x:v>
      </x:c>
      <x:c r="M473" s="35" t="n">
        <x:v>9</x:v>
      </x:c>
      <x:c r="N473" s="35" t="str">
        <x:v>Yes</x:v>
      </x:c>
      <x:c r="O473" s="35" t="n">
        <x:v>2</x:v>
      </x:c>
      <x:c r="P473" s="35" t="n">
        <x:v>2</x:v>
      </x:c>
      <x:c r="Q473" s="35" t="n">
        <x:v>3</x:v>
      </x:c>
      <x:c r="R473" s="35" t="n">
        <x:v>3</x:v>
      </x:c>
      <x:c r="S473" s="35" t="n">
        <x:v>3</x:v>
      </x:c>
      <x:c r="T473" s="35" t="n">
        <x:v>1</x:v>
      </x:c>
      <x:c r="U473" s="35" t="n">
        <x:v>1</x:v>
      </x:c>
      <x:c r="V473" s="35" t="n">
        <x:v>10</x:v>
      </x:c>
      <x:c r="W473" s="35" t="n">
        <x:v>17</x:v>
      </x:c>
      <x:c r="X473" s="35" t="n">
        <x:v>100</x:v>
      </x:c>
      <x:c r="Y473" s="35" t="n">
        <x:v>4</x:v>
      </x:c>
      <x:c r="Z473" s="35" t="n">
        <x:v>96</x:v>
      </x:c>
      <x:c r="AA473" s="35" t="n">
        <x:v>6</x:v>
      </x:c>
      <x:c r="AB473" s="35" t="n">
        <x:v>4</x:v>
      </x:c>
      <x:c r="AC473" s="35" t="n">
        <x:v>4</x:v>
      </x:c>
      <x:c r="AD473" s="35" t="n">
        <x:v>76</x:v>
      </x:c>
      <x:c r="AE473" s="35" t="n">
        <x:v>93</x:v>
      </x:c>
      <x:c r="AF473" s="35" t="n">
        <x:v>87</x:v>
      </x:c>
      <x:c r="AG473" s="35" t="n">
        <x:v>86</x:v>
      </x:c>
      <x:c r="AH473" s="35" t="n">
        <x:v>8</x:v>
      </x:c>
      <x:c r="AI473" s="37" t="n">
        <x:v>97.6</x:v>
      </x:c>
      <x:c r="AJ473" s="37" t="n">
        <x:v>93.2</x:v>
      </x:c>
      <x:c r="AK473" s="35" t="str">
        <x:v>Yes</x:v>
      </x:c>
      <x:c r="AL473" s="38" t="n">
        <x:f>IF(AA473=0,0,AB473/AA473)</x:f>
        <x:v>0.6666666666666666</x:v>
      </x:c>
      <x:c r="AM473" s="38" t="n">
        <x:f>IF(AB473=0,0,AC473/AB473)</x:f>
        <x:v>1</x:v>
      </x:c>
      <x:c r="AN473" s="37" t="n">
        <x:f>ROUND((AD473*0.20+AE473*0.20+AF473*0.25+AG473*0.15+MIN(100,AC473*12)*0.20),1)</x:f>
        <x:v>78.1</x:v>
      </x:c>
      <x:c r="AO473" s="37" t="n">
        <x:f>ROUND(MAX(0,MIN(100,(X473*0.35)+(W473/45*100*0.20)+((5-O473)/4*100*0.15)+((5-P473)/4*100*0.10)+((6-Y473)/5*100*0.10)+((100-Z473)*0.10))),1)</x:f>
        <x:v>65.7</x:v>
      </x:c>
      <x:c r="AP473" s="37" t="str">
        <x:f>IF(AO473&gt;=70,"High",IF(AO473&gt;=40,"Moderate","Low"))</x:f>
        <x:v>Moderate</x:v>
      </x:c>
      <x:c r="AQ473" s="37" t="n">
        <x:f>ROUND(MAX(0,MIN(100,(O473/4*100*0.25)+(P473/4*100*0.20)+(Q473/4*100*0.15)+(Y473/5*100*0.20)+(100-AO473)*0.20)),1)</x:f>
        <x:v>56.6</x:v>
      </x:c>
      <x:c r="AR473" s="37" t="n">
        <x:f>ROUND((AI473*0.20+AJ473*0.15+AN473*0.18+AG473*0.12+Z473*0.15+AQ473*0.20),1)</x:f>
        <x:v>83.6</x:v>
      </x:c>
      <x:c r="AS473" s="39" t="n">
        <x:f>ROUND((AC473*AF473*120)+(AH473*350)+(MAX(0,AI473-75)*220)+(MAX(0,AQ473-60)*100),0)</x:f>
        <x:v>49532</x:v>
      </x:c>
    </x:row>
    <x:row r="474">
      <x:c r="A474" s="35" t="n">
        <x:v>473</x:v>
      </x:c>
      <x:c r="B474" s="35" t="n">
        <x:v>39</x:v>
      </x:c>
      <x:c r="C474" s="35" t="str">
        <x:v>Male</x:v>
      </x:c>
      <x:c r="D474" s="35" t="str">
        <x:v>Research &amp; Development</x:v>
      </x:c>
      <x:c r="E474" s="35" t="str">
        <x:v>Laboratory Technician</x:v>
      </x:c>
      <x:c r="F474" s="35" t="str">
        <x:v>Computer Science</x:v>
      </x:c>
      <x:c r="G474" s="35" t="str">
        <x:v>Divorced</x:v>
      </x:c>
      <x:c r="H474" s="35" t="n">
        <x:v>3</x:v>
      </x:c>
      <x:c r="I474" s="36" t="n">
        <x:v>13300</x:v>
      </x:c>
      <x:c r="J474" s="35" t="n">
        <x:v>13</x:v>
      </x:c>
      <x:c r="K474" s="35" t="n">
        <x:v>3</x:v>
      </x:c>
      <x:c r="L474" s="35" t="n">
        <x:v>2</x:v>
      </x:c>
      <x:c r="M474" s="35" t="n">
        <x:v>3</x:v>
      </x:c>
      <x:c r="N474" s="35" t="str">
        <x:v>No</x:v>
      </x:c>
      <x:c r="O474" s="35" t="n">
        <x:v>3</x:v>
      </x:c>
      <x:c r="P474" s="35" t="n">
        <x:v>3</x:v>
      </x:c>
      <x:c r="Q474" s="35" t="n">
        <x:v>3</x:v>
      </x:c>
      <x:c r="R474" s="35" t="n">
        <x:v>3</x:v>
      </x:c>
      <x:c r="S474" s="35" t="n">
        <x:v>3</x:v>
      </x:c>
      <x:c r="T474" s="35" t="n">
        <x:v>3</x:v>
      </x:c>
      <x:c r="U474" s="35" t="n">
        <x:v>1</x:v>
      </x:c>
      <x:c r="V474" s="35" t="n">
        <x:v>7</x:v>
      </x:c>
      <x:c r="W474" s="35" t="n">
        <x:v>15</x:v>
      </x:c>
      <x:c r="X474" s="35" t="n">
        <x:v>54</x:v>
      </x:c>
      <x:c r="Y474" s="35" t="n">
        <x:v>5</x:v>
      </x:c>
      <x:c r="Z474" s="35" t="n">
        <x:v>100</x:v>
      </x:c>
      <x:c r="AA474" s="35" t="n">
        <x:v>9</x:v>
      </x:c>
      <x:c r="AB474" s="35" t="n">
        <x:v>7</x:v>
      </x:c>
      <x:c r="AC474" s="35" t="n">
        <x:v>6</x:v>
      </x:c>
      <x:c r="AD474" s="35" t="n">
        <x:v>95</x:v>
      </x:c>
      <x:c r="AE474" s="35" t="n">
        <x:v>58</x:v>
      </x:c>
      <x:c r="AF474" s="35" t="n">
        <x:v>95</x:v>
      </x:c>
      <x:c r="AG474" s="35" t="n">
        <x:v>87</x:v>
      </x:c>
      <x:c r="AH474" s="35" t="n">
        <x:v>7</x:v>
      </x:c>
      <x:c r="AI474" s="37" t="n">
        <x:v>98.2</x:v>
      </x:c>
      <x:c r="AJ474" s="37" t="n">
        <x:v>92.8</x:v>
      </x:c>
      <x:c r="AK474" s="35" t="str">
        <x:v>No</x:v>
      </x:c>
      <x:c r="AL474" s="38" t="n">
        <x:f>IF(AA474=0,0,AB474/AA474)</x:f>
        <x:v>0.7777777777777778</x:v>
      </x:c>
      <x:c r="AM474" s="38" t="n">
        <x:f>IF(AB474=0,0,AC474/AB474)</x:f>
        <x:v>0.8571428571428571</x:v>
      </x:c>
      <x:c r="AN474" s="37" t="n">
        <x:f>ROUND((AD474*0.20+AE474*0.20+AF474*0.25+AG474*0.15+MIN(100,AC474*12)*0.20),1)</x:f>
        <x:v>81.8</x:v>
      </x:c>
      <x:c r="AO474" s="37" t="n">
        <x:f>ROUND(MAX(0,MIN(100,(X474*0.35)+(W474/45*100*0.20)+((5-O474)/4*100*0.15)+((5-P474)/4*100*0.10)+((6-Y474)/5*100*0.10)+((100-Z474)*0.10))),1)</x:f>
        <x:v>40.1</x:v>
      </x:c>
      <x:c r="AP474" s="37" t="str">
        <x:f>IF(AO474&gt;=70,"High",IF(AO474&gt;=40,"Moderate","Low"))</x:f>
        <x:v>Moderate</x:v>
      </x:c>
      <x:c r="AQ474" s="37" t="n">
        <x:f>ROUND(MAX(0,MIN(100,(O474/4*100*0.25)+(P474/4*100*0.20)+(Q474/4*100*0.15)+(Y474/5*100*0.20)+(100-AO474)*0.20)),1)</x:f>
        <x:v>77</x:v>
      </x:c>
      <x:c r="AR474" s="37" t="n">
        <x:f>ROUND((AI474*0.20+AJ474*0.15+AN474*0.18+AG474*0.12+Z474*0.15+AQ474*0.20),1)</x:f>
        <x:v>89.1</x:v>
      </x:c>
      <x:c r="AS474" s="39" t="n">
        <x:f>ROUND((AC474*AF474*120)+(AH474*350)+(MAX(0,AI474-75)*220)+(MAX(0,AQ474-60)*100),0)</x:f>
        <x:v>77654</x:v>
      </x:c>
    </x:row>
    <x:row r="475">
      <x:c r="A475" s="35" t="n">
        <x:v>474</x:v>
      </x:c>
      <x:c r="B475" s="35" t="n">
        <x:v>38</x:v>
      </x:c>
      <x:c r="C475" s="35" t="str">
        <x:v>Female</x:v>
      </x:c>
      <x:c r="D475" s="35" t="str">
        <x:v>Research &amp; Development</x:v>
      </x:c>
      <x:c r="E475" s="35" t="str">
        <x:v>Laboratory Technician</x:v>
      </x:c>
      <x:c r="F475" s="35" t="str">
        <x:v>Marketing</x:v>
      </x:c>
      <x:c r="G475" s="35" t="str">
        <x:v>Single</x:v>
      </x:c>
      <x:c r="H475" s="35" t="n">
        <x:v>1</x:v>
      </x:c>
      <x:c r="I475" s="36" t="n">
        <x:v>4580</x:v>
      </x:c>
      <x:c r="J475" s="35" t="n">
        <x:v>8</x:v>
      </x:c>
      <x:c r="K475" s="35" t="n">
        <x:v>4</x:v>
      </x:c>
      <x:c r="L475" s="35" t="n">
        <x:v>3</x:v>
      </x:c>
      <x:c r="M475" s="35" t="n">
        <x:v>7</x:v>
      </x:c>
      <x:c r="N475" s="35" t="str">
        <x:v>Yes</x:v>
      </x:c>
      <x:c r="O475" s="35" t="n">
        <x:v>3</x:v>
      </x:c>
      <x:c r="P475" s="35" t="n">
        <x:v>2</x:v>
      </x:c>
      <x:c r="Q475" s="35" t="n">
        <x:v>3</x:v>
      </x:c>
      <x:c r="R475" s="35" t="n">
        <x:v>3</x:v>
      </x:c>
      <x:c r="S475" s="35" t="n">
        <x:v>3</x:v>
      </x:c>
      <x:c r="T475" s="35" t="n">
        <x:v>4</x:v>
      </x:c>
      <x:c r="U475" s="35" t="n">
        <x:v>3</x:v>
      </x:c>
      <x:c r="V475" s="35" t="n">
        <x:v>8</x:v>
      </x:c>
      <x:c r="W475" s="35" t="n">
        <x:v>30</x:v>
      </x:c>
      <x:c r="X475" s="35" t="n">
        <x:v>86</x:v>
      </x:c>
      <x:c r="Y475" s="35" t="n">
        <x:v>4</x:v>
      </x:c>
      <x:c r="Z475" s="35" t="n">
        <x:v>95</x:v>
      </x:c>
      <x:c r="AA475" s="35" t="n">
        <x:v>3</x:v>
      </x:c>
      <x:c r="AB475" s="35" t="n">
        <x:v>3</x:v>
      </x:c>
      <x:c r="AC475" s="35" t="n">
        <x:v>2</x:v>
      </x:c>
      <x:c r="AD475" s="35" t="n">
        <x:v>78</x:v>
      </x:c>
      <x:c r="AE475" s="35" t="n">
        <x:v>70</x:v>
      </x:c>
      <x:c r="AF475" s="35" t="n">
        <x:v>71</x:v>
      </x:c>
      <x:c r="AG475" s="35" t="n">
        <x:v>100</x:v>
      </x:c>
      <x:c r="AH475" s="35" t="n">
        <x:v>5</x:v>
      </x:c>
      <x:c r="AI475" s="37" t="n">
        <x:v>94.2</x:v>
      </x:c>
      <x:c r="AJ475" s="37" t="n">
        <x:v>100</x:v>
      </x:c>
      <x:c r="AK475" s="35" t="str">
        <x:v>No</x:v>
      </x:c>
      <x:c r="AL475" s="38" t="n">
        <x:f>IF(AA475=0,0,AB475/AA475)</x:f>
        <x:v>1</x:v>
      </x:c>
      <x:c r="AM475" s="38" t="n">
        <x:f>IF(AB475=0,0,AC475/AB475)</x:f>
        <x:v>0.6666666666666666</x:v>
      </x:c>
      <x:c r="AN475" s="37" t="n">
        <x:f>ROUND((AD475*0.20+AE475*0.20+AF475*0.25+AG475*0.15+MIN(100,AC475*12)*0.20),1)</x:f>
        <x:v>67.2</x:v>
      </x:c>
      <x:c r="AO475" s="37" t="n">
        <x:f>ROUND(MAX(0,MIN(100,(X475*0.35)+(W475/45*100*0.20)+((5-O475)/4*100*0.15)+((5-P475)/4*100*0.10)+((6-Y475)/5*100*0.10)+((100-Z475)*0.10))),1)</x:f>
        <x:v>62.9</x:v>
      </x:c>
      <x:c r="AP475" s="37" t="str">
        <x:f>IF(AO475&gt;=70,"High",IF(AO475&gt;=40,"Moderate","Low"))</x:f>
        <x:v>Moderate</x:v>
      </x:c>
      <x:c r="AQ475" s="37" t="n">
        <x:f>ROUND(MAX(0,MIN(100,(O475/4*100*0.25)+(P475/4*100*0.20)+(Q475/4*100*0.15)+(Y475/5*100*0.20)+(100-AO475)*0.20)),1)</x:f>
        <x:v>63.4</x:v>
      </x:c>
      <x:c r="AR475" s="37" t="n">
        <x:f>ROUND((AI475*0.20+AJ475*0.15+AN475*0.18+AG475*0.12+Z475*0.15+AQ475*0.20),1)</x:f>
        <x:v>84.9</x:v>
      </x:c>
      <x:c r="AS475" s="39" t="n">
        <x:f>ROUND((AC475*AF475*120)+(AH475*350)+(MAX(0,AI475-75)*220)+(MAX(0,AQ475-60)*100),0)</x:f>
        <x:v>23354</x:v>
      </x:c>
    </x:row>
    <x:row r="476">
      <x:c r="A476" s="35" t="n">
        <x:v>475</x:v>
      </x:c>
      <x:c r="B476" s="35" t="n">
        <x:v>32</x:v>
      </x:c>
      <x:c r="C476" s="35" t="str">
        <x:v>Female</x:v>
      </x:c>
      <x:c r="D476" s="35" t="str">
        <x:v>Sales</x:v>
      </x:c>
      <x:c r="E476" s="35" t="str">
        <x:v>Account Manager</x:v>
      </x:c>
      <x:c r="F476" s="35" t="str">
        <x:v>Marketing</x:v>
      </x:c>
      <x:c r="G476" s="35" t="str">
        <x:v>Married</x:v>
      </x:c>
      <x:c r="H476" s="35" t="n">
        <x:v>2</x:v>
      </x:c>
      <x:c r="I476" s="36" t="n">
        <x:v>7420</x:v>
      </x:c>
      <x:c r="J476" s="35" t="n">
        <x:v>6</x:v>
      </x:c>
      <x:c r="K476" s="35" t="n">
        <x:v>5</x:v>
      </x:c>
      <x:c r="L476" s="35" t="n">
        <x:v>3</x:v>
      </x:c>
      <x:c r="M476" s="35" t="n">
        <x:v>13</x:v>
      </x:c>
      <x:c r="N476" s="35" t="str">
        <x:v>Yes</x:v>
      </x:c>
      <x:c r="O476" s="35" t="n">
        <x:v>2</x:v>
      </x:c>
      <x:c r="P476" s="35" t="n">
        <x:v>2</x:v>
      </x:c>
      <x:c r="Q476" s="35" t="n">
        <x:v>3</x:v>
      </x:c>
      <x:c r="R476" s="35" t="n">
        <x:v>3</x:v>
      </x:c>
      <x:c r="S476" s="35" t="n">
        <x:v>3</x:v>
      </x:c>
      <x:c r="T476" s="35" t="n">
        <x:v>3</x:v>
      </x:c>
      <x:c r="U476" s="35" t="n">
        <x:v>2</x:v>
      </x:c>
      <x:c r="V476" s="35" t="n">
        <x:v>0</x:v>
      </x:c>
      <x:c r="W476" s="35" t="n">
        <x:v>26</x:v>
      </x:c>
      <x:c r="X476" s="35" t="n">
        <x:v>86</x:v>
      </x:c>
      <x:c r="Y476" s="35" t="n">
        <x:v>2</x:v>
      </x:c>
      <x:c r="Z476" s="35" t="n">
        <x:v>91</x:v>
      </x:c>
      <x:c r="AA476" s="35" t="n">
        <x:v>3</x:v>
      </x:c>
      <x:c r="AB476" s="35" t="n">
        <x:v>1</x:v>
      </x:c>
      <x:c r="AC476" s="35" t="n">
        <x:v>1</x:v>
      </x:c>
      <x:c r="AD476" s="35" t="n">
        <x:v>73</x:v>
      </x:c>
      <x:c r="AE476" s="35" t="n">
        <x:v>75</x:v>
      </x:c>
      <x:c r="AF476" s="35" t="n">
        <x:v>72</x:v>
      </x:c>
      <x:c r="AG476" s="35" t="n">
        <x:v>88</x:v>
      </x:c>
      <x:c r="AH476" s="35" t="n">
        <x:v>5</x:v>
      </x:c>
      <x:c r="AI476" s="37" t="n">
        <x:v>99.5</x:v>
      </x:c>
      <x:c r="AJ476" s="37" t="n">
        <x:v>94.2</x:v>
      </x:c>
      <x:c r="AK476" s="35" t="str">
        <x:v>Yes</x:v>
      </x:c>
      <x:c r="AL476" s="38" t="n">
        <x:f>IF(AA476=0,0,AB476/AA476)</x:f>
        <x:v>0.3333333333333333</x:v>
      </x:c>
      <x:c r="AM476" s="38" t="n">
        <x:f>IF(AB476=0,0,AC476/AB476)</x:f>
        <x:v>1</x:v>
      </x:c>
      <x:c r="AN476" s="37" t="n">
        <x:f>ROUND((AD476*0.20+AE476*0.20+AF476*0.25+AG476*0.15+MIN(100,AC476*12)*0.20),1)</x:f>
        <x:v>63.2</x:v>
      </x:c>
      <x:c r="AO476" s="37" t="n">
        <x:f>ROUND(MAX(0,MIN(100,(X476*0.35)+(W476/45*100*0.20)+((5-O476)/4*100*0.15)+((5-P476)/4*100*0.10)+((6-Y476)/5*100*0.10)+((100-Z476)*0.10))),1)</x:f>
        <x:v>69.3</x:v>
      </x:c>
      <x:c r="AP476" s="37" t="str">
        <x:f>IF(AO476&gt;=70,"High",IF(AO476&gt;=40,"Moderate","Low"))</x:f>
        <x:v>Moderate</x:v>
      </x:c>
      <x:c r="AQ476" s="37" t="n">
        <x:f>ROUND(MAX(0,MIN(100,(O476/4*100*0.25)+(P476/4*100*0.20)+(Q476/4*100*0.15)+(Y476/5*100*0.20)+(100-AO476)*0.20)),1)</x:f>
        <x:v>47.9</x:v>
      </x:c>
      <x:c r="AR476" s="37" t="n">
        <x:f>ROUND((AI476*0.20+AJ476*0.15+AN476*0.18+AG476*0.12+Z476*0.15+AQ476*0.20),1)</x:f>
        <x:v>79.2</x:v>
      </x:c>
      <x:c r="AS476" s="39" t="n">
        <x:f>ROUND((AC476*AF476*120)+(AH476*350)+(MAX(0,AI476-75)*220)+(MAX(0,AQ476-60)*100),0)</x:f>
        <x:v>15780</x:v>
      </x:c>
    </x:row>
    <x:row r="477">
      <x:c r="A477" s="35" t="n">
        <x:v>476</x:v>
      </x:c>
      <x:c r="B477" s="35" t="n">
        <x:v>45</x:v>
      </x:c>
      <x:c r="C477" s="35" t="str">
        <x:v>Male</x:v>
      </x:c>
      <x:c r="D477" s="35" t="str">
        <x:v>Sales</x:v>
      </x:c>
      <x:c r="E477" s="35" t="str">
        <x:v>Sales Representative</x:v>
      </x:c>
      <x:c r="F477" s="35" t="str">
        <x:v>Business</x:v>
      </x:c>
      <x:c r="G477" s="35" t="str">
        <x:v>Married</x:v>
      </x:c>
      <x:c r="H477" s="35" t="n">
        <x:v>2</x:v>
      </x:c>
      <x:c r="I477" s="36" t="n">
        <x:v>10930</x:v>
      </x:c>
      <x:c r="J477" s="35" t="n">
        <x:v>20</x:v>
      </x:c>
      <x:c r="K477" s="35" t="n">
        <x:v>17</x:v>
      </x:c>
      <x:c r="L477" s="35" t="n">
        <x:v>5</x:v>
      </x:c>
      <x:c r="M477" s="35" t="n">
        <x:v>1</x:v>
      </x:c>
      <x:c r="N477" s="35" t="str">
        <x:v>No</x:v>
      </x:c>
      <x:c r="O477" s="35" t="n">
        <x:v>2</x:v>
      </x:c>
      <x:c r="P477" s="35" t="n">
        <x:v>3</x:v>
      </x:c>
      <x:c r="Q477" s="35" t="n">
        <x:v>3</x:v>
      </x:c>
      <x:c r="R477" s="35" t="n">
        <x:v>3</x:v>
      </x:c>
      <x:c r="S477" s="35" t="n">
        <x:v>3</x:v>
      </x:c>
      <x:c r="T477" s="35" t="n">
        <x:v>3</x:v>
      </x:c>
      <x:c r="U477" s="35" t="n">
        <x:v>1</x:v>
      </x:c>
      <x:c r="V477" s="35" t="n">
        <x:v>9</x:v>
      </x:c>
      <x:c r="W477" s="35" t="n">
        <x:v>2</x:v>
      </x:c>
      <x:c r="X477" s="35" t="n">
        <x:v>52</x:v>
      </x:c>
      <x:c r="Y477" s="35" t="n">
        <x:v>5</x:v>
      </x:c>
      <x:c r="Z477" s="35" t="n">
        <x:v>100</x:v>
      </x:c>
      <x:c r="AA477" s="35" t="n">
        <x:v>2</x:v>
      </x:c>
      <x:c r="AB477" s="35" t="n">
        <x:v>2</x:v>
      </x:c>
      <x:c r="AC477" s="35" t="n">
        <x:v>0</x:v>
      </x:c>
      <x:c r="AD477" s="35" t="n">
        <x:v>82</x:v>
      </x:c>
      <x:c r="AE477" s="35" t="n">
        <x:v>71</x:v>
      </x:c>
      <x:c r="AF477" s="35" t="n">
        <x:v>74</x:v>
      </x:c>
      <x:c r="AG477" s="35" t="n">
        <x:v>100</x:v>
      </x:c>
      <x:c r="AH477" s="35" t="n">
        <x:v>3</x:v>
      </x:c>
      <x:c r="AI477" s="37" t="n">
        <x:v>100</x:v>
      </x:c>
      <x:c r="AJ477" s="37" t="n">
        <x:v>78.6</x:v>
      </x:c>
      <x:c r="AK477" s="35" t="str">
        <x:v>No</x:v>
      </x:c>
      <x:c r="AL477" s="38" t="n">
        <x:f>IF(AA477=0,0,AB477/AA477)</x:f>
        <x:v>1</x:v>
      </x:c>
      <x:c r="AM477" s="38" t="n">
        <x:f>IF(AB477=0,0,AC477/AB477)</x:f>
        <x:v>0</x:v>
      </x:c>
      <x:c r="AN477" s="37" t="n">
        <x:f>ROUND((AD477*0.20+AE477*0.20+AF477*0.25+AG477*0.15+MIN(100,AC477*12)*0.20),1)</x:f>
        <x:v>64.1</x:v>
      </x:c>
      <x:c r="AO477" s="37" t="n">
        <x:f>ROUND(MAX(0,MIN(100,(X477*0.35)+(W477/45*100*0.20)+((5-O477)/4*100*0.15)+((5-P477)/4*100*0.10)+((6-Y477)/5*100*0.10)+((100-Z477)*0.10))),1)</x:f>
        <x:v>37.3</x:v>
      </x:c>
      <x:c r="AP477" s="37" t="str">
        <x:f>IF(AO477&gt;=70,"High",IF(AO477&gt;=40,"Moderate","Low"))</x:f>
        <x:v>Low</x:v>
      </x:c>
      <x:c r="AQ477" s="37" t="n">
        <x:f>ROUND(MAX(0,MIN(100,(O477/4*100*0.25)+(P477/4*100*0.20)+(Q477/4*100*0.15)+(Y477/5*100*0.20)+(100-AO477)*0.20)),1)</x:f>
        <x:v>71.3</x:v>
      </x:c>
      <x:c r="AR477" s="37" t="n">
        <x:f>ROUND((AI477*0.20+AJ477*0.15+AN477*0.18+AG477*0.12+Z477*0.15+AQ477*0.20),1)</x:f>
        <x:v>84.6</x:v>
      </x:c>
      <x:c r="AS477" s="39" t="n">
        <x:f>ROUND((AC477*AF477*120)+(AH477*350)+(MAX(0,AI477-75)*220)+(MAX(0,AQ477-60)*100),0)</x:f>
        <x:v>7680</x:v>
      </x:c>
    </x:row>
    <x:row r="478">
      <x:c r="A478" s="35" t="n">
        <x:v>477</x:v>
      </x:c>
      <x:c r="B478" s="35" t="n">
        <x:v>31</x:v>
      </x:c>
      <x:c r="C478" s="35" t="str">
        <x:v>Female</x:v>
      </x:c>
      <x:c r="D478" s="35" t="str">
        <x:v>Sales</x:v>
      </x:c>
      <x:c r="E478" s="35" t="str">
        <x:v>Account Manager</x:v>
      </x:c>
      <x:c r="F478" s="35" t="str">
        <x:v>Medical</x:v>
      </x:c>
      <x:c r="G478" s="35" t="str">
        <x:v>Married</x:v>
      </x:c>
      <x:c r="H478" s="35" t="n">
        <x:v>1</x:v>
      </x:c>
      <x:c r="I478" s="36" t="n">
        <x:v>5520</x:v>
      </x:c>
      <x:c r="J478" s="35" t="n">
        <x:v>6</x:v>
      </x:c>
      <x:c r="K478" s="35" t="n">
        <x:v>2</x:v>
      </x:c>
      <x:c r="L478" s="35" t="n">
        <x:v>1</x:v>
      </x:c>
      <x:c r="M478" s="35" t="n">
        <x:v>5</x:v>
      </x:c>
      <x:c r="N478" s="35" t="str">
        <x:v>Yes</x:v>
      </x:c>
      <x:c r="O478" s="35" t="n">
        <x:v>3</x:v>
      </x:c>
      <x:c r="P478" s="35" t="n">
        <x:v>3</x:v>
      </x:c>
      <x:c r="Q478" s="35" t="n">
        <x:v>3</x:v>
      </x:c>
      <x:c r="R478" s="35" t="n">
        <x:v>2</x:v>
      </x:c>
      <x:c r="S478" s="35" t="n">
        <x:v>3</x:v>
      </x:c>
      <x:c r="T478" s="35" t="n">
        <x:v>4</x:v>
      </x:c>
      <x:c r="U478" s="35" t="n">
        <x:v>1</x:v>
      </x:c>
      <x:c r="V478" s="35" t="n">
        <x:v>4</x:v>
      </x:c>
      <x:c r="W478" s="35" t="n">
        <x:v>21</x:v>
      </x:c>
      <x:c r="X478" s="35" t="n">
        <x:v>79</x:v>
      </x:c>
      <x:c r="Y478" s="35" t="n">
        <x:v>3</x:v>
      </x:c>
      <x:c r="Z478" s="35" t="n">
        <x:v>89</x:v>
      </x:c>
      <x:c r="AA478" s="35" t="n">
        <x:v>6</x:v>
      </x:c>
      <x:c r="AB478" s="35" t="n">
        <x:v>6</x:v>
      </x:c>
      <x:c r="AC478" s="35" t="n">
        <x:v>6</x:v>
      </x:c>
      <x:c r="AD478" s="35" t="n">
        <x:v>59</x:v>
      </x:c>
      <x:c r="AE478" s="35" t="n">
        <x:v>100</x:v>
      </x:c>
      <x:c r="AF478" s="35" t="n">
        <x:v>83</x:v>
      </x:c>
      <x:c r="AG478" s="35" t="n">
        <x:v>82</x:v>
      </x:c>
      <x:c r="AH478" s="35" t="n">
        <x:v>10</x:v>
      </x:c>
      <x:c r="AI478" s="37" t="n">
        <x:v>90.1</x:v>
      </x:c>
      <x:c r="AJ478" s="37" t="n">
        <x:v>89.4</x:v>
      </x:c>
      <x:c r="AK478" s="35" t="str">
        <x:v>No</x:v>
      </x:c>
      <x:c r="AL478" s="38" t="n">
        <x:f>IF(AA478=0,0,AB478/AA478)</x:f>
        <x:v>1</x:v>
      </x:c>
      <x:c r="AM478" s="38" t="n">
        <x:f>IF(AB478=0,0,AC478/AB478)</x:f>
        <x:v>1</x:v>
      </x:c>
      <x:c r="AN478" s="37" t="n">
        <x:f>ROUND((AD478*0.20+AE478*0.20+AF478*0.25+AG478*0.15+MIN(100,AC478*12)*0.20),1)</x:f>
        <x:v>79.3</x:v>
      </x:c>
      <x:c r="AO478" s="37" t="n">
        <x:f>ROUND(MAX(0,MIN(100,(X478*0.35)+(W478/45*100*0.20)+((5-O478)/4*100*0.15)+((5-P478)/4*100*0.10)+((6-Y478)/5*100*0.10)+((100-Z478)*0.10))),1)</x:f>
        <x:v>56.6</x:v>
      </x:c>
      <x:c r="AP478" s="37" t="str">
        <x:f>IF(AO478&gt;=70,"High",IF(AO478&gt;=40,"Moderate","Low"))</x:f>
        <x:v>Moderate</x:v>
      </x:c>
      <x:c r="AQ478" s="37" t="n">
        <x:f>ROUND(MAX(0,MIN(100,(O478/4*100*0.25)+(P478/4*100*0.20)+(Q478/4*100*0.15)+(Y478/5*100*0.20)+(100-AO478)*0.20)),1)</x:f>
        <x:v>65.7</x:v>
      </x:c>
      <x:c r="AR478" s="37" t="n">
        <x:f>ROUND((AI478*0.20+AJ478*0.15+AN478*0.18+AG478*0.12+Z478*0.15+AQ478*0.20),1)</x:f>
        <x:v>82</x:v>
      </x:c>
      <x:c r="AS478" s="39" t="n">
        <x:f>ROUND((AC478*AF478*120)+(AH478*350)+(MAX(0,AI478-75)*220)+(MAX(0,AQ478-60)*100),0)</x:f>
        <x:v>67152</x:v>
      </x:c>
    </x:row>
    <x:row r="479">
      <x:c r="A479" s="35" t="n">
        <x:v>478</x:v>
      </x:c>
      <x:c r="B479" s="35" t="n">
        <x:v>40</x:v>
      </x:c>
      <x:c r="C479" s="35" t="str">
        <x:v>Male</x:v>
      </x:c>
      <x:c r="D479" s="35" t="str">
        <x:v>Sales</x:v>
      </x:c>
      <x:c r="E479" s="35" t="str">
        <x:v>Sales Representative</x:v>
      </x:c>
      <x:c r="F479" s="35" t="str">
        <x:v>Marketing</x:v>
      </x:c>
      <x:c r="G479" s="35" t="str">
        <x:v>Married</x:v>
      </x:c>
      <x:c r="H479" s="35" t="n">
        <x:v>3</x:v>
      </x:c>
      <x:c r="I479" s="36" t="n">
        <x:v>15360</x:v>
      </x:c>
      <x:c r="J479" s="35" t="n">
        <x:v>11</x:v>
      </x:c>
      <x:c r="K479" s="35" t="n">
        <x:v>4</x:v>
      </x:c>
      <x:c r="L479" s="35" t="n">
        <x:v>3</x:v>
      </x:c>
      <x:c r="M479" s="35" t="n">
        <x:v>15</x:v>
      </x:c>
      <x:c r="N479" s="35" t="str">
        <x:v>No</x:v>
      </x:c>
      <x:c r="O479" s="35" t="n">
        <x:v>2</x:v>
      </x:c>
      <x:c r="P479" s="35" t="n">
        <x:v>4</x:v>
      </x:c>
      <x:c r="Q479" s="35" t="n">
        <x:v>3</x:v>
      </x:c>
      <x:c r="R479" s="35" t="n">
        <x:v>4</x:v>
      </x:c>
      <x:c r="S479" s="35" t="n">
        <x:v>3</x:v>
      </x:c>
      <x:c r="T479" s="35" t="n">
        <x:v>3</x:v>
      </x:c>
      <x:c r="U479" s="35" t="n">
        <x:v>2</x:v>
      </x:c>
      <x:c r="V479" s="35" t="n">
        <x:v>8</x:v>
      </x:c>
      <x:c r="W479" s="35" t="n">
        <x:v>0</x:v>
      </x:c>
      <x:c r="X479" s="35" t="n">
        <x:v>77</x:v>
      </x:c>
      <x:c r="Y479" s="35" t="n">
        <x:v>4</x:v>
      </x:c>
      <x:c r="Z479" s="35" t="n">
        <x:v>100</x:v>
      </x:c>
      <x:c r="AA479" s="35" t="n">
        <x:v>3</x:v>
      </x:c>
      <x:c r="AB479" s="35" t="n">
        <x:v>3</x:v>
      </x:c>
      <x:c r="AC479" s="35" t="n">
        <x:v>3</x:v>
      </x:c>
      <x:c r="AD479" s="35" t="n">
        <x:v>59</x:v>
      </x:c>
      <x:c r="AE479" s="35" t="n">
        <x:v>71</x:v>
      </x:c>
      <x:c r="AF479" s="35" t="n">
        <x:v>79</x:v>
      </x:c>
      <x:c r="AG479" s="35" t="n">
        <x:v>100</x:v>
      </x:c>
      <x:c r="AH479" s="35" t="n">
        <x:v>7</x:v>
      </x:c>
      <x:c r="AI479" s="37" t="n">
        <x:v>91.6</x:v>
      </x:c>
      <x:c r="AJ479" s="37" t="n">
        <x:v>89.7</x:v>
      </x:c>
      <x:c r="AK479" s="35" t="str">
        <x:v>No</x:v>
      </x:c>
      <x:c r="AL479" s="38" t="n">
        <x:f>IF(AA479=0,0,AB479/AA479)</x:f>
        <x:v>1</x:v>
      </x:c>
      <x:c r="AM479" s="38" t="n">
        <x:f>IF(AB479=0,0,AC479/AB479)</x:f>
        <x:v>1</x:v>
      </x:c>
      <x:c r="AN479" s="37" t="n">
        <x:f>ROUND((AD479*0.20+AE479*0.20+AF479*0.25+AG479*0.15+MIN(100,AC479*12)*0.20),1)</x:f>
        <x:v>68</x:v>
      </x:c>
      <x:c r="AO479" s="37" t="n">
        <x:f>ROUND(MAX(0,MIN(100,(X479*0.35)+(W479/45*100*0.20)+((5-O479)/4*100*0.15)+((5-P479)/4*100*0.10)+((6-Y479)/5*100*0.10)+((100-Z479)*0.10))),1)</x:f>
        <x:v>44.7</x:v>
      </x:c>
      <x:c r="AP479" s="37" t="str">
        <x:f>IF(AO479&gt;=70,"High",IF(AO479&gt;=40,"Moderate","Low"))</x:f>
        <x:v>Moderate</x:v>
      </x:c>
      <x:c r="AQ479" s="37" t="n">
        <x:f>ROUND(MAX(0,MIN(100,(O479/4*100*0.25)+(P479/4*100*0.20)+(Q479/4*100*0.15)+(Y479/5*100*0.20)+(100-AO479)*0.20)),1)</x:f>
        <x:v>70.8</x:v>
      </x:c>
      <x:c r="AR479" s="37" t="n">
        <x:f>ROUND((AI479*0.20+AJ479*0.15+AN479*0.18+AG479*0.12+Z479*0.15+AQ479*0.20),1)</x:f>
        <x:v>85.2</x:v>
      </x:c>
      <x:c r="AS479" s="39" t="n">
        <x:f>ROUND((AC479*AF479*120)+(AH479*350)+(MAX(0,AI479-75)*220)+(MAX(0,AQ479-60)*100),0)</x:f>
        <x:v>35622</x:v>
      </x:c>
    </x:row>
    <x:row r="480">
      <x:c r="A480" s="35" t="n">
        <x:v>479</x:v>
      </x:c>
      <x:c r="B480" s="35" t="n">
        <x:v>30</x:v>
      </x:c>
      <x:c r="C480" s="35" t="str">
        <x:v>Female</x:v>
      </x:c>
      <x:c r="D480" s="35" t="str">
        <x:v>Human Resources</x:v>
      </x:c>
      <x:c r="E480" s="35" t="str">
        <x:v>HR Specialist</x:v>
      </x:c>
      <x:c r="F480" s="35" t="str">
        <x:v>Computer Science</x:v>
      </x:c>
      <x:c r="G480" s="35" t="str">
        <x:v>Single</x:v>
      </x:c>
      <x:c r="H480" s="35" t="n">
        <x:v>1</x:v>
      </x:c>
      <x:c r="I480" s="36" t="n">
        <x:v>5970</x:v>
      </x:c>
      <x:c r="J480" s="35" t="n">
        <x:v>7</x:v>
      </x:c>
      <x:c r="K480" s="35" t="n">
        <x:v>4</x:v>
      </x:c>
      <x:c r="L480" s="35" t="n">
        <x:v>1</x:v>
      </x:c>
      <x:c r="M480" s="35" t="n">
        <x:v>8</x:v>
      </x:c>
      <x:c r="N480" s="35" t="str">
        <x:v>No</x:v>
      </x:c>
      <x:c r="O480" s="35" t="n">
        <x:v>2</x:v>
      </x:c>
      <x:c r="P480" s="35" t="n">
        <x:v>2</x:v>
      </x:c>
      <x:c r="Q480" s="35" t="n">
        <x:v>4</x:v>
      </x:c>
      <x:c r="R480" s="35" t="n">
        <x:v>3</x:v>
      </x:c>
      <x:c r="S480" s="35" t="n">
        <x:v>3</x:v>
      </x:c>
      <x:c r="T480" s="35" t="n">
        <x:v>3</x:v>
      </x:c>
      <x:c r="U480" s="35" t="n">
        <x:v>0</x:v>
      </x:c>
      <x:c r="V480" s="35" t="n">
        <x:v>7</x:v>
      </x:c>
      <x:c r="W480" s="35" t="n">
        <x:v>8</x:v>
      </x:c>
      <x:c r="X480" s="35" t="n">
        <x:v>68</x:v>
      </x:c>
      <x:c r="Y480" s="35" t="n">
        <x:v>4</x:v>
      </x:c>
      <x:c r="Z480" s="35" t="n">
        <x:v>97</x:v>
      </x:c>
      <x:c r="AA480" s="35" t="n">
        <x:v>6</x:v>
      </x:c>
      <x:c r="AB480" s="35" t="n">
        <x:v>5</x:v>
      </x:c>
      <x:c r="AC480" s="35" t="n">
        <x:v>3</x:v>
      </x:c>
      <x:c r="AD480" s="35" t="n">
        <x:v>69</x:v>
      </x:c>
      <x:c r="AE480" s="35" t="n">
        <x:v>67</x:v>
      </x:c>
      <x:c r="AF480" s="35" t="n">
        <x:v>94</x:v>
      </x:c>
      <x:c r="AG480" s="35" t="n">
        <x:v>89</x:v>
      </x:c>
      <x:c r="AH480" s="35" t="n">
        <x:v>1</x:v>
      </x:c>
      <x:c r="AI480" s="37" t="n">
        <x:v>92.6</x:v>
      </x:c>
      <x:c r="AJ480" s="37" t="n">
        <x:v>93.6</x:v>
      </x:c>
      <x:c r="AK480" s="35" t="str">
        <x:v>No</x:v>
      </x:c>
      <x:c r="AL480" s="38" t="n">
        <x:f>IF(AA480=0,0,AB480/AA480)</x:f>
        <x:v>0.8333333333333334</x:v>
      </x:c>
      <x:c r="AM480" s="38" t="n">
        <x:f>IF(AB480=0,0,AC480/AB480)</x:f>
        <x:v>0.6</x:v>
      </x:c>
      <x:c r="AN480" s="37" t="n">
        <x:f>ROUND((AD480*0.20+AE480*0.20+AF480*0.25+AG480*0.15+MIN(100,AC480*12)*0.20),1)</x:f>
        <x:v>71.3</x:v>
      </x:c>
      <x:c r="AO480" s="37" t="n">
        <x:f>ROUND(MAX(0,MIN(100,(X480*0.35)+(W480/45*100*0.20)+((5-O480)/4*100*0.15)+((5-P480)/4*100*0.10)+((6-Y480)/5*100*0.10)+((100-Z480)*0.10))),1)</x:f>
        <x:v>50.4</x:v>
      </x:c>
      <x:c r="AP480" s="37" t="str">
        <x:f>IF(AO480&gt;=70,"High",IF(AO480&gt;=40,"Moderate","Low"))</x:f>
        <x:v>Moderate</x:v>
      </x:c>
      <x:c r="AQ480" s="37" t="n">
        <x:f>ROUND(MAX(0,MIN(100,(O480/4*100*0.25)+(P480/4*100*0.20)+(Q480/4*100*0.15)+(Y480/5*100*0.20)+(100-AO480)*0.20)),1)</x:f>
        <x:v>63.4</x:v>
      </x:c>
      <x:c r="AR480" s="37" t="n">
        <x:f>ROUND((AI480*0.20+AJ480*0.15+AN480*0.18+AG480*0.12+Z480*0.15+AQ480*0.20),1)</x:f>
        <x:v>83.3</x:v>
      </x:c>
      <x:c r="AS480" s="39" t="n">
        <x:f>ROUND((AC480*AF480*120)+(AH480*350)+(MAX(0,AI480-75)*220)+(MAX(0,AQ480-60)*100),0)</x:f>
        <x:v>38402</x:v>
      </x:c>
    </x:row>
    <x:row r="481">
      <x:c r="A481" s="35" t="n">
        <x:v>480</x:v>
      </x:c>
      <x:c r="B481" s="35" t="n">
        <x:v>39</x:v>
      </x:c>
      <x:c r="C481" s="35" t="str">
        <x:v>Female</x:v>
      </x:c>
      <x:c r="D481" s="35" t="str">
        <x:v>Sales</x:v>
      </x:c>
      <x:c r="E481" s="35" t="str">
        <x:v>Account Manager</x:v>
      </x:c>
      <x:c r="F481" s="35" t="str">
        <x:v>Life Sciences</x:v>
      </x:c>
      <x:c r="G481" s="35" t="str">
        <x:v>Single</x:v>
      </x:c>
      <x:c r="H481" s="35" t="n">
        <x:v>2</x:v>
      </x:c>
      <x:c r="I481" s="36" t="n">
        <x:v>9870</x:v>
      </x:c>
      <x:c r="J481" s="35" t="n">
        <x:v>16</x:v>
      </x:c>
      <x:c r="K481" s="35" t="n">
        <x:v>11</x:v>
      </x:c>
      <x:c r="L481" s="35" t="n">
        <x:v>7</x:v>
      </x:c>
      <x:c r="M481" s="35" t="n">
        <x:v>3</x:v>
      </x:c>
      <x:c r="N481" s="35" t="str">
        <x:v>No</x:v>
      </x:c>
      <x:c r="O481" s="35" t="n">
        <x:v>3</x:v>
      </x:c>
      <x:c r="P481" s="35" t="n">
        <x:v>4</x:v>
      </x:c>
      <x:c r="Q481" s="35" t="n">
        <x:v>4</x:v>
      </x:c>
      <x:c r="R481" s="35" t="n">
        <x:v>2</x:v>
      </x:c>
      <x:c r="S481" s="35" t="n">
        <x:v>3</x:v>
      </x:c>
      <x:c r="T481" s="35" t="n">
        <x:v>3</x:v>
      </x:c>
      <x:c r="U481" s="35" t="n">
        <x:v>3</x:v>
      </x:c>
      <x:c r="V481" s="35" t="n">
        <x:v>9</x:v>
      </x:c>
      <x:c r="W481" s="35" t="n">
        <x:v>0</x:v>
      </x:c>
      <x:c r="X481" s="35" t="n">
        <x:v>70</x:v>
      </x:c>
      <x:c r="Y481" s="35" t="n">
        <x:v>4</x:v>
      </x:c>
      <x:c r="Z481" s="35" t="n">
        <x:v>94</x:v>
      </x:c>
      <x:c r="AA481" s="35" t="n">
        <x:v>5</x:v>
      </x:c>
      <x:c r="AB481" s="35" t="n">
        <x:v>3</x:v>
      </x:c>
      <x:c r="AC481" s="35" t="n">
        <x:v>2</x:v>
      </x:c>
      <x:c r="AD481" s="35" t="n">
        <x:v>73</x:v>
      </x:c>
      <x:c r="AE481" s="35" t="n">
        <x:v>68</x:v>
      </x:c>
      <x:c r="AF481" s="35" t="n">
        <x:v>45</x:v>
      </x:c>
      <x:c r="AG481" s="35" t="n">
        <x:v>70</x:v>
      </x:c>
      <x:c r="AH481" s="35" t="n">
        <x:v>1</x:v>
      </x:c>
      <x:c r="AI481" s="37" t="n">
        <x:v>89.2</x:v>
      </x:c>
      <x:c r="AJ481" s="37" t="n">
        <x:v>94.2</x:v>
      </x:c>
      <x:c r="AK481" s="35" t="str">
        <x:v>No</x:v>
      </x:c>
      <x:c r="AL481" s="38" t="n">
        <x:f>IF(AA481=0,0,AB481/AA481)</x:f>
        <x:v>0.6</x:v>
      </x:c>
      <x:c r="AM481" s="38" t="n">
        <x:f>IF(AB481=0,0,AC481/AB481)</x:f>
        <x:v>0.6666666666666666</x:v>
      </x:c>
      <x:c r="AN481" s="37" t="n">
        <x:f>ROUND((AD481*0.20+AE481*0.20+AF481*0.25+AG481*0.15+MIN(100,AC481*12)*0.20),1)</x:f>
        <x:v>54.8</x:v>
      </x:c>
      <x:c r="AO481" s="37" t="n">
        <x:f>ROUND(MAX(0,MIN(100,(X481*0.35)+(W481/45*100*0.20)+((5-O481)/4*100*0.15)+((5-P481)/4*100*0.10)+((6-Y481)/5*100*0.10)+((100-Z481)*0.10))),1)</x:f>
        <x:v>39.1</x:v>
      </x:c>
      <x:c r="AP481" s="37" t="str">
        <x:f>IF(AO481&gt;=70,"High",IF(AO481&gt;=40,"Moderate","Low"))</x:f>
        <x:v>Low</x:v>
      </x:c>
      <x:c r="AQ481" s="37" t="n">
        <x:f>ROUND(MAX(0,MIN(100,(O481/4*100*0.25)+(P481/4*100*0.20)+(Q481/4*100*0.15)+(Y481/5*100*0.20)+(100-AO481)*0.20)),1)</x:f>
        <x:v>81.9</x:v>
      </x:c>
      <x:c r="AR481" s="37" t="n">
        <x:f>ROUND((AI481*0.20+AJ481*0.15+AN481*0.18+AG481*0.12+Z481*0.15+AQ481*0.20),1)</x:f>
        <x:v>80.7</x:v>
      </x:c>
      <x:c r="AS481" s="39" t="n">
        <x:f>ROUND((AC481*AF481*120)+(AH481*350)+(MAX(0,AI481-75)*220)+(MAX(0,AQ481-60)*100),0)</x:f>
        <x:v>16464</x:v>
      </x:c>
    </x:row>
    <x:row r="482">
      <x:c r="A482" s="35" t="n">
        <x:v>481</x:v>
      </x:c>
      <x:c r="B482" s="35" t="n">
        <x:v>28</x:v>
      </x:c>
      <x:c r="C482" s="35" t="str">
        <x:v>Male</x:v>
      </x:c>
      <x:c r="D482" s="35" t="str">
        <x:v>Information Technology</x:v>
      </x:c>
      <x:c r="E482" s="35" t="str">
        <x:v>IT Support</x:v>
      </x:c>
      <x:c r="F482" s="35" t="str">
        <x:v>Business</x:v>
      </x:c>
      <x:c r="G482" s="35" t="str">
        <x:v>Married</x:v>
      </x:c>
      <x:c r="H482" s="35" t="n">
        <x:v>1</x:v>
      </x:c>
      <x:c r="I482" s="36" t="n">
        <x:v>4170</x:v>
      </x:c>
      <x:c r="J482" s="35" t="n">
        <x:v>6</x:v>
      </x:c>
      <x:c r="K482" s="35" t="n">
        <x:v>3</x:v>
      </x:c>
      <x:c r="L482" s="35" t="n">
        <x:v>2</x:v>
      </x:c>
      <x:c r="M482" s="35" t="n">
        <x:v>17</x:v>
      </x:c>
      <x:c r="N482" s="35" t="str">
        <x:v>Yes</x:v>
      </x:c>
      <x:c r="O482" s="35" t="n">
        <x:v>2</x:v>
      </x:c>
      <x:c r="P482" s="35" t="n">
        <x:v>3</x:v>
      </x:c>
      <x:c r="Q482" s="35" t="n">
        <x:v>2</x:v>
      </x:c>
      <x:c r="R482" s="35" t="n">
        <x:v>3</x:v>
      </x:c>
      <x:c r="S482" s="35" t="n">
        <x:v>3</x:v>
      </x:c>
      <x:c r="T482" s="35" t="n">
        <x:v>4</x:v>
      </x:c>
      <x:c r="U482" s="35" t="n">
        <x:v>0</x:v>
      </x:c>
      <x:c r="V482" s="35" t="n">
        <x:v>4</x:v>
      </x:c>
      <x:c r="W482" s="35" t="n">
        <x:v>22</x:v>
      </x:c>
      <x:c r="X482" s="35" t="n">
        <x:v>85</x:v>
      </x:c>
      <x:c r="Y482" s="35" t="n">
        <x:v>4</x:v>
      </x:c>
      <x:c r="Z482" s="35" t="n">
        <x:v>97</x:v>
      </x:c>
      <x:c r="AA482" s="35" t="n">
        <x:v>4</x:v>
      </x:c>
      <x:c r="AB482" s="35" t="n">
        <x:v>4</x:v>
      </x:c>
      <x:c r="AC482" s="35" t="n">
        <x:v>3</x:v>
      </x:c>
      <x:c r="AD482" s="35" t="n">
        <x:v>80</x:v>
      </x:c>
      <x:c r="AE482" s="35" t="n">
        <x:v>96</x:v>
      </x:c>
      <x:c r="AF482" s="35" t="n">
        <x:v>78</x:v>
      </x:c>
      <x:c r="AG482" s="35" t="n">
        <x:v>97</x:v>
      </x:c>
      <x:c r="AH482" s="35" t="n">
        <x:v>6</x:v>
      </x:c>
      <x:c r="AI482" s="37" t="n">
        <x:v>100</x:v>
      </x:c>
      <x:c r="AJ482" s="37" t="n">
        <x:v>96.3</x:v>
      </x:c>
      <x:c r="AK482" s="35" t="str">
        <x:v>No</x:v>
      </x:c>
      <x:c r="AL482" s="38" t="n">
        <x:f>IF(AA482=0,0,AB482/AA482)</x:f>
        <x:v>1</x:v>
      </x:c>
      <x:c r="AM482" s="38" t="n">
        <x:f>IF(AB482=0,0,AC482/AB482)</x:f>
        <x:v>0.75</x:v>
      </x:c>
      <x:c r="AN482" s="37" t="n">
        <x:f>ROUND((AD482*0.20+AE482*0.20+AF482*0.25+AG482*0.15+MIN(100,AC482*12)*0.20),1)</x:f>
        <x:v>76.5</x:v>
      </x:c>
      <x:c r="AO482" s="37" t="n">
        <x:f>ROUND(MAX(0,MIN(100,(X482*0.35)+(W482/45*100*0.20)+((5-O482)/4*100*0.15)+((5-P482)/4*100*0.10)+((6-Y482)/5*100*0.10)+((100-Z482)*0.10))),1)</x:f>
        <x:v>60.1</x:v>
      </x:c>
      <x:c r="AP482" s="37" t="str">
        <x:f>IF(AO482&gt;=70,"High",IF(AO482&gt;=40,"Moderate","Low"))</x:f>
        <x:v>Moderate</x:v>
      </x:c>
      <x:c r="AQ482" s="37" t="n">
        <x:f>ROUND(MAX(0,MIN(100,(O482/4*100*0.25)+(P482/4*100*0.20)+(Q482/4*100*0.15)+(Y482/5*100*0.20)+(100-AO482)*0.20)),1)</x:f>
        <x:v>59</x:v>
      </x:c>
      <x:c r="AR482" s="37" t="n">
        <x:f>ROUND((AI482*0.20+AJ482*0.15+AN482*0.18+AG482*0.12+Z482*0.15+AQ482*0.20),1)</x:f>
        <x:v>86.2</x:v>
      </x:c>
      <x:c r="AS482" s="39" t="n">
        <x:f>ROUND((AC482*AF482*120)+(AH482*350)+(MAX(0,AI482-75)*220)+(MAX(0,AQ482-60)*100),0)</x:f>
        <x:v>35680</x:v>
      </x:c>
    </x:row>
    <x:row r="483">
      <x:c r="A483" s="35" t="n">
        <x:v>482</x:v>
      </x:c>
      <x:c r="B483" s="35" t="n">
        <x:v>26</x:v>
      </x:c>
      <x:c r="C483" s="35" t="str">
        <x:v>Female</x:v>
      </x:c>
      <x:c r="D483" s="35" t="str">
        <x:v>Information Technology</x:v>
      </x:c>
      <x:c r="E483" s="35" t="str">
        <x:v>Systems Analyst</x:v>
      </x:c>
      <x:c r="F483" s="35" t="str">
        <x:v>Human Resources</x:v>
      </x:c>
      <x:c r="G483" s="35" t="str">
        <x:v>Single</x:v>
      </x:c>
      <x:c r="H483" s="35" t="n">
        <x:v>1</x:v>
      </x:c>
      <x:c r="I483" s="36" t="n">
        <x:v>5600</x:v>
      </x:c>
      <x:c r="J483" s="35" t="n">
        <x:v>2</x:v>
      </x:c>
      <x:c r="K483" s="35" t="n">
        <x:v>1</x:v>
      </x:c>
      <x:c r="L483" s="35" t="n">
        <x:v>1</x:v>
      </x:c>
      <x:c r="M483" s="35" t="n">
        <x:v>13</x:v>
      </x:c>
      <x:c r="N483" s="35" t="str">
        <x:v>Yes</x:v>
      </x:c>
      <x:c r="O483" s="35" t="n">
        <x:v>3</x:v>
      </x:c>
      <x:c r="P483" s="35" t="n">
        <x:v>2</x:v>
      </x:c>
      <x:c r="Q483" s="35" t="n">
        <x:v>3</x:v>
      </x:c>
      <x:c r="R483" s="35" t="n">
        <x:v>2</x:v>
      </x:c>
      <x:c r="S483" s="35" t="n">
        <x:v>3</x:v>
      </x:c>
      <x:c r="T483" s="35" t="n">
        <x:v>4</x:v>
      </x:c>
      <x:c r="U483" s="35" t="n">
        <x:v>0</x:v>
      </x:c>
      <x:c r="V483" s="35" t="n">
        <x:v>8</x:v>
      </x:c>
      <x:c r="W483" s="35" t="n">
        <x:v>27</x:v>
      </x:c>
      <x:c r="X483" s="35" t="n">
        <x:v>69</x:v>
      </x:c>
      <x:c r="Y483" s="35" t="n">
        <x:v>4</x:v>
      </x:c>
      <x:c r="Z483" s="35" t="n">
        <x:v>88</x:v>
      </x:c>
      <x:c r="AA483" s="35" t="n">
        <x:v>4</x:v>
      </x:c>
      <x:c r="AB483" s="35" t="n">
        <x:v>2</x:v>
      </x:c>
      <x:c r="AC483" s="35" t="n">
        <x:v>2</x:v>
      </x:c>
      <x:c r="AD483" s="35" t="n">
        <x:v>76</x:v>
      </x:c>
      <x:c r="AE483" s="35" t="n">
        <x:v>72</x:v>
      </x:c>
      <x:c r="AF483" s="35" t="n">
        <x:v>59</x:v>
      </x:c>
      <x:c r="AG483" s="35" t="n">
        <x:v>73</x:v>
      </x:c>
      <x:c r="AH483" s="35" t="n">
        <x:v>1</x:v>
      </x:c>
      <x:c r="AI483" s="37" t="n">
        <x:v>100</x:v>
      </x:c>
      <x:c r="AJ483" s="37" t="n">
        <x:v>100</x:v>
      </x:c>
      <x:c r="AK483" s="35" t="str">
        <x:v>No</x:v>
      </x:c>
      <x:c r="AL483" s="38" t="n">
        <x:f>IF(AA483=0,0,AB483/AA483)</x:f>
        <x:v>0.5</x:v>
      </x:c>
      <x:c r="AM483" s="38" t="n">
        <x:f>IF(AB483=0,0,AC483/AB483)</x:f>
        <x:v>1</x:v>
      </x:c>
      <x:c r="AN483" s="37" t="n">
        <x:f>ROUND((AD483*0.20+AE483*0.20+AF483*0.25+AG483*0.15+MIN(100,AC483*12)*0.20),1)</x:f>
        <x:v>60.1</x:v>
      </x:c>
      <x:c r="AO483" s="37" t="n">
        <x:f>ROUND(MAX(0,MIN(100,(X483*0.35)+(W483/45*100*0.20)+((5-O483)/4*100*0.15)+((5-P483)/4*100*0.10)+((6-Y483)/5*100*0.10)+((100-Z483)*0.10))),1)</x:f>
        <x:v>56.4</x:v>
      </x:c>
      <x:c r="AP483" s="37" t="str">
        <x:f>IF(AO483&gt;=70,"High",IF(AO483&gt;=40,"Moderate","Low"))</x:f>
        <x:v>Moderate</x:v>
      </x:c>
      <x:c r="AQ483" s="37" t="n">
        <x:f>ROUND(MAX(0,MIN(100,(O483/4*100*0.25)+(P483/4*100*0.20)+(Q483/4*100*0.15)+(Y483/5*100*0.20)+(100-AO483)*0.20)),1)</x:f>
        <x:v>64.7</x:v>
      </x:c>
      <x:c r="AR483" s="37" t="n">
        <x:f>ROUND((AI483*0.20+AJ483*0.15+AN483*0.18+AG483*0.12+Z483*0.15+AQ483*0.20),1)</x:f>
        <x:v>80.7</x:v>
      </x:c>
      <x:c r="AS483" s="39" t="n">
        <x:f>ROUND((AC483*AF483*120)+(AH483*350)+(MAX(0,AI483-75)*220)+(MAX(0,AQ483-60)*100),0)</x:f>
        <x:v>20480</x:v>
      </x:c>
    </x:row>
    <x:row r="484">
      <x:c r="A484" s="35" t="n">
        <x:v>483</x:v>
      </x:c>
      <x:c r="B484" s="35" t="n">
        <x:v>33</x:v>
      </x:c>
      <x:c r="C484" s="35" t="str">
        <x:v>Female</x:v>
      </x:c>
      <x:c r="D484" s="35" t="str">
        <x:v>Research &amp; Development</x:v>
      </x:c>
      <x:c r="E484" s="35" t="str">
        <x:v>Laboratory Technician</x:v>
      </x:c>
      <x:c r="F484" s="35" t="str">
        <x:v>Computer Science</x:v>
      </x:c>
      <x:c r="G484" s="35" t="str">
        <x:v>Single</x:v>
      </x:c>
      <x:c r="H484" s="35" t="n">
        <x:v>2</x:v>
      </x:c>
      <x:c r="I484" s="36" t="n">
        <x:v>8330</x:v>
      </x:c>
      <x:c r="J484" s="35" t="n">
        <x:v>6</x:v>
      </x:c>
      <x:c r="K484" s="35" t="n">
        <x:v>4</x:v>
      </x:c>
      <x:c r="L484" s="35" t="n">
        <x:v>2</x:v>
      </x:c>
      <x:c r="M484" s="35" t="n">
        <x:v>9</x:v>
      </x:c>
      <x:c r="N484" s="35" t="str">
        <x:v>No</x:v>
      </x:c>
      <x:c r="O484" s="35" t="n">
        <x:v>3</x:v>
      </x:c>
      <x:c r="P484" s="35" t="n">
        <x:v>2</x:v>
      </x:c>
      <x:c r="Q484" s="35" t="n">
        <x:v>3</x:v>
      </x:c>
      <x:c r="R484" s="35" t="n">
        <x:v>2</x:v>
      </x:c>
      <x:c r="S484" s="35" t="n">
        <x:v>3</x:v>
      </x:c>
      <x:c r="T484" s="35" t="n">
        <x:v>0</x:v>
      </x:c>
      <x:c r="U484" s="35" t="n">
        <x:v>2</x:v>
      </x:c>
      <x:c r="V484" s="35" t="n">
        <x:v>3</x:v>
      </x:c>
      <x:c r="W484" s="35" t="n">
        <x:v>0</x:v>
      </x:c>
      <x:c r="X484" s="35" t="n">
        <x:v>51</x:v>
      </x:c>
      <x:c r="Y484" s="35" t="n">
        <x:v>5</x:v>
      </x:c>
      <x:c r="Z484" s="35" t="n">
        <x:v>92</x:v>
      </x:c>
      <x:c r="AA484" s="35" t="n">
        <x:v>4</x:v>
      </x:c>
      <x:c r="AB484" s="35" t="n">
        <x:v>3</x:v>
      </x:c>
      <x:c r="AC484" s="35" t="n">
        <x:v>2</x:v>
      </x:c>
      <x:c r="AD484" s="35" t="n">
        <x:v>76</x:v>
      </x:c>
      <x:c r="AE484" s="35" t="n">
        <x:v>82</x:v>
      </x:c>
      <x:c r="AF484" s="35" t="n">
        <x:v>64</x:v>
      </x:c>
      <x:c r="AG484" s="35" t="n">
        <x:v>95</x:v>
      </x:c>
      <x:c r="AH484" s="35" t="n">
        <x:v>6</x:v>
      </x:c>
      <x:c r="AI484" s="37" t="n">
        <x:v>100</x:v>
      </x:c>
      <x:c r="AJ484" s="37" t="n">
        <x:v>89.5</x:v>
      </x:c>
      <x:c r="AK484" s="35" t="str">
        <x:v>No</x:v>
      </x:c>
      <x:c r="AL484" s="38" t="n">
        <x:f>IF(AA484=0,0,AB484/AA484)</x:f>
        <x:v>0.75</x:v>
      </x:c>
      <x:c r="AM484" s="38" t="n">
        <x:f>IF(AB484=0,0,AC484/AB484)</x:f>
        <x:v>0.6666666666666666</x:v>
      </x:c>
      <x:c r="AN484" s="37" t="n">
        <x:f>ROUND((AD484*0.20+AE484*0.20+AF484*0.25+AG484*0.15+MIN(100,AC484*12)*0.20),1)</x:f>
        <x:v>66.7</x:v>
      </x:c>
      <x:c r="AO484" s="37" t="n">
        <x:f>ROUND(MAX(0,MIN(100,(X484*0.35)+(W484/45*100*0.20)+((5-O484)/4*100*0.15)+((5-P484)/4*100*0.10)+((6-Y484)/5*100*0.10)+((100-Z484)*0.10))),1)</x:f>
        <x:v>35.6</x:v>
      </x:c>
      <x:c r="AP484" s="37" t="str">
        <x:f>IF(AO484&gt;=70,"High",IF(AO484&gt;=40,"Moderate","Low"))</x:f>
        <x:v>Low</x:v>
      </x:c>
      <x:c r="AQ484" s="37" t="n">
        <x:f>ROUND(MAX(0,MIN(100,(O484/4*100*0.25)+(P484/4*100*0.20)+(Q484/4*100*0.15)+(Y484/5*100*0.20)+(100-AO484)*0.20)),1)</x:f>
        <x:v>72.9</x:v>
      </x:c>
      <x:c r="AR484" s="37" t="n">
        <x:f>ROUND((AI484*0.20+AJ484*0.15+AN484*0.18+AG484*0.12+Z484*0.15+AQ484*0.20),1)</x:f>
        <x:v>85.2</x:v>
      </x:c>
      <x:c r="AS484" s="39" t="n">
        <x:f>ROUND((AC484*AF484*120)+(AH484*350)+(MAX(0,AI484-75)*220)+(MAX(0,AQ484-60)*100),0)</x:f>
        <x:v>24250</x:v>
      </x:c>
    </x:row>
    <x:row r="485">
      <x:c r="A485" s="35" t="n">
        <x:v>484</x:v>
      </x:c>
      <x:c r="B485" s="35" t="n">
        <x:v>48</x:v>
      </x:c>
      <x:c r="C485" s="35" t="str">
        <x:v>Female</x:v>
      </x:c>
      <x:c r="D485" s="35" t="str">
        <x:v>Sales</x:v>
      </x:c>
      <x:c r="E485" s="35" t="str">
        <x:v>Sales Representative</x:v>
      </x:c>
      <x:c r="F485" s="35" t="str">
        <x:v>Human Resources</x:v>
      </x:c>
      <x:c r="G485" s="35" t="str">
        <x:v>Married</x:v>
      </x:c>
      <x:c r="H485" s="35" t="n">
        <x:v>4</x:v>
      </x:c>
      <x:c r="I485" s="36" t="n">
        <x:v>23690</x:v>
      </x:c>
      <x:c r="J485" s="35" t="n">
        <x:v>17</x:v>
      </x:c>
      <x:c r="K485" s="35" t="n">
        <x:v>14</x:v>
      </x:c>
      <x:c r="L485" s="35" t="n">
        <x:v>8</x:v>
      </x:c>
      <x:c r="M485" s="35" t="n">
        <x:v>16</x:v>
      </x:c>
      <x:c r="N485" s="35" t="str">
        <x:v>No</x:v>
      </x:c>
      <x:c r="O485" s="35" t="n">
        <x:v>3</x:v>
      </x:c>
      <x:c r="P485" s="35" t="n">
        <x:v>3</x:v>
      </x:c>
      <x:c r="Q485" s="35" t="n">
        <x:v>4</x:v>
      </x:c>
      <x:c r="R485" s="35" t="n">
        <x:v>2</x:v>
      </x:c>
      <x:c r="S485" s="35" t="n">
        <x:v>3</x:v>
      </x:c>
      <x:c r="T485" s="35" t="n">
        <x:v>2</x:v>
      </x:c>
      <x:c r="U485" s="35" t="n">
        <x:v>2</x:v>
      </x:c>
      <x:c r="V485" s="35" t="n">
        <x:v>7</x:v>
      </x:c>
      <x:c r="W485" s="35" t="n">
        <x:v>19</x:v>
      </x:c>
      <x:c r="X485" s="35" t="n">
        <x:v>58</x:v>
      </x:c>
      <x:c r="Y485" s="35" t="n">
        <x:v>5</x:v>
      </x:c>
      <x:c r="Z485" s="35" t="n">
        <x:v>97</x:v>
      </x:c>
      <x:c r="AA485" s="35" t="n">
        <x:v>7</x:v>
      </x:c>
      <x:c r="AB485" s="35" t="n">
        <x:v>6</x:v>
      </x:c>
      <x:c r="AC485" s="35" t="n">
        <x:v>4</x:v>
      </x:c>
      <x:c r="AD485" s="35" t="n">
        <x:v>85</x:v>
      </x:c>
      <x:c r="AE485" s="35" t="n">
        <x:v>75</x:v>
      </x:c>
      <x:c r="AF485" s="35" t="n">
        <x:v>86</x:v>
      </x:c>
      <x:c r="AG485" s="35" t="n">
        <x:v>88</x:v>
      </x:c>
      <x:c r="AH485" s="35" t="n">
        <x:v>5</x:v>
      </x:c>
      <x:c r="AI485" s="37" t="n">
        <x:v>89.4</x:v>
      </x:c>
      <x:c r="AJ485" s="37" t="n">
        <x:v>92.3</x:v>
      </x:c>
      <x:c r="AK485" s="35" t="str">
        <x:v>No</x:v>
      </x:c>
      <x:c r="AL485" s="38" t="n">
        <x:f>IF(AA485=0,0,AB485/AA485)</x:f>
        <x:v>0.8571428571428571</x:v>
      </x:c>
      <x:c r="AM485" s="38" t="n">
        <x:f>IF(AB485=0,0,AC485/AB485)</x:f>
        <x:v>0.6666666666666666</x:v>
      </x:c>
      <x:c r="AN485" s="37" t="n">
        <x:f>ROUND((AD485*0.20+AE485*0.20+AF485*0.25+AG485*0.15+MIN(100,AC485*12)*0.20),1)</x:f>
        <x:v>76.3</x:v>
      </x:c>
      <x:c r="AO485" s="37" t="n">
        <x:f>ROUND(MAX(0,MIN(100,(X485*0.35)+(W485/45*100*0.20)+((5-O485)/4*100*0.15)+((5-P485)/4*100*0.10)+((6-Y485)/5*100*0.10)+((100-Z485)*0.10))),1)</x:f>
        <x:v>43.5</x:v>
      </x:c>
      <x:c r="AP485" s="37" t="str">
        <x:f>IF(AO485&gt;=70,"High",IF(AO485&gt;=40,"Moderate","Low"))</x:f>
        <x:v>Moderate</x:v>
      </x:c>
      <x:c r="AQ485" s="37" t="n">
        <x:f>ROUND(MAX(0,MIN(100,(O485/4*100*0.25)+(P485/4*100*0.20)+(Q485/4*100*0.15)+(Y485/5*100*0.20)+(100-AO485)*0.20)),1)</x:f>
        <x:v>80.1</x:v>
      </x:c>
      <x:c r="AR485" s="37" t="n">
        <x:f>ROUND((AI485*0.20+AJ485*0.15+AN485*0.18+AG485*0.12+Z485*0.15+AQ485*0.20),1)</x:f>
        <x:v>86.6</x:v>
      </x:c>
      <x:c r="AS485" s="39" t="n">
        <x:f>ROUND((AC485*AF485*120)+(AH485*350)+(MAX(0,AI485-75)*220)+(MAX(0,AQ485-60)*100),0)</x:f>
        <x:v>48208</x:v>
      </x:c>
    </x:row>
    <x:row r="486">
      <x:c r="A486" s="35" t="n">
        <x:v>485</x:v>
      </x:c>
      <x:c r="B486" s="35" t="n">
        <x:v>40</x:v>
      </x:c>
      <x:c r="C486" s="35" t="str">
        <x:v>Male</x:v>
      </x:c>
      <x:c r="D486" s="35" t="str">
        <x:v>Operations</x:v>
      </x:c>
      <x:c r="E486" s="35" t="str">
        <x:v>Operations Manager</x:v>
      </x:c>
      <x:c r="F486" s="35" t="str">
        <x:v>Business</x:v>
      </x:c>
      <x:c r="G486" s="35" t="str">
        <x:v>Divorced</x:v>
      </x:c>
      <x:c r="H486" s="35" t="n">
        <x:v>2</x:v>
      </x:c>
      <x:c r="I486" s="36" t="n">
        <x:v>11650</x:v>
      </x:c>
      <x:c r="J486" s="35" t="n">
        <x:v>11</x:v>
      </x:c>
      <x:c r="K486" s="35" t="n">
        <x:v>7</x:v>
      </x:c>
      <x:c r="L486" s="35" t="n">
        <x:v>4</x:v>
      </x:c>
      <x:c r="M486" s="35" t="n">
        <x:v>11</x:v>
      </x:c>
      <x:c r="N486" s="35" t="str">
        <x:v>No</x:v>
      </x:c>
      <x:c r="O486" s="35" t="n">
        <x:v>3</x:v>
      </x:c>
      <x:c r="P486" s="35" t="n">
        <x:v>2</x:v>
      </x:c>
      <x:c r="Q486" s="35" t="n">
        <x:v>3</x:v>
      </x:c>
      <x:c r="R486" s="35" t="n">
        <x:v>3</x:v>
      </x:c>
      <x:c r="S486" s="35" t="n">
        <x:v>3</x:v>
      </x:c>
      <x:c r="T486" s="35" t="n">
        <x:v>3</x:v>
      </x:c>
      <x:c r="U486" s="35" t="n">
        <x:v>2</x:v>
      </x:c>
      <x:c r="V486" s="35" t="n">
        <x:v>10</x:v>
      </x:c>
      <x:c r="W486" s="35" t="n">
        <x:v>1</x:v>
      </x:c>
      <x:c r="X486" s="35" t="n">
        <x:v>74</x:v>
      </x:c>
      <x:c r="Y486" s="35" t="n">
        <x:v>3</x:v>
      </x:c>
      <x:c r="Z486" s="35" t="n">
        <x:v>100</x:v>
      </x:c>
      <x:c r="AA486" s="35" t="n">
        <x:v>3</x:v>
      </x:c>
      <x:c r="AB486" s="35" t="n">
        <x:v>3</x:v>
      </x:c>
      <x:c r="AC486" s="35" t="n">
        <x:v>3</x:v>
      </x:c>
      <x:c r="AD486" s="35" t="n">
        <x:v>45</x:v>
      </x:c>
      <x:c r="AE486" s="35" t="n">
        <x:v>84</x:v>
      </x:c>
      <x:c r="AF486" s="35" t="n">
        <x:v>75</x:v>
      </x:c>
      <x:c r="AG486" s="35" t="n">
        <x:v>96</x:v>
      </x:c>
      <x:c r="AH486" s="35" t="n">
        <x:v>9</x:v>
      </x:c>
      <x:c r="AI486" s="37" t="n">
        <x:v>94.7</x:v>
      </x:c>
      <x:c r="AJ486" s="37" t="n">
        <x:v>90.3</x:v>
      </x:c>
      <x:c r="AK486" s="35" t="str">
        <x:v>No</x:v>
      </x:c>
      <x:c r="AL486" s="38" t="n">
        <x:f>IF(AA486=0,0,AB486/AA486)</x:f>
        <x:v>1</x:v>
      </x:c>
      <x:c r="AM486" s="38" t="n">
        <x:f>IF(AB486=0,0,AC486/AB486)</x:f>
        <x:v>1</x:v>
      </x:c>
      <x:c r="AN486" s="37" t="n">
        <x:f>ROUND((AD486*0.20+AE486*0.20+AF486*0.25+AG486*0.15+MIN(100,AC486*12)*0.20),1)</x:f>
        <x:v>66.1</x:v>
      </x:c>
      <x:c r="AO486" s="37" t="n">
        <x:f>ROUND(MAX(0,MIN(100,(X486*0.35)+(W486/45*100*0.20)+((5-O486)/4*100*0.15)+((5-P486)/4*100*0.10)+((6-Y486)/5*100*0.10)+((100-Z486)*0.10))),1)</x:f>
        <x:v>47.3</x:v>
      </x:c>
      <x:c r="AP486" s="37" t="str">
        <x:f>IF(AO486&gt;=70,"High",IF(AO486&gt;=40,"Moderate","Low"))</x:f>
        <x:v>Moderate</x:v>
      </x:c>
      <x:c r="AQ486" s="37" t="n">
        <x:f>ROUND(MAX(0,MIN(100,(O486/4*100*0.25)+(P486/4*100*0.20)+(Q486/4*100*0.15)+(Y486/5*100*0.20)+(100-AO486)*0.20)),1)</x:f>
        <x:v>62.5</x:v>
      </x:c>
      <x:c r="AR486" s="37" t="n">
        <x:f>ROUND((AI486*0.20+AJ486*0.15+AN486*0.18+AG486*0.12+Z486*0.15+AQ486*0.20),1)</x:f>
        <x:v>83.4</x:v>
      </x:c>
      <x:c r="AS486" s="39" t="n">
        <x:f>ROUND((AC486*AF486*120)+(AH486*350)+(MAX(0,AI486-75)*220)+(MAX(0,AQ486-60)*100),0)</x:f>
        <x:v>34734</x:v>
      </x:c>
    </x:row>
    <x:row r="487">
      <x:c r="A487" s="35" t="n">
        <x:v>486</x:v>
      </x:c>
      <x:c r="B487" s="35" t="n">
        <x:v>39</x:v>
      </x:c>
      <x:c r="C487" s="35" t="str">
        <x:v>Female</x:v>
      </x:c>
      <x:c r="D487" s="35" t="str">
        <x:v>Information Technology</x:v>
      </x:c>
      <x:c r="E487" s="35" t="str">
        <x:v>Systems Analyst</x:v>
      </x:c>
      <x:c r="F487" s="35" t="str">
        <x:v>Medical</x:v>
      </x:c>
      <x:c r="G487" s="35" t="str">
        <x:v>Married</x:v>
      </x:c>
      <x:c r="H487" s="35" t="n">
        <x:v>2</x:v>
      </x:c>
      <x:c r="I487" s="36" t="n">
        <x:v>8940</x:v>
      </x:c>
      <x:c r="J487" s="35" t="n">
        <x:v>11</x:v>
      </x:c>
      <x:c r="K487" s="35" t="n">
        <x:v>3</x:v>
      </x:c>
      <x:c r="L487" s="35" t="n">
        <x:v>1</x:v>
      </x:c>
      <x:c r="M487" s="35" t="n">
        <x:v>16</x:v>
      </x:c>
      <x:c r="N487" s="35" t="str">
        <x:v>No</x:v>
      </x:c>
      <x:c r="O487" s="35" t="n">
        <x:v>2</x:v>
      </x:c>
      <x:c r="P487" s="35" t="n">
        <x:v>2</x:v>
      </x:c>
      <x:c r="Q487" s="35" t="n">
        <x:v>2</x:v>
      </x:c>
      <x:c r="R487" s="35" t="n">
        <x:v>3</x:v>
      </x:c>
      <x:c r="S487" s="35" t="n">
        <x:v>3</x:v>
      </x:c>
      <x:c r="T487" s="35" t="n">
        <x:v>3</x:v>
      </x:c>
      <x:c r="U487" s="35" t="n">
        <x:v>1</x:v>
      </x:c>
      <x:c r="V487" s="35" t="n">
        <x:v>5</x:v>
      </x:c>
      <x:c r="W487" s="35" t="n">
        <x:v>6</x:v>
      </x:c>
      <x:c r="X487" s="35" t="n">
        <x:v>55</x:v>
      </x:c>
      <x:c r="Y487" s="35" t="n">
        <x:v>5</x:v>
      </x:c>
      <x:c r="Z487" s="35" t="n">
        <x:v>100</x:v>
      </x:c>
      <x:c r="AA487" s="35" t="n">
        <x:v>2</x:v>
      </x:c>
      <x:c r="AB487" s="35" t="n">
        <x:v>2</x:v>
      </x:c>
      <x:c r="AC487" s="35" t="n">
        <x:v>2</x:v>
      </x:c>
      <x:c r="AD487" s="35" t="n">
        <x:v>61</x:v>
      </x:c>
      <x:c r="AE487" s="35" t="n">
        <x:v>71</x:v>
      </x:c>
      <x:c r="AF487" s="35" t="n">
        <x:v>85</x:v>
      </x:c>
      <x:c r="AG487" s="35" t="n">
        <x:v>85</x:v>
      </x:c>
      <x:c r="AH487" s="35" t="n">
        <x:v>5</x:v>
      </x:c>
      <x:c r="AI487" s="37" t="n">
        <x:v>100</x:v>
      </x:c>
      <x:c r="AJ487" s="37" t="n">
        <x:v>96.8</x:v>
      </x:c>
      <x:c r="AK487" s="35" t="str">
        <x:v>No</x:v>
      </x:c>
      <x:c r="AL487" s="38" t="n">
        <x:f>IF(AA487=0,0,AB487/AA487)</x:f>
        <x:v>1</x:v>
      </x:c>
      <x:c r="AM487" s="38" t="n">
        <x:f>IF(AB487=0,0,AC487/AB487)</x:f>
        <x:v>1</x:v>
      </x:c>
      <x:c r="AN487" s="37" t="n">
        <x:f>ROUND((AD487*0.20+AE487*0.20+AF487*0.25+AG487*0.15+MIN(100,AC487*12)*0.20),1)</x:f>
        <x:v>65.2</x:v>
      </x:c>
      <x:c r="AO487" s="37" t="n">
        <x:f>ROUND(MAX(0,MIN(100,(X487*0.35)+(W487/45*100*0.20)+((5-O487)/4*100*0.15)+((5-P487)/4*100*0.10)+((6-Y487)/5*100*0.10)+((100-Z487)*0.10))),1)</x:f>
        <x:v>42.7</x:v>
      </x:c>
      <x:c r="AP487" s="37" t="str">
        <x:f>IF(AO487&gt;=70,"High",IF(AO487&gt;=40,"Moderate","Low"))</x:f>
        <x:v>Moderate</x:v>
      </x:c>
      <x:c r="AQ487" s="37" t="n">
        <x:f>ROUND(MAX(0,MIN(100,(O487/4*100*0.25)+(P487/4*100*0.20)+(Q487/4*100*0.15)+(Y487/5*100*0.20)+(100-AO487)*0.20)),1)</x:f>
        <x:v>61.5</x:v>
      </x:c>
      <x:c r="AR487" s="37" t="n">
        <x:f>ROUND((AI487*0.20+AJ487*0.15+AN487*0.18+AG487*0.12+Z487*0.15+AQ487*0.20),1)</x:f>
        <x:v>83.8</x:v>
      </x:c>
      <x:c r="AS487" s="39" t="n">
        <x:f>ROUND((AC487*AF487*120)+(AH487*350)+(MAX(0,AI487-75)*220)+(MAX(0,AQ487-60)*100),0)</x:f>
        <x:v>27800</x:v>
      </x:c>
    </x:row>
    <x:row r="488">
      <x:c r="A488" s="35" t="n">
        <x:v>487</x:v>
      </x:c>
      <x:c r="B488" s="35" t="n">
        <x:v>31</x:v>
      </x:c>
      <x:c r="C488" s="35" t="str">
        <x:v>Female</x:v>
      </x:c>
      <x:c r="D488" s="35" t="str">
        <x:v>Finance</x:v>
      </x:c>
      <x:c r="E488" s="35" t="str">
        <x:v>Financial Analyst</x:v>
      </x:c>
      <x:c r="F488" s="35" t="str">
        <x:v>Technical Degree</x:v>
      </x:c>
      <x:c r="G488" s="35" t="str">
        <x:v>Single</x:v>
      </x:c>
      <x:c r="H488" s="35" t="n">
        <x:v>1</x:v>
      </x:c>
      <x:c r="I488" s="36" t="n">
        <x:v>5490</x:v>
      </x:c>
      <x:c r="J488" s="35" t="n">
        <x:v>5</x:v>
      </x:c>
      <x:c r="K488" s="35" t="n">
        <x:v>3</x:v>
      </x:c>
      <x:c r="L488" s="35" t="n">
        <x:v>1</x:v>
      </x:c>
      <x:c r="M488" s="35" t="n">
        <x:v>15</x:v>
      </x:c>
      <x:c r="N488" s="35" t="str">
        <x:v>No</x:v>
      </x:c>
      <x:c r="O488" s="35" t="n">
        <x:v>2</x:v>
      </x:c>
      <x:c r="P488" s="35" t="n">
        <x:v>4</x:v>
      </x:c>
      <x:c r="Q488" s="35" t="n">
        <x:v>3</x:v>
      </x:c>
      <x:c r="R488" s="35" t="n">
        <x:v>4</x:v>
      </x:c>
      <x:c r="S488" s="35" t="n">
        <x:v>3</x:v>
      </x:c>
      <x:c r="T488" s="35" t="n">
        <x:v>4</x:v>
      </x:c>
      <x:c r="U488" s="35" t="n">
        <x:v>1</x:v>
      </x:c>
      <x:c r="V488" s="35" t="n">
        <x:v>3</x:v>
      </x:c>
      <x:c r="W488" s="35" t="n">
        <x:v>3</x:v>
      </x:c>
      <x:c r="X488" s="35" t="n">
        <x:v>60</x:v>
      </x:c>
      <x:c r="Y488" s="35" t="n">
        <x:v>4</x:v>
      </x:c>
      <x:c r="Z488" s="35" t="n">
        <x:v>100</x:v>
      </x:c>
      <x:c r="AA488" s="35" t="n">
        <x:v>6</x:v>
      </x:c>
      <x:c r="AB488" s="35" t="n">
        <x:v>4</x:v>
      </x:c>
      <x:c r="AC488" s="35" t="n">
        <x:v>3</x:v>
      </x:c>
      <x:c r="AD488" s="35" t="n">
        <x:v>72</x:v>
      </x:c>
      <x:c r="AE488" s="35" t="n">
        <x:v>72</x:v>
      </x:c>
      <x:c r="AF488" s="35" t="n">
        <x:v>57</x:v>
      </x:c>
      <x:c r="AG488" s="35" t="n">
        <x:v>92</x:v>
      </x:c>
      <x:c r="AH488" s="35" t="n">
        <x:v>9</x:v>
      </x:c>
      <x:c r="AI488" s="37" t="n">
        <x:v>89.3</x:v>
      </x:c>
      <x:c r="AJ488" s="37" t="n">
        <x:v>98.7</x:v>
      </x:c>
      <x:c r="AK488" s="35" t="str">
        <x:v>No</x:v>
      </x:c>
      <x:c r="AL488" s="38" t="n">
        <x:f>IF(AA488=0,0,AB488/AA488)</x:f>
        <x:v>0.6666666666666666</x:v>
      </x:c>
      <x:c r="AM488" s="38" t="n">
        <x:f>IF(AB488=0,0,AC488/AB488)</x:f>
        <x:v>0.75</x:v>
      </x:c>
      <x:c r="AN488" s="37" t="n">
        <x:f>ROUND((AD488*0.20+AE488*0.20+AF488*0.25+AG488*0.15+MIN(100,AC488*12)*0.20),1)</x:f>
        <x:v>64.1</x:v>
      </x:c>
      <x:c r="AO488" s="37" t="n">
        <x:f>ROUND(MAX(0,MIN(100,(X488*0.35)+(W488/45*100*0.20)+((5-O488)/4*100*0.15)+((5-P488)/4*100*0.10)+((6-Y488)/5*100*0.10)+((100-Z488)*0.10))),1)</x:f>
        <x:v>40.1</x:v>
      </x:c>
      <x:c r="AP488" s="37" t="str">
        <x:f>IF(AO488&gt;=70,"High",IF(AO488&gt;=40,"Moderate","Low"))</x:f>
        <x:v>Moderate</x:v>
      </x:c>
      <x:c r="AQ488" s="37" t="n">
        <x:f>ROUND(MAX(0,MIN(100,(O488/4*100*0.25)+(P488/4*100*0.20)+(Q488/4*100*0.15)+(Y488/5*100*0.20)+(100-AO488)*0.20)),1)</x:f>
        <x:v>71.7</x:v>
      </x:c>
      <x:c r="AR488" s="37" t="n">
        <x:f>ROUND((AI488*0.20+AJ488*0.15+AN488*0.18+AG488*0.12+Z488*0.15+AQ488*0.20),1)</x:f>
        <x:v>84.6</x:v>
      </x:c>
      <x:c r="AS488" s="39" t="n">
        <x:f>ROUND((AC488*AF488*120)+(AH488*350)+(MAX(0,AI488-75)*220)+(MAX(0,AQ488-60)*100),0)</x:f>
        <x:v>27986</x:v>
      </x:c>
    </x:row>
    <x:row r="489">
      <x:c r="A489" s="35" t="n">
        <x:v>488</x:v>
      </x:c>
      <x:c r="B489" s="35" t="n">
        <x:v>35</x:v>
      </x:c>
      <x:c r="C489" s="35" t="str">
        <x:v>Female</x:v>
      </x:c>
      <x:c r="D489" s="35" t="str">
        <x:v>Sales</x:v>
      </x:c>
      <x:c r="E489" s="35" t="str">
        <x:v>Account Manager</x:v>
      </x:c>
      <x:c r="F489" s="35" t="str">
        <x:v>Life Sciences</x:v>
      </x:c>
      <x:c r="G489" s="35" t="str">
        <x:v>Single</x:v>
      </x:c>
      <x:c r="H489" s="35" t="n">
        <x:v>1</x:v>
      </x:c>
      <x:c r="I489" s="36" t="n">
        <x:v>4030</x:v>
      </x:c>
      <x:c r="J489" s="35" t="n">
        <x:v>12</x:v>
      </x:c>
      <x:c r="K489" s="35" t="n">
        <x:v>10</x:v>
      </x:c>
      <x:c r="L489" s="35" t="n">
        <x:v>7</x:v>
      </x:c>
      <x:c r="M489" s="35" t="n">
        <x:v>7</x:v>
      </x:c>
      <x:c r="N489" s="35" t="str">
        <x:v>Yes</x:v>
      </x:c>
      <x:c r="O489" s="35" t="n">
        <x:v>2</x:v>
      </x:c>
      <x:c r="P489" s="35" t="n">
        <x:v>2</x:v>
      </x:c>
      <x:c r="Q489" s="35" t="n">
        <x:v>2</x:v>
      </x:c>
      <x:c r="R489" s="35" t="n">
        <x:v>3</x:v>
      </x:c>
      <x:c r="S489" s="35" t="n">
        <x:v>3</x:v>
      </x:c>
      <x:c r="T489" s="35" t="n">
        <x:v>5</x:v>
      </x:c>
      <x:c r="U489" s="35" t="n">
        <x:v>0</x:v>
      </x:c>
      <x:c r="V489" s="35" t="n">
        <x:v>10</x:v>
      </x:c>
      <x:c r="W489" s="35" t="n">
        <x:v>24</x:v>
      </x:c>
      <x:c r="X489" s="35" t="n">
        <x:v>40</x:v>
      </x:c>
      <x:c r="Y489" s="35" t="n">
        <x:v>5</x:v>
      </x:c>
      <x:c r="Z489" s="35" t="n">
        <x:v>100</x:v>
      </x:c>
      <x:c r="AA489" s="35" t="n">
        <x:v>5</x:v>
      </x:c>
      <x:c r="AB489" s="35" t="n">
        <x:v>3</x:v>
      </x:c>
      <x:c r="AC489" s="35" t="n">
        <x:v>3</x:v>
      </x:c>
      <x:c r="AD489" s="35" t="n">
        <x:v>53</x:v>
      </x:c>
      <x:c r="AE489" s="35" t="n">
        <x:v>78</x:v>
      </x:c>
      <x:c r="AF489" s="35" t="n">
        <x:v>70</x:v>
      </x:c>
      <x:c r="AG489" s="35" t="n">
        <x:v>92</x:v>
      </x:c>
      <x:c r="AH489" s="35" t="n">
        <x:v>7</x:v>
      </x:c>
      <x:c r="AI489" s="37" t="n">
        <x:v>93.5</x:v>
      </x:c>
      <x:c r="AJ489" s="37" t="n">
        <x:v>93.6</x:v>
      </x:c>
      <x:c r="AK489" s="35" t="str">
        <x:v>No</x:v>
      </x:c>
      <x:c r="AL489" s="38" t="n">
        <x:f>IF(AA489=0,0,AB489/AA489)</x:f>
        <x:v>0.6</x:v>
      </x:c>
      <x:c r="AM489" s="38" t="n">
        <x:f>IF(AB489=0,0,AC489/AB489)</x:f>
        <x:v>1</x:v>
      </x:c>
      <x:c r="AN489" s="37" t="n">
        <x:f>ROUND((AD489*0.20+AE489*0.20+AF489*0.25+AG489*0.15+MIN(100,AC489*12)*0.20),1)</x:f>
        <x:v>64.7</x:v>
      </x:c>
      <x:c r="AO489" s="37" t="n">
        <x:f>ROUND(MAX(0,MIN(100,(X489*0.35)+(W489/45*100*0.20)+((5-O489)/4*100*0.15)+((5-P489)/4*100*0.10)+((6-Y489)/5*100*0.10)+((100-Z489)*0.10))),1)</x:f>
        <x:v>45.4</x:v>
      </x:c>
      <x:c r="AP489" s="37" t="str">
        <x:f>IF(AO489&gt;=70,"High",IF(AO489&gt;=40,"Moderate","Low"))</x:f>
        <x:v>Moderate</x:v>
      </x:c>
      <x:c r="AQ489" s="37" t="n">
        <x:f>ROUND(MAX(0,MIN(100,(O489/4*100*0.25)+(P489/4*100*0.20)+(Q489/4*100*0.15)+(Y489/5*100*0.20)+(100-AO489)*0.20)),1)</x:f>
        <x:v>60.9</x:v>
      </x:c>
      <x:c r="AR489" s="37" t="n">
        <x:f>ROUND((AI489*0.20+AJ489*0.15+AN489*0.18+AG489*0.12+Z489*0.15+AQ489*0.20),1)</x:f>
        <x:v>82.6</x:v>
      </x:c>
      <x:c r="AS489" s="39" t="n">
        <x:f>ROUND((AC489*AF489*120)+(AH489*350)+(MAX(0,AI489-75)*220)+(MAX(0,AQ489-60)*100),0)</x:f>
        <x:v>31810</x:v>
      </x:c>
    </x:row>
    <x:row r="490">
      <x:c r="A490" s="35" t="n">
        <x:v>489</x:v>
      </x:c>
      <x:c r="B490" s="35" t="n">
        <x:v>40</x:v>
      </x:c>
      <x:c r="C490" s="35" t="str">
        <x:v>Male</x:v>
      </x:c>
      <x:c r="D490" s="35" t="str">
        <x:v>Finance</x:v>
      </x:c>
      <x:c r="E490" s="35" t="str">
        <x:v>Accountant</x:v>
      </x:c>
      <x:c r="F490" s="35" t="str">
        <x:v>Business</x:v>
      </x:c>
      <x:c r="G490" s="35" t="str">
        <x:v>Divorced</x:v>
      </x:c>
      <x:c r="H490" s="35" t="n">
        <x:v>2</x:v>
      </x:c>
      <x:c r="I490" s="36" t="n">
        <x:v>8680</x:v>
      </x:c>
      <x:c r="J490" s="35" t="n">
        <x:v>10</x:v>
      </x:c>
      <x:c r="K490" s="35" t="n">
        <x:v>6</x:v>
      </x:c>
      <x:c r="L490" s="35" t="n">
        <x:v>2</x:v>
      </x:c>
      <x:c r="M490" s="35" t="n">
        <x:v>24</x:v>
      </x:c>
      <x:c r="N490" s="35" t="str">
        <x:v>Yes</x:v>
      </x:c>
      <x:c r="O490" s="35" t="n">
        <x:v>4</x:v>
      </x:c>
      <x:c r="P490" s="35" t="n">
        <x:v>2</x:v>
      </x:c>
      <x:c r="Q490" s="35" t="n">
        <x:v>3</x:v>
      </x:c>
      <x:c r="R490" s="35" t="n">
        <x:v>3</x:v>
      </x:c>
      <x:c r="S490" s="35" t="n">
        <x:v>3</x:v>
      </x:c>
      <x:c r="T490" s="35" t="n">
        <x:v>3</x:v>
      </x:c>
      <x:c r="U490" s="35" t="n">
        <x:v>2</x:v>
      </x:c>
      <x:c r="V490" s="35" t="n">
        <x:v>11</x:v>
      </x:c>
      <x:c r="W490" s="35" t="n">
        <x:v>7</x:v>
      </x:c>
      <x:c r="X490" s="35" t="n">
        <x:v>78</x:v>
      </x:c>
      <x:c r="Y490" s="35" t="n">
        <x:v>5</x:v>
      </x:c>
      <x:c r="Z490" s="35" t="n">
        <x:v>95</x:v>
      </x:c>
      <x:c r="AA490" s="35" t="n">
        <x:v>3</x:v>
      </x:c>
      <x:c r="AB490" s="35" t="n">
        <x:v>3</x:v>
      </x:c>
      <x:c r="AC490" s="35" t="n">
        <x:v>3</x:v>
      </x:c>
      <x:c r="AD490" s="35" t="n">
        <x:v>72</x:v>
      </x:c>
      <x:c r="AE490" s="35" t="n">
        <x:v>83</x:v>
      </x:c>
      <x:c r="AF490" s="35" t="n">
        <x:v>92</x:v>
      </x:c>
      <x:c r="AG490" s="35" t="n">
        <x:v>87</x:v>
      </x:c>
      <x:c r="AH490" s="35" t="n">
        <x:v>7</x:v>
      </x:c>
      <x:c r="AI490" s="37" t="n">
        <x:v>93.3</x:v>
      </x:c>
      <x:c r="AJ490" s="37" t="n">
        <x:v>89</x:v>
      </x:c>
      <x:c r="AK490" s="35" t="str">
        <x:v>No</x:v>
      </x:c>
      <x:c r="AL490" s="38" t="n">
        <x:f>IF(AA490=0,0,AB490/AA490)</x:f>
        <x:v>1</x:v>
      </x:c>
      <x:c r="AM490" s="38" t="n">
        <x:f>IF(AB490=0,0,AC490/AB490)</x:f>
        <x:v>1</x:v>
      </x:c>
      <x:c r="AN490" s="37" t="n">
        <x:f>ROUND((AD490*0.20+AE490*0.20+AF490*0.25+AG490*0.15+MIN(100,AC490*12)*0.20),1)</x:f>
        <x:v>74.3</x:v>
      </x:c>
      <x:c r="AO490" s="37" t="n">
        <x:f>ROUND(MAX(0,MIN(100,(X490*0.35)+(W490/45*100*0.20)+((5-O490)/4*100*0.15)+((5-P490)/4*100*0.10)+((6-Y490)/5*100*0.10)+((100-Z490)*0.10))),1)</x:f>
        <x:v>44.2</x:v>
      </x:c>
      <x:c r="AP490" s="37" t="str">
        <x:f>IF(AO490&gt;=70,"High",IF(AO490&gt;=40,"Moderate","Low"))</x:f>
        <x:v>Moderate</x:v>
      </x:c>
      <x:c r="AQ490" s="37" t="n">
        <x:f>ROUND(MAX(0,MIN(100,(O490/4*100*0.25)+(P490/4*100*0.20)+(Q490/4*100*0.15)+(Y490/5*100*0.20)+(100-AO490)*0.20)),1)</x:f>
        <x:v>77.4</x:v>
      </x:c>
      <x:c r="AR490" s="37" t="n">
        <x:f>ROUND((AI490*0.20+AJ490*0.15+AN490*0.18+AG490*0.12+Z490*0.15+AQ490*0.20),1)</x:f>
        <x:v>85.6</x:v>
      </x:c>
      <x:c r="AS490" s="39" t="n">
        <x:f>ROUND((AC490*AF490*120)+(AH490*350)+(MAX(0,AI490-75)*220)+(MAX(0,AQ490-60)*100),0)</x:f>
        <x:v>41336</x:v>
      </x:c>
    </x:row>
    <x:row r="491">
      <x:c r="A491" s="35" t="n">
        <x:v>490</x:v>
      </x:c>
      <x:c r="B491" s="35" t="n">
        <x:v>38</x:v>
      </x:c>
      <x:c r="C491" s="35" t="str">
        <x:v>Female</x:v>
      </x:c>
      <x:c r="D491" s="35" t="str">
        <x:v>Sales</x:v>
      </x:c>
      <x:c r="E491" s="35" t="str">
        <x:v>Sales Executive</x:v>
      </x:c>
      <x:c r="F491" s="35" t="str">
        <x:v>Marketing</x:v>
      </x:c>
      <x:c r="G491" s="35" t="str">
        <x:v>Married</x:v>
      </x:c>
      <x:c r="H491" s="35" t="n">
        <x:v>2</x:v>
      </x:c>
      <x:c r="I491" s="36" t="n">
        <x:v>8040</x:v>
      </x:c>
      <x:c r="J491" s="35" t="n">
        <x:v>8</x:v>
      </x:c>
      <x:c r="K491" s="35" t="n">
        <x:v>2</x:v>
      </x:c>
      <x:c r="L491" s="35" t="n">
        <x:v>1</x:v>
      </x:c>
      <x:c r="M491" s="35" t="n">
        <x:v>12</x:v>
      </x:c>
      <x:c r="N491" s="35" t="str">
        <x:v>No</x:v>
      </x:c>
      <x:c r="O491" s="35" t="n">
        <x:v>4</x:v>
      </x:c>
      <x:c r="P491" s="35" t="n">
        <x:v>4</x:v>
      </x:c>
      <x:c r="Q491" s="35" t="n">
        <x:v>2</x:v>
      </x:c>
      <x:c r="R491" s="35" t="n">
        <x:v>3</x:v>
      </x:c>
      <x:c r="S491" s="35" t="n">
        <x:v>3</x:v>
      </x:c>
      <x:c r="T491" s="35" t="n">
        <x:v>2</x:v>
      </x:c>
      <x:c r="U491" s="35" t="n">
        <x:v>1</x:v>
      </x:c>
      <x:c r="V491" s="35" t="n">
        <x:v>9</x:v>
      </x:c>
      <x:c r="W491" s="35" t="n">
        <x:v>2</x:v>
      </x:c>
      <x:c r="X491" s="35" t="n">
        <x:v>70</x:v>
      </x:c>
      <x:c r="Y491" s="35" t="n">
        <x:v>5</x:v>
      </x:c>
      <x:c r="Z491" s="35" t="n">
        <x:v>100</x:v>
      </x:c>
      <x:c r="AA491" s="35" t="n">
        <x:v>2</x:v>
      </x:c>
      <x:c r="AB491" s="35" t="n">
        <x:v>1</x:v>
      </x:c>
      <x:c r="AC491" s="35" t="n">
        <x:v>1</x:v>
      </x:c>
      <x:c r="AD491" s="35" t="n">
        <x:v>77</x:v>
      </x:c>
      <x:c r="AE491" s="35" t="n">
        <x:v>86</x:v>
      </x:c>
      <x:c r="AF491" s="35" t="n">
        <x:v>55</x:v>
      </x:c>
      <x:c r="AG491" s="35" t="n">
        <x:v>100</x:v>
      </x:c>
      <x:c r="AH491" s="35" t="n">
        <x:v>5</x:v>
      </x:c>
      <x:c r="AI491" s="37" t="n">
        <x:v>100</x:v>
      </x:c>
      <x:c r="AJ491" s="37" t="n">
        <x:v>95.5</x:v>
      </x:c>
      <x:c r="AK491" s="35" t="str">
        <x:v>No</x:v>
      </x:c>
      <x:c r="AL491" s="38" t="n">
        <x:f>IF(AA491=0,0,AB491/AA491)</x:f>
        <x:v>0.5</x:v>
      </x:c>
      <x:c r="AM491" s="38" t="n">
        <x:f>IF(AB491=0,0,AC491/AB491)</x:f>
        <x:v>1</x:v>
      </x:c>
      <x:c r="AN491" s="37" t="n">
        <x:f>ROUND((AD491*0.20+AE491*0.20+AF491*0.25+AG491*0.15+MIN(100,AC491*12)*0.20),1)</x:f>
        <x:v>63.8</x:v>
      </x:c>
      <x:c r="AO491" s="37" t="n">
        <x:f>ROUND(MAX(0,MIN(100,(X491*0.35)+(W491/45*100*0.20)+((5-O491)/4*100*0.15)+((5-P491)/4*100*0.10)+((6-Y491)/5*100*0.10)+((100-Z491)*0.10))),1)</x:f>
        <x:v>33.6</x:v>
      </x:c>
      <x:c r="AP491" s="37" t="str">
        <x:f>IF(AO491&gt;=70,"High",IF(AO491&gt;=40,"Moderate","Low"))</x:f>
        <x:v>Low</x:v>
      </x:c>
      <x:c r="AQ491" s="37" t="n">
        <x:f>ROUND(MAX(0,MIN(100,(O491/4*100*0.25)+(P491/4*100*0.20)+(Q491/4*100*0.15)+(Y491/5*100*0.20)+(100-AO491)*0.20)),1)</x:f>
        <x:v>85.8</x:v>
      </x:c>
      <x:c r="AR491" s="37" t="n">
        <x:f>ROUND((AI491*0.20+AJ491*0.15+AN491*0.18+AG491*0.12+Z491*0.15+AQ491*0.20),1)</x:f>
        <x:v>90</x:v>
      </x:c>
      <x:c r="AS491" s="39" t="n">
        <x:f>ROUND((AC491*AF491*120)+(AH491*350)+(MAX(0,AI491-75)*220)+(MAX(0,AQ491-60)*100),0)</x:f>
        <x:v>16430</x:v>
      </x:c>
    </x:row>
    <x:row r="492">
      <x:c r="A492" s="35" t="n">
        <x:v>491</x:v>
      </x:c>
      <x:c r="B492" s="35" t="n">
        <x:v>29</x:v>
      </x:c>
      <x:c r="C492" s="35" t="str">
        <x:v>Female</x:v>
      </x:c>
      <x:c r="D492" s="35" t="str">
        <x:v>Research &amp; Development</x:v>
      </x:c>
      <x:c r="E492" s="35" t="str">
        <x:v>Research Scientist</x:v>
      </x:c>
      <x:c r="F492" s="35" t="str">
        <x:v>Life Sciences</x:v>
      </x:c>
      <x:c r="G492" s="35" t="str">
        <x:v>Single</x:v>
      </x:c>
      <x:c r="H492" s="35" t="n">
        <x:v>1</x:v>
      </x:c>
      <x:c r="I492" s="36" t="n">
        <x:v>5400</x:v>
      </x:c>
      <x:c r="J492" s="35" t="n">
        <x:v>5</x:v>
      </x:c>
      <x:c r="K492" s="35" t="n">
        <x:v>4</x:v>
      </x:c>
      <x:c r="L492" s="35" t="n">
        <x:v>3</x:v>
      </x:c>
      <x:c r="M492" s="35" t="n">
        <x:v>8</x:v>
      </x:c>
      <x:c r="N492" s="35" t="str">
        <x:v>No</x:v>
      </x:c>
      <x:c r="O492" s="35" t="n">
        <x:v>1</x:v>
      </x:c>
      <x:c r="P492" s="35" t="n">
        <x:v>1</x:v>
      </x:c>
      <x:c r="Q492" s="35" t="n">
        <x:v>4</x:v>
      </x:c>
      <x:c r="R492" s="35" t="n">
        <x:v>3</x:v>
      </x:c>
      <x:c r="S492" s="35" t="n">
        <x:v>3</x:v>
      </x:c>
      <x:c r="T492" s="35" t="n">
        <x:v>1</x:v>
      </x:c>
      <x:c r="U492" s="35" t="n">
        <x:v>2</x:v>
      </x:c>
      <x:c r="V492" s="35" t="n">
        <x:v>12</x:v>
      </x:c>
      <x:c r="W492" s="35" t="n">
        <x:v>10</x:v>
      </x:c>
      <x:c r="X492" s="35" t="n">
        <x:v>92</x:v>
      </x:c>
      <x:c r="Y492" s="35" t="n">
        <x:v>2</x:v>
      </x:c>
      <x:c r="Z492" s="35" t="n">
        <x:v>78</x:v>
      </x:c>
      <x:c r="AA492" s="35" t="n">
        <x:v>2</x:v>
      </x:c>
      <x:c r="AB492" s="35" t="n">
        <x:v>1</x:v>
      </x:c>
      <x:c r="AC492" s="35" t="n">
        <x:v>1</x:v>
      </x:c>
      <x:c r="AD492" s="35" t="n">
        <x:v>63</x:v>
      </x:c>
      <x:c r="AE492" s="35" t="n">
        <x:v>80</x:v>
      </x:c>
      <x:c r="AF492" s="35" t="n">
        <x:v>65</x:v>
      </x:c>
      <x:c r="AG492" s="35" t="n">
        <x:v>94</x:v>
      </x:c>
      <x:c r="AH492" s="35" t="n">
        <x:v>4</x:v>
      </x:c>
      <x:c r="AI492" s="37" t="n">
        <x:v>88.7</x:v>
      </x:c>
      <x:c r="AJ492" s="37" t="n">
        <x:v>84.8</x:v>
      </x:c>
      <x:c r="AK492" s="35" t="str">
        <x:v>Yes</x:v>
      </x:c>
      <x:c r="AL492" s="38" t="n">
        <x:f>IF(AA492=0,0,AB492/AA492)</x:f>
        <x:v>0.5</x:v>
      </x:c>
      <x:c r="AM492" s="38" t="n">
        <x:f>IF(AB492=0,0,AC492/AB492)</x:f>
        <x:v>1</x:v>
      </x:c>
      <x:c r="AN492" s="37" t="n">
        <x:f>ROUND((AD492*0.20+AE492*0.20+AF492*0.25+AG492*0.15+MIN(100,AC492*12)*0.20),1)</x:f>
        <x:v>61.4</x:v>
      </x:c>
      <x:c r="AO492" s="37" t="n">
        <x:f>ROUND(MAX(0,MIN(100,(X492*0.35)+(W492/45*100*0.20)+((5-O492)/4*100*0.15)+((5-P492)/4*100*0.10)+((6-Y492)/5*100*0.10)+((100-Z492)*0.10))),1)</x:f>
        <x:v>71.8</x:v>
      </x:c>
      <x:c r="AP492" s="37" t="str">
        <x:f>IF(AO492&gt;=70,"High",IF(AO492&gt;=40,"Moderate","Low"))</x:f>
        <x:v>High</x:v>
      </x:c>
      <x:c r="AQ492" s="37" t="n">
        <x:f>ROUND(MAX(0,MIN(100,(O492/4*100*0.25)+(P492/4*100*0.20)+(Q492/4*100*0.15)+(Y492/5*100*0.20)+(100-AO492)*0.20)),1)</x:f>
        <x:v>39.9</x:v>
      </x:c>
      <x:c r="AR492" s="37" t="n">
        <x:f>ROUND((AI492*0.20+AJ492*0.15+AN492*0.18+AG492*0.12+Z492*0.15+AQ492*0.20),1)</x:f>
        <x:v>72.5</x:v>
      </x:c>
      <x:c r="AS492" s="39" t="n">
        <x:f>ROUND((AC492*AF492*120)+(AH492*350)+(MAX(0,AI492-75)*220)+(MAX(0,AQ492-60)*100),0)</x:f>
        <x:v>12214</x:v>
      </x:c>
    </x:row>
    <x:row r="493">
      <x:c r="A493" s="35" t="n">
        <x:v>492</x:v>
      </x:c>
      <x:c r="B493" s="35" t="n">
        <x:v>30</x:v>
      </x:c>
      <x:c r="C493" s="35" t="str">
        <x:v>Male</x:v>
      </x:c>
      <x:c r="D493" s="35" t="str">
        <x:v>Finance</x:v>
      </x:c>
      <x:c r="E493" s="35" t="str">
        <x:v>Financial Analyst</x:v>
      </x:c>
      <x:c r="F493" s="35" t="str">
        <x:v>Technical Degree</x:v>
      </x:c>
      <x:c r="G493" s="35" t="str">
        <x:v>Married</x:v>
      </x:c>
      <x:c r="H493" s="35" t="n">
        <x:v>1</x:v>
      </x:c>
      <x:c r="I493" s="36" t="n">
        <x:v>5600</x:v>
      </x:c>
      <x:c r="J493" s="35" t="n">
        <x:v>7</x:v>
      </x:c>
      <x:c r="K493" s="35" t="n">
        <x:v>4</x:v>
      </x:c>
      <x:c r="L493" s="35" t="n">
        <x:v>2</x:v>
      </x:c>
      <x:c r="M493" s="35" t="n">
        <x:v>8</x:v>
      </x:c>
      <x:c r="N493" s="35" t="str">
        <x:v>Yes</x:v>
      </x:c>
      <x:c r="O493" s="35" t="n">
        <x:v>2</x:v>
      </x:c>
      <x:c r="P493" s="35" t="n">
        <x:v>4</x:v>
      </x:c>
      <x:c r="Q493" s="35" t="n">
        <x:v>2</x:v>
      </x:c>
      <x:c r="R493" s="35" t="n">
        <x:v>3</x:v>
      </x:c>
      <x:c r="S493" s="35" t="n">
        <x:v>3</x:v>
      </x:c>
      <x:c r="T493" s="35" t="n">
        <x:v>4</x:v>
      </x:c>
      <x:c r="U493" s="35" t="n">
        <x:v>3</x:v>
      </x:c>
      <x:c r="V493" s="35" t="n">
        <x:v>0</x:v>
      </x:c>
      <x:c r="W493" s="35" t="n">
        <x:v>9</x:v>
      </x:c>
      <x:c r="X493" s="35" t="n">
        <x:v>71</x:v>
      </x:c>
      <x:c r="Y493" s="35" t="n">
        <x:v>4</x:v>
      </x:c>
      <x:c r="Z493" s="35" t="n">
        <x:v>100</x:v>
      </x:c>
      <x:c r="AA493" s="35" t="n">
        <x:v>2</x:v>
      </x:c>
      <x:c r="AB493" s="35" t="n">
        <x:v>1</x:v>
      </x:c>
      <x:c r="AC493" s="35" t="n">
        <x:v>0</x:v>
      </x:c>
      <x:c r="AD493" s="35" t="n">
        <x:v>69</x:v>
      </x:c>
      <x:c r="AE493" s="35" t="n">
        <x:v>88</x:v>
      </x:c>
      <x:c r="AF493" s="35" t="n">
        <x:v>59</x:v>
      </x:c>
      <x:c r="AG493" s="35" t="n">
        <x:v>95</x:v>
      </x:c>
      <x:c r="AH493" s="35" t="n">
        <x:v>4</x:v>
      </x:c>
      <x:c r="AI493" s="37" t="n">
        <x:v>96.5</x:v>
      </x:c>
      <x:c r="AJ493" s="37" t="n">
        <x:v>100</x:v>
      </x:c>
      <x:c r="AK493" s="35" t="str">
        <x:v>Yes</x:v>
      </x:c>
      <x:c r="AL493" s="38" t="n">
        <x:f>IF(AA493=0,0,AB493/AA493)</x:f>
        <x:v>0.5</x:v>
      </x:c>
      <x:c r="AM493" s="38" t="n">
        <x:f>IF(AB493=0,0,AC493/AB493)</x:f>
        <x:v>0</x:v>
      </x:c>
      <x:c r="AN493" s="37" t="n">
        <x:f>ROUND((AD493*0.20+AE493*0.20+AF493*0.25+AG493*0.15+MIN(100,AC493*12)*0.20),1)</x:f>
        <x:v>60.4</x:v>
      </x:c>
      <x:c r="AO493" s="37" t="n">
        <x:f>ROUND(MAX(0,MIN(100,(X493*0.35)+(W493/45*100*0.20)+((5-O493)/4*100*0.15)+((5-P493)/4*100*0.10)+((6-Y493)/5*100*0.10)+((100-Z493)*0.10))),1)</x:f>
        <x:v>46.6</x:v>
      </x:c>
      <x:c r="AP493" s="37" t="str">
        <x:f>IF(AO493&gt;=70,"High",IF(AO493&gt;=40,"Moderate","Low"))</x:f>
        <x:v>Moderate</x:v>
      </x:c>
      <x:c r="AQ493" s="37" t="n">
        <x:f>ROUND(MAX(0,MIN(100,(O493/4*100*0.25)+(P493/4*100*0.20)+(Q493/4*100*0.15)+(Y493/5*100*0.20)+(100-AO493)*0.20)),1)</x:f>
        <x:v>66.7</x:v>
      </x:c>
      <x:c r="AR493" s="37" t="n">
        <x:f>ROUND((AI493*0.20+AJ493*0.15+AN493*0.18+AG493*0.12+Z493*0.15+AQ493*0.20),1)</x:f>
        <x:v>84.9</x:v>
      </x:c>
      <x:c r="AS493" s="39" t="n">
        <x:f>ROUND((AC493*AF493*120)+(AH493*350)+(MAX(0,AI493-75)*220)+(MAX(0,AQ493-60)*100),0)</x:f>
        <x:v>6800</x:v>
      </x:c>
    </x:row>
    <x:row r="494">
      <x:c r="A494" s="35" t="n">
        <x:v>493</x:v>
      </x:c>
      <x:c r="B494" s="35" t="n">
        <x:v>31</x:v>
      </x:c>
      <x:c r="C494" s="35" t="str">
        <x:v>Male</x:v>
      </x:c>
      <x:c r="D494" s="35" t="str">
        <x:v>Human Resources</x:v>
      </x:c>
      <x:c r="E494" s="35" t="str">
        <x:v>HR Specialist</x:v>
      </x:c>
      <x:c r="F494" s="35" t="str">
        <x:v>Technical Degree</x:v>
      </x:c>
      <x:c r="G494" s="35" t="str">
        <x:v>Married</x:v>
      </x:c>
      <x:c r="H494" s="35" t="n">
        <x:v>1</x:v>
      </x:c>
      <x:c r="I494" s="36" t="n">
        <x:v>4150</x:v>
      </x:c>
      <x:c r="J494" s="35" t="n">
        <x:v>6</x:v>
      </x:c>
      <x:c r="K494" s="35" t="n">
        <x:v>5</x:v>
      </x:c>
      <x:c r="L494" s="35" t="n">
        <x:v>2</x:v>
      </x:c>
      <x:c r="M494" s="35" t="n">
        <x:v>13</x:v>
      </x:c>
      <x:c r="N494" s="35" t="str">
        <x:v>No</x:v>
      </x:c>
      <x:c r="O494" s="35" t="n">
        <x:v>4</x:v>
      </x:c>
      <x:c r="P494" s="35" t="n">
        <x:v>3</x:v>
      </x:c>
      <x:c r="Q494" s="35" t="n">
        <x:v>3</x:v>
      </x:c>
      <x:c r="R494" s="35" t="n">
        <x:v>3</x:v>
      </x:c>
      <x:c r="S494" s="35" t="n">
        <x:v>3</x:v>
      </x:c>
      <x:c r="T494" s="35" t="n">
        <x:v>2</x:v>
      </x:c>
      <x:c r="U494" s="35" t="n">
        <x:v>0</x:v>
      </x:c>
      <x:c r="V494" s="35" t="n">
        <x:v>5</x:v>
      </x:c>
      <x:c r="W494" s="35" t="n">
        <x:v>7</x:v>
      </x:c>
      <x:c r="X494" s="35" t="n">
        <x:v>50</x:v>
      </x:c>
      <x:c r="Y494" s="35" t="n">
        <x:v>5</x:v>
      </x:c>
      <x:c r="Z494" s="35" t="n">
        <x:v>100</x:v>
      </x:c>
      <x:c r="AA494" s="35" t="n">
        <x:v>5</x:v>
      </x:c>
      <x:c r="AB494" s="35" t="n">
        <x:v>5</x:v>
      </x:c>
      <x:c r="AC494" s="35" t="n">
        <x:v>3</x:v>
      </x:c>
      <x:c r="AD494" s="35" t="n">
        <x:v>79</x:v>
      </x:c>
      <x:c r="AE494" s="35" t="n">
        <x:v>75</x:v>
      </x:c>
      <x:c r="AF494" s="35" t="n">
        <x:v>75</x:v>
      </x:c>
      <x:c r="AG494" s="35" t="n">
        <x:v>100</x:v>
      </x:c>
      <x:c r="AH494" s="35" t="n">
        <x:v>5</x:v>
      </x:c>
      <x:c r="AI494" s="37" t="n">
        <x:v>87.6</x:v>
      </x:c>
      <x:c r="AJ494" s="37" t="n">
        <x:v>100</x:v>
      </x:c>
      <x:c r="AK494" s="35" t="str">
        <x:v>No</x:v>
      </x:c>
      <x:c r="AL494" s="38" t="n">
        <x:f>IF(AA494=0,0,AB494/AA494)</x:f>
        <x:v>1</x:v>
      </x:c>
      <x:c r="AM494" s="38" t="n">
        <x:f>IF(AB494=0,0,AC494/AB494)</x:f>
        <x:v>0.6</x:v>
      </x:c>
      <x:c r="AN494" s="37" t="n">
        <x:f>ROUND((AD494*0.20+AE494*0.20+AF494*0.25+AG494*0.15+MIN(100,AC494*12)*0.20),1)</x:f>
        <x:v>71.8</x:v>
      </x:c>
      <x:c r="AO494" s="37" t="n">
        <x:f>ROUND(MAX(0,MIN(100,(X494*0.35)+(W494/45*100*0.20)+((5-O494)/4*100*0.15)+((5-P494)/4*100*0.10)+((6-Y494)/5*100*0.10)+((100-Z494)*0.10))),1)</x:f>
        <x:v>31.4</x:v>
      </x:c>
      <x:c r="AP494" s="37" t="str">
        <x:f>IF(AO494&gt;=70,"High",IF(AO494&gt;=40,"Moderate","Low"))</x:f>
        <x:v>Low</x:v>
      </x:c>
      <x:c r="AQ494" s="37" t="n">
        <x:f>ROUND(MAX(0,MIN(100,(O494/4*100*0.25)+(P494/4*100*0.20)+(Q494/4*100*0.15)+(Y494/5*100*0.20)+(100-AO494)*0.20)),1)</x:f>
        <x:v>85</x:v>
      </x:c>
      <x:c r="AR494" s="37" t="n">
        <x:f>ROUND((AI494*0.20+AJ494*0.15+AN494*0.18+AG494*0.12+Z494*0.15+AQ494*0.20),1)</x:f>
        <x:v>89.4</x:v>
      </x:c>
      <x:c r="AS494" s="39" t="n">
        <x:f>ROUND((AC494*AF494*120)+(AH494*350)+(MAX(0,AI494-75)*220)+(MAX(0,AQ494-60)*100),0)</x:f>
        <x:v>34022</x:v>
      </x:c>
    </x:row>
    <x:row r="495">
      <x:c r="A495" s="35" t="n">
        <x:v>494</x:v>
      </x:c>
      <x:c r="B495" s="35" t="n">
        <x:v>30</x:v>
      </x:c>
      <x:c r="C495" s="35" t="str">
        <x:v>Male</x:v>
      </x:c>
      <x:c r="D495" s="35" t="str">
        <x:v>Sales</x:v>
      </x:c>
      <x:c r="E495" s="35" t="str">
        <x:v>Sales Executive</x:v>
      </x:c>
      <x:c r="F495" s="35" t="str">
        <x:v>Business</x:v>
      </x:c>
      <x:c r="G495" s="35" t="str">
        <x:v>Married</x:v>
      </x:c>
      <x:c r="H495" s="35" t="n">
        <x:v>2</x:v>
      </x:c>
      <x:c r="I495" s="36" t="n">
        <x:v>5800</x:v>
      </x:c>
      <x:c r="J495" s="35" t="n">
        <x:v>4</x:v>
      </x:c>
      <x:c r="K495" s="35" t="n">
        <x:v>1</x:v>
      </x:c>
      <x:c r="L495" s="35" t="n">
        <x:v>1</x:v>
      </x:c>
      <x:c r="M495" s="35" t="n">
        <x:v>3</x:v>
      </x:c>
      <x:c r="N495" s="35" t="str">
        <x:v>No</x:v>
      </x:c>
      <x:c r="O495" s="35" t="n">
        <x:v>3</x:v>
      </x:c>
      <x:c r="P495" s="35" t="n">
        <x:v>4</x:v>
      </x:c>
      <x:c r="Q495" s="35" t="n">
        <x:v>2</x:v>
      </x:c>
      <x:c r="R495" s="35" t="n">
        <x:v>4</x:v>
      </x:c>
      <x:c r="S495" s="35" t="n">
        <x:v>3</x:v>
      </x:c>
      <x:c r="T495" s="35" t="n">
        <x:v>2</x:v>
      </x:c>
      <x:c r="U495" s="35" t="n">
        <x:v>3</x:v>
      </x:c>
      <x:c r="V495" s="35" t="n">
        <x:v>14</x:v>
      </x:c>
      <x:c r="W495" s="35" t="n">
        <x:v>2</x:v>
      </x:c>
      <x:c r="X495" s="35" t="n">
        <x:v>49</x:v>
      </x:c>
      <x:c r="Y495" s="35" t="n">
        <x:v>5</x:v>
      </x:c>
      <x:c r="Z495" s="35" t="n">
        <x:v>100</x:v>
      </x:c>
      <x:c r="AA495" s="35" t="n">
        <x:v>5</x:v>
      </x:c>
      <x:c r="AB495" s="35" t="n">
        <x:v>5</x:v>
      </x:c>
      <x:c r="AC495" s="35" t="n">
        <x:v>4</x:v>
      </x:c>
      <x:c r="AD495" s="35" t="n">
        <x:v>63</x:v>
      </x:c>
      <x:c r="AE495" s="35" t="n">
        <x:v>93</x:v>
      </x:c>
      <x:c r="AF495" s="35" t="n">
        <x:v>69</x:v>
      </x:c>
      <x:c r="AG495" s="35" t="n">
        <x:v>100</x:v>
      </x:c>
      <x:c r="AH495" s="35" t="n">
        <x:v>5</x:v>
      </x:c>
      <x:c r="AI495" s="37" t="n">
        <x:v>100</x:v>
      </x:c>
      <x:c r="AJ495" s="37" t="n">
        <x:v>100</x:v>
      </x:c>
      <x:c r="AK495" s="35" t="str">
        <x:v>No</x:v>
      </x:c>
      <x:c r="AL495" s="38" t="n">
        <x:f>IF(AA495=0,0,AB495/AA495)</x:f>
        <x:v>1</x:v>
      </x:c>
      <x:c r="AM495" s="38" t="n">
        <x:f>IF(AB495=0,0,AC495/AB495)</x:f>
        <x:v>0.8</x:v>
      </x:c>
      <x:c r="AN495" s="37" t="n">
        <x:f>ROUND((AD495*0.20+AE495*0.20+AF495*0.25+AG495*0.15+MIN(100,AC495*12)*0.20),1)</x:f>
        <x:v>73.1</x:v>
      </x:c>
      <x:c r="AO495" s="37" t="n">
        <x:f>ROUND(MAX(0,MIN(100,(X495*0.35)+(W495/45*100*0.20)+((5-O495)/4*100*0.15)+((5-P495)/4*100*0.10)+((6-Y495)/5*100*0.10)+((100-Z495)*0.10))),1)</x:f>
        <x:v>30</x:v>
      </x:c>
      <x:c r="AP495" s="37" t="str">
        <x:f>IF(AO495&gt;=70,"High",IF(AO495&gt;=40,"Moderate","Low"))</x:f>
        <x:v>Low</x:v>
      </x:c>
      <x:c r="AQ495" s="37" t="n">
        <x:f>ROUND(MAX(0,MIN(100,(O495/4*100*0.25)+(P495/4*100*0.20)+(Q495/4*100*0.15)+(Y495/5*100*0.20)+(100-AO495)*0.20)),1)</x:f>
        <x:v>80.3</x:v>
      </x:c>
      <x:c r="AR495" s="37" t="n">
        <x:f>ROUND((AI495*0.20+AJ495*0.15+AN495*0.18+AG495*0.12+Z495*0.15+AQ495*0.20),1)</x:f>
        <x:v>91.2</x:v>
      </x:c>
      <x:c r="AS495" s="39" t="n">
        <x:f>ROUND((AC495*AF495*120)+(AH495*350)+(MAX(0,AI495-75)*220)+(MAX(0,AQ495-60)*100),0)</x:f>
        <x:v>42400</x:v>
      </x:c>
    </x:row>
    <x:row r="496">
      <x:c r="A496" s="35" t="n">
        <x:v>495</x:v>
      </x:c>
      <x:c r="B496" s="35" t="n">
        <x:v>41</x:v>
      </x:c>
      <x:c r="C496" s="35" t="str">
        <x:v>Female</x:v>
      </x:c>
      <x:c r="D496" s="35" t="str">
        <x:v>Sales</x:v>
      </x:c>
      <x:c r="E496" s="35" t="str">
        <x:v>Account Manager</x:v>
      </x:c>
      <x:c r="F496" s="35" t="str">
        <x:v>Technical Degree</x:v>
      </x:c>
      <x:c r="G496" s="35" t="str">
        <x:v>Divorced</x:v>
      </x:c>
      <x:c r="H496" s="35" t="n">
        <x:v>3</x:v>
      </x:c>
      <x:c r="I496" s="36" t="n">
        <x:v>14910</x:v>
      </x:c>
      <x:c r="J496" s="35" t="n">
        <x:v>12</x:v>
      </x:c>
      <x:c r="K496" s="35" t="n">
        <x:v>6</x:v>
      </x:c>
      <x:c r="L496" s="35" t="n">
        <x:v>2</x:v>
      </x:c>
      <x:c r="M496" s="35" t="n">
        <x:v>29</x:v>
      </x:c>
      <x:c r="N496" s="35" t="str">
        <x:v>No</x:v>
      </x:c>
      <x:c r="O496" s="35" t="n">
        <x:v>2</x:v>
      </x:c>
      <x:c r="P496" s="35" t="n">
        <x:v>3</x:v>
      </x:c>
      <x:c r="Q496" s="35" t="n">
        <x:v>3</x:v>
      </x:c>
      <x:c r="R496" s="35" t="n">
        <x:v>2</x:v>
      </x:c>
      <x:c r="S496" s="35" t="n">
        <x:v>3</x:v>
      </x:c>
      <x:c r="T496" s="35" t="n">
        <x:v>5</x:v>
      </x:c>
      <x:c r="U496" s="35" t="n">
        <x:v>1</x:v>
      </x:c>
      <x:c r="V496" s="35" t="n">
        <x:v>7</x:v>
      </x:c>
      <x:c r="W496" s="35" t="n">
        <x:v>3</x:v>
      </x:c>
      <x:c r="X496" s="35" t="n">
        <x:v>77</x:v>
      </x:c>
      <x:c r="Y496" s="35" t="n">
        <x:v>5</x:v>
      </x:c>
      <x:c r="Z496" s="35" t="n">
        <x:v>91</x:v>
      </x:c>
      <x:c r="AA496" s="35" t="n">
        <x:v>7</x:v>
      </x:c>
      <x:c r="AB496" s="35" t="n">
        <x:v>6</x:v>
      </x:c>
      <x:c r="AC496" s="35" t="n">
        <x:v>6</x:v>
      </x:c>
      <x:c r="AD496" s="35" t="n">
        <x:v>54</x:v>
      </x:c>
      <x:c r="AE496" s="35" t="n">
        <x:v>100</x:v>
      </x:c>
      <x:c r="AF496" s="35" t="n">
        <x:v>91</x:v>
      </x:c>
      <x:c r="AG496" s="35" t="n">
        <x:v>89</x:v>
      </x:c>
      <x:c r="AH496" s="35" t="n">
        <x:v>12</x:v>
      </x:c>
      <x:c r="AI496" s="37" t="n">
        <x:v>100</x:v>
      </x:c>
      <x:c r="AJ496" s="37" t="n">
        <x:v>88.2</x:v>
      </x:c>
      <x:c r="AK496" s="35" t="str">
        <x:v>No</x:v>
      </x:c>
      <x:c r="AL496" s="38" t="n">
        <x:f>IF(AA496=0,0,AB496/AA496)</x:f>
        <x:v>0.8571428571428571</x:v>
      </x:c>
      <x:c r="AM496" s="38" t="n">
        <x:f>IF(AB496=0,0,AC496/AB496)</x:f>
        <x:v>1</x:v>
      </x:c>
      <x:c r="AN496" s="37" t="n">
        <x:f>ROUND((AD496*0.20+AE496*0.20+AF496*0.25+AG496*0.15+MIN(100,AC496*12)*0.20),1)</x:f>
        <x:v>81.3</x:v>
      </x:c>
      <x:c r="AO496" s="37" t="n">
        <x:f>ROUND(MAX(0,MIN(100,(X496*0.35)+(W496/45*100*0.20)+((5-O496)/4*100*0.15)+((5-P496)/4*100*0.10)+((6-Y496)/5*100*0.10)+((100-Z496)*0.10))),1)</x:f>
        <x:v>47.4</x:v>
      </x:c>
      <x:c r="AP496" s="37" t="str">
        <x:f>IF(AO496&gt;=70,"High",IF(AO496&gt;=40,"Moderate","Low"))</x:f>
        <x:v>Moderate</x:v>
      </x:c>
      <x:c r="AQ496" s="37" t="n">
        <x:f>ROUND(MAX(0,MIN(100,(O496/4*100*0.25)+(P496/4*100*0.20)+(Q496/4*100*0.15)+(Y496/5*100*0.20)+(100-AO496)*0.20)),1)</x:f>
        <x:v>69.3</x:v>
      </x:c>
      <x:c r="AR496" s="37" t="n">
        <x:f>ROUND((AI496*0.20+AJ496*0.15+AN496*0.18+AG496*0.12+Z496*0.15+AQ496*0.20),1)</x:f>
        <x:v>86.1</x:v>
      </x:c>
      <x:c r="AS496" s="39" t="n">
        <x:f>ROUND((AC496*AF496*120)+(AH496*350)+(MAX(0,AI496-75)*220)+(MAX(0,AQ496-60)*100),0)</x:f>
        <x:v>76150</x:v>
      </x:c>
    </x:row>
    <x:row r="497">
      <x:c r="A497" s="35" t="n">
        <x:v>496</x:v>
      </x:c>
      <x:c r="B497" s="35" t="n">
        <x:v>35</x:v>
      </x:c>
      <x:c r="C497" s="35" t="str">
        <x:v>Male</x:v>
      </x:c>
      <x:c r="D497" s="35" t="str">
        <x:v>Information Technology</x:v>
      </x:c>
      <x:c r="E497" s="35" t="str">
        <x:v>Software Engineer</x:v>
      </x:c>
      <x:c r="F497" s="35" t="str">
        <x:v>Marketing</x:v>
      </x:c>
      <x:c r="G497" s="35" t="str">
        <x:v>Married</x:v>
      </x:c>
      <x:c r="H497" s="35" t="n">
        <x:v>3</x:v>
      </x:c>
      <x:c r="I497" s="36" t="n">
        <x:v>10970</x:v>
      </x:c>
      <x:c r="J497" s="35" t="n">
        <x:v>8</x:v>
      </x:c>
      <x:c r="K497" s="35" t="n">
        <x:v>7</x:v>
      </x:c>
      <x:c r="L497" s="35" t="n">
        <x:v>4</x:v>
      </x:c>
      <x:c r="M497" s="35" t="n">
        <x:v>3</x:v>
      </x:c>
      <x:c r="N497" s="35" t="str">
        <x:v>Yes</x:v>
      </x:c>
      <x:c r="O497" s="35" t="n">
        <x:v>2</x:v>
      </x:c>
      <x:c r="P497" s="35" t="n">
        <x:v>1</x:v>
      </x:c>
      <x:c r="Q497" s="35" t="n">
        <x:v>2</x:v>
      </x:c>
      <x:c r="R497" s="35" t="n">
        <x:v>3</x:v>
      </x:c>
      <x:c r="S497" s="35" t="n">
        <x:v>3</x:v>
      </x:c>
      <x:c r="T497" s="35" t="n">
        <x:v>4</x:v>
      </x:c>
      <x:c r="U497" s="35" t="n">
        <x:v>1</x:v>
      </x:c>
      <x:c r="V497" s="35" t="n">
        <x:v>13</x:v>
      </x:c>
      <x:c r="W497" s="35" t="n">
        <x:v>20</x:v>
      </x:c>
      <x:c r="X497" s="35" t="n">
        <x:v>88</x:v>
      </x:c>
      <x:c r="Y497" s="35" t="n">
        <x:v>3</x:v>
      </x:c>
      <x:c r="Z497" s="35" t="n">
        <x:v>76</x:v>
      </x:c>
      <x:c r="AA497" s="35" t="n">
        <x:v>5</x:v>
      </x:c>
      <x:c r="AB497" s="35" t="n">
        <x:v>3</x:v>
      </x:c>
      <x:c r="AC497" s="35" t="n">
        <x:v>3</x:v>
      </x:c>
      <x:c r="AD497" s="35" t="n">
        <x:v>53</x:v>
      </x:c>
      <x:c r="AE497" s="35" t="n">
        <x:v>72</x:v>
      </x:c>
      <x:c r="AF497" s="35" t="n">
        <x:v>80</x:v>
      </x:c>
      <x:c r="AG497" s="35" t="n">
        <x:v>100</x:v>
      </x:c>
      <x:c r="AH497" s="35" t="n">
        <x:v>6</x:v>
      </x:c>
      <x:c r="AI497" s="37" t="n">
        <x:v>93.5</x:v>
      </x:c>
      <x:c r="AJ497" s="37" t="n">
        <x:v>98</x:v>
      </x:c>
      <x:c r="AK497" s="35" t="str">
        <x:v>Yes</x:v>
      </x:c>
      <x:c r="AL497" s="38" t="n">
        <x:f>IF(AA497=0,0,AB497/AA497)</x:f>
        <x:v>0.6</x:v>
      </x:c>
      <x:c r="AM497" s="38" t="n">
        <x:f>IF(AB497=0,0,AC497/AB497)</x:f>
        <x:v>1</x:v>
      </x:c>
      <x:c r="AN497" s="37" t="n">
        <x:f>ROUND((AD497*0.20+AE497*0.20+AF497*0.25+AG497*0.15+MIN(100,AC497*12)*0.20),1)</x:f>
        <x:v>67.2</x:v>
      </x:c>
      <x:c r="AO497" s="37" t="n">
        <x:f>ROUND(MAX(0,MIN(100,(X497*0.35)+(W497/45*100*0.20)+((5-O497)/4*100*0.15)+((5-P497)/4*100*0.10)+((6-Y497)/5*100*0.10)+((100-Z497)*0.10))),1)</x:f>
        <x:v>69.3</x:v>
      </x:c>
      <x:c r="AP497" s="37" t="str">
        <x:f>IF(AO497&gt;=70,"High",IF(AO497&gt;=40,"Moderate","Low"))</x:f>
        <x:v>Moderate</x:v>
      </x:c>
      <x:c r="AQ497" s="37" t="n">
        <x:f>ROUND(MAX(0,MIN(100,(O497/4*100*0.25)+(P497/4*100*0.20)+(Q497/4*100*0.15)+(Y497/5*100*0.20)+(100-AO497)*0.20)),1)</x:f>
        <x:v>43.1</x:v>
      </x:c>
      <x:c r="AR497" s="37" t="n">
        <x:f>ROUND((AI497*0.20+AJ497*0.15+AN497*0.18+AG497*0.12+Z497*0.15+AQ497*0.20),1)</x:f>
        <x:v>77.5</x:v>
      </x:c>
      <x:c r="AS497" s="39" t="n">
        <x:f>ROUND((AC497*AF497*120)+(AH497*350)+(MAX(0,AI497-75)*220)+(MAX(0,AQ497-60)*100),0)</x:f>
        <x:v>34970</x:v>
      </x:c>
    </x:row>
    <x:row r="498">
      <x:c r="A498" s="35" t="n">
        <x:v>497</x:v>
      </x:c>
      <x:c r="B498" s="35" t="n">
        <x:v>40</x:v>
      </x:c>
      <x:c r="C498" s="35" t="str">
        <x:v>Male</x:v>
      </x:c>
      <x:c r="D498" s="35" t="str">
        <x:v>Information Technology</x:v>
      </x:c>
      <x:c r="E498" s="35" t="str">
        <x:v>Software Engineer</x:v>
      </x:c>
      <x:c r="F498" s="35" t="str">
        <x:v>Computer Science</x:v>
      </x:c>
      <x:c r="G498" s="35" t="str">
        <x:v>Divorced</x:v>
      </x:c>
      <x:c r="H498" s="35" t="n">
        <x:v>2</x:v>
      </x:c>
      <x:c r="I498" s="36" t="n">
        <x:v>10700</x:v>
      </x:c>
      <x:c r="J498" s="35" t="n">
        <x:v>13</x:v>
      </x:c>
      <x:c r="K498" s="35" t="n">
        <x:v>4</x:v>
      </x:c>
      <x:c r="L498" s="35" t="n">
        <x:v>3</x:v>
      </x:c>
      <x:c r="M498" s="35" t="n">
        <x:v>6</x:v>
      </x:c>
      <x:c r="N498" s="35" t="str">
        <x:v>No</x:v>
      </x:c>
      <x:c r="O498" s="35" t="n">
        <x:v>3</x:v>
      </x:c>
      <x:c r="P498" s="35" t="n">
        <x:v>4</x:v>
      </x:c>
      <x:c r="Q498" s="35" t="n">
        <x:v>3</x:v>
      </x:c>
      <x:c r="R498" s="35" t="n">
        <x:v>3</x:v>
      </x:c>
      <x:c r="S498" s="35" t="n">
        <x:v>3</x:v>
      </x:c>
      <x:c r="T498" s="35" t="n">
        <x:v>2</x:v>
      </x:c>
      <x:c r="U498" s="35" t="n">
        <x:v>1</x:v>
      </x:c>
      <x:c r="V498" s="35" t="n">
        <x:v>4</x:v>
      </x:c>
      <x:c r="W498" s="35" t="n">
        <x:v>0</x:v>
      </x:c>
      <x:c r="X498" s="35" t="n">
        <x:v>48</x:v>
      </x:c>
      <x:c r="Y498" s="35" t="n">
        <x:v>5</x:v>
      </x:c>
      <x:c r="Z498" s="35" t="n">
        <x:v>100</x:v>
      </x:c>
      <x:c r="AA498" s="35" t="n">
        <x:v>7</x:v>
      </x:c>
      <x:c r="AB498" s="35" t="n">
        <x:v>6</x:v>
      </x:c>
      <x:c r="AC498" s="35" t="n">
        <x:v>6</x:v>
      </x:c>
      <x:c r="AD498" s="35" t="n">
        <x:v>87</x:v>
      </x:c>
      <x:c r="AE498" s="35" t="n">
        <x:v>79</x:v>
      </x:c>
      <x:c r="AF498" s="35" t="n">
        <x:v>83</x:v>
      </x:c>
      <x:c r="AG498" s="35" t="n">
        <x:v>100</x:v>
      </x:c>
      <x:c r="AH498" s="35" t="n">
        <x:v>8</x:v>
      </x:c>
      <x:c r="AI498" s="37" t="n">
        <x:v>100</x:v>
      </x:c>
      <x:c r="AJ498" s="37" t="n">
        <x:v>84.8</x:v>
      </x:c>
      <x:c r="AK498" s="35" t="str">
        <x:v>No</x:v>
      </x:c>
      <x:c r="AL498" s="38" t="n">
        <x:f>IF(AA498=0,0,AB498/AA498)</x:f>
        <x:v>0.8571428571428571</x:v>
      </x:c>
      <x:c r="AM498" s="38" t="n">
        <x:f>IF(AB498=0,0,AC498/AB498)</x:f>
        <x:v>1</x:v>
      </x:c>
      <x:c r="AN498" s="37" t="n">
        <x:f>ROUND((AD498*0.20+AE498*0.20+AF498*0.25+AG498*0.15+MIN(100,AC498*12)*0.20),1)</x:f>
        <x:v>83.4</x:v>
      </x:c>
      <x:c r="AO498" s="37" t="n">
        <x:f>ROUND(MAX(0,MIN(100,(X498*0.35)+(W498/45*100*0.20)+((5-O498)/4*100*0.15)+((5-P498)/4*100*0.10)+((6-Y498)/5*100*0.10)+((100-Z498)*0.10))),1)</x:f>
        <x:v>28.8</x:v>
      </x:c>
      <x:c r="AP498" s="37" t="str">
        <x:f>IF(AO498&gt;=70,"High",IF(AO498&gt;=40,"Moderate","Low"))</x:f>
        <x:v>Low</x:v>
      </x:c>
      <x:c r="AQ498" s="37" t="n">
        <x:f>ROUND(MAX(0,MIN(100,(O498/4*100*0.25)+(P498/4*100*0.20)+(Q498/4*100*0.15)+(Y498/5*100*0.20)+(100-AO498)*0.20)),1)</x:f>
        <x:v>84.2</x:v>
      </x:c>
      <x:c r="AR498" s="37" t="n">
        <x:f>ROUND((AI498*0.20+AJ498*0.15+AN498*0.18+AG498*0.12+Z498*0.15+AQ498*0.20),1)</x:f>
        <x:v>91.6</x:v>
      </x:c>
      <x:c r="AS498" s="39" t="n">
        <x:f>ROUND((AC498*AF498*120)+(AH498*350)+(MAX(0,AI498-75)*220)+(MAX(0,AQ498-60)*100),0)</x:f>
        <x:v>70480</x:v>
      </x:c>
    </x:row>
    <x:row r="499">
      <x:c r="A499" s="35" t="n">
        <x:v>498</x:v>
      </x:c>
      <x:c r="B499" s="35" t="n">
        <x:v>31</x:v>
      </x:c>
      <x:c r="C499" s="35" t="str">
        <x:v>Female</x:v>
      </x:c>
      <x:c r="D499" s="35" t="str">
        <x:v>Marketing</x:v>
      </x:c>
      <x:c r="E499" s="35" t="str">
        <x:v>Marketing Specialist</x:v>
      </x:c>
      <x:c r="F499" s="35" t="str">
        <x:v>Human Resources</x:v>
      </x:c>
      <x:c r="G499" s="35" t="str">
        <x:v>Married</x:v>
      </x:c>
      <x:c r="H499" s="35" t="n">
        <x:v>2</x:v>
      </x:c>
      <x:c r="I499" s="36" t="n">
        <x:v>9160</x:v>
      </x:c>
      <x:c r="J499" s="35" t="n">
        <x:v>6</x:v>
      </x:c>
      <x:c r="K499" s="35" t="n">
        <x:v>4</x:v>
      </x:c>
      <x:c r="L499" s="35" t="n">
        <x:v>2</x:v>
      </x:c>
      <x:c r="M499" s="35" t="n">
        <x:v>2</x:v>
      </x:c>
      <x:c r="N499" s="35" t="str">
        <x:v>No</x:v>
      </x:c>
      <x:c r="O499" s="35" t="n">
        <x:v>2</x:v>
      </x:c>
      <x:c r="P499" s="35" t="n">
        <x:v>4</x:v>
      </x:c>
      <x:c r="Q499" s="35" t="n">
        <x:v>2</x:v>
      </x:c>
      <x:c r="R499" s="35" t="n">
        <x:v>3</x:v>
      </x:c>
      <x:c r="S499" s="35" t="n">
        <x:v>3</x:v>
      </x:c>
      <x:c r="T499" s="35" t="n">
        <x:v>5</x:v>
      </x:c>
      <x:c r="U499" s="35" t="n">
        <x:v>1</x:v>
      </x:c>
      <x:c r="V499" s="35" t="n">
        <x:v>1</x:v>
      </x:c>
      <x:c r="W499" s="35" t="n">
        <x:v>8</x:v>
      </x:c>
      <x:c r="X499" s="35" t="n">
        <x:v>68</x:v>
      </x:c>
      <x:c r="Y499" s="35" t="n">
        <x:v>4</x:v>
      </x:c>
      <x:c r="Z499" s="35" t="n">
        <x:v>100</x:v>
      </x:c>
      <x:c r="AA499" s="35" t="n">
        <x:v>2</x:v>
      </x:c>
      <x:c r="AB499" s="35" t="n">
        <x:v>2</x:v>
      </x:c>
      <x:c r="AC499" s="35" t="n">
        <x:v>2</x:v>
      </x:c>
      <x:c r="AD499" s="35" t="n">
        <x:v>57</x:v>
      </x:c>
      <x:c r="AE499" s="35" t="n">
        <x:v>70</x:v>
      </x:c>
      <x:c r="AF499" s="35" t="n">
        <x:v>96</x:v>
      </x:c>
      <x:c r="AG499" s="35" t="n">
        <x:v>89</x:v>
      </x:c>
      <x:c r="AH499" s="35" t="n">
        <x:v>5</x:v>
      </x:c>
      <x:c r="AI499" s="37" t="n">
        <x:v>97.6</x:v>
      </x:c>
      <x:c r="AJ499" s="37" t="n">
        <x:v>83.6</x:v>
      </x:c>
      <x:c r="AK499" s="35" t="str">
        <x:v>No</x:v>
      </x:c>
      <x:c r="AL499" s="38" t="n">
        <x:f>IF(AA499=0,0,AB499/AA499)</x:f>
        <x:v>1</x:v>
      </x:c>
      <x:c r="AM499" s="38" t="n">
        <x:f>IF(AB499=0,0,AC499/AB499)</x:f>
        <x:v>1</x:v>
      </x:c>
      <x:c r="AN499" s="37" t="n">
        <x:f>ROUND((AD499*0.20+AE499*0.20+AF499*0.25+AG499*0.15+MIN(100,AC499*12)*0.20),1)</x:f>
        <x:v>67.6</x:v>
      </x:c>
      <x:c r="AO499" s="37" t="n">
        <x:f>ROUND(MAX(0,MIN(100,(X499*0.35)+(W499/45*100*0.20)+((5-O499)/4*100*0.15)+((5-P499)/4*100*0.10)+((6-Y499)/5*100*0.10)+((100-Z499)*0.10))),1)</x:f>
        <x:v>45.1</x:v>
      </x:c>
      <x:c r="AP499" s="37" t="str">
        <x:f>IF(AO499&gt;=70,"High",IF(AO499&gt;=40,"Moderate","Low"))</x:f>
        <x:v>Moderate</x:v>
      </x:c>
      <x:c r="AQ499" s="37" t="n">
        <x:f>ROUND(MAX(0,MIN(100,(O499/4*100*0.25)+(P499/4*100*0.20)+(Q499/4*100*0.15)+(Y499/5*100*0.20)+(100-AO499)*0.20)),1)</x:f>
        <x:v>67</x:v>
      </x:c>
      <x:c r="AR499" s="37" t="n">
        <x:f>ROUND((AI499*0.20+AJ499*0.15+AN499*0.18+AG499*0.12+Z499*0.15+AQ499*0.20),1)</x:f>
        <x:v>83.3</x:v>
      </x:c>
      <x:c r="AS499" s="39" t="n">
        <x:f>ROUND((AC499*AF499*120)+(AH499*350)+(MAX(0,AI499-75)*220)+(MAX(0,AQ499-60)*100),0)</x:f>
        <x:v>30462</x:v>
      </x:c>
    </x:row>
    <x:row r="500">
      <x:c r="A500" s="35" t="n">
        <x:v>499</x:v>
      </x:c>
      <x:c r="B500" s="35" t="n">
        <x:v>34</x:v>
      </x:c>
      <x:c r="C500" s="35" t="str">
        <x:v>Female</x:v>
      </x:c>
      <x:c r="D500" s="35" t="str">
        <x:v>Human Resources</x:v>
      </x:c>
      <x:c r="E500" s="35" t="str">
        <x:v>HR Manager</x:v>
      </x:c>
      <x:c r="F500" s="35" t="str">
        <x:v>Life Sciences</x:v>
      </x:c>
      <x:c r="G500" s="35" t="str">
        <x:v>Divorced</x:v>
      </x:c>
      <x:c r="H500" s="35" t="n">
        <x:v>2</x:v>
      </x:c>
      <x:c r="I500" s="36" t="n">
        <x:v>7050</x:v>
      </x:c>
      <x:c r="J500" s="35" t="n">
        <x:v>6</x:v>
      </x:c>
      <x:c r="K500" s="35" t="n">
        <x:v>3</x:v>
      </x:c>
      <x:c r="L500" s="35" t="n">
        <x:v>1</x:v>
      </x:c>
      <x:c r="M500" s="35" t="n">
        <x:v>23</x:v>
      </x:c>
      <x:c r="N500" s="35" t="str">
        <x:v>No</x:v>
      </x:c>
      <x:c r="O500" s="35" t="n">
        <x:v>3</x:v>
      </x:c>
      <x:c r="P500" s="35" t="n">
        <x:v>2</x:v>
      </x:c>
      <x:c r="Q500" s="35" t="n">
        <x:v>3</x:v>
      </x:c>
      <x:c r="R500" s="35" t="n">
        <x:v>3</x:v>
      </x:c>
      <x:c r="S500" s="35" t="n">
        <x:v>4</x:v>
      </x:c>
      <x:c r="T500" s="35" t="n">
        <x:v>4</x:v>
      </x:c>
      <x:c r="U500" s="35" t="n">
        <x:v>1</x:v>
      </x:c>
      <x:c r="V500" s="35" t="n">
        <x:v>16</x:v>
      </x:c>
      <x:c r="W500" s="35" t="n">
        <x:v>0</x:v>
      </x:c>
      <x:c r="X500" s="35" t="n">
        <x:v>99</x:v>
      </x:c>
      <x:c r="Y500" s="35" t="n">
        <x:v>5</x:v>
      </x:c>
      <x:c r="Z500" s="35" t="n">
        <x:v>91</x:v>
      </x:c>
      <x:c r="AA500" s="35" t="n">
        <x:v>5</x:v>
      </x:c>
      <x:c r="AB500" s="35" t="n">
        <x:v>2</x:v>
      </x:c>
      <x:c r="AC500" s="35" t="n">
        <x:v>2</x:v>
      </x:c>
      <x:c r="AD500" s="35" t="n">
        <x:v>74</x:v>
      </x:c>
      <x:c r="AE500" s="35" t="n">
        <x:v>71</x:v>
      </x:c>
      <x:c r="AF500" s="35" t="n">
        <x:v>73</x:v>
      </x:c>
      <x:c r="AG500" s="35" t="n">
        <x:v>87</x:v>
      </x:c>
      <x:c r="AH500" s="35" t="n">
        <x:v>4</x:v>
      </x:c>
      <x:c r="AI500" s="37" t="n">
        <x:v>100</x:v>
      </x:c>
      <x:c r="AJ500" s="37" t="n">
        <x:v>98.6</x:v>
      </x:c>
      <x:c r="AK500" s="35" t="str">
        <x:v>No</x:v>
      </x:c>
      <x:c r="AL500" s="38" t="n">
        <x:f>IF(AA500=0,0,AB500/AA500)</x:f>
        <x:v>0.4</x:v>
      </x:c>
      <x:c r="AM500" s="38" t="n">
        <x:f>IF(AB500=0,0,AC500/AB500)</x:f>
        <x:v>1</x:v>
      </x:c>
      <x:c r="AN500" s="37" t="n">
        <x:f>ROUND((AD500*0.20+AE500*0.20+AF500*0.25+AG500*0.15+MIN(100,AC500*12)*0.20),1)</x:f>
        <x:v>65.1</x:v>
      </x:c>
      <x:c r="AO500" s="37" t="n">
        <x:f>ROUND(MAX(0,MIN(100,(X500*0.35)+(W500/45*100*0.20)+((5-O500)/4*100*0.15)+((5-P500)/4*100*0.10)+((6-Y500)/5*100*0.10)+((100-Z500)*0.10))),1)</x:f>
        <x:v>52.6</x:v>
      </x:c>
      <x:c r="AP500" s="37" t="str">
        <x:f>IF(AO500&gt;=70,"High",IF(AO500&gt;=40,"Moderate","Low"))</x:f>
        <x:v>Moderate</x:v>
      </x:c>
      <x:c r="AQ500" s="37" t="n">
        <x:f>ROUND(MAX(0,MIN(100,(O500/4*100*0.25)+(P500/4*100*0.20)+(Q500/4*100*0.15)+(Y500/5*100*0.20)+(100-AO500)*0.20)),1)</x:f>
        <x:v>69.5</x:v>
      </x:c>
      <x:c r="AR500" s="37" t="n">
        <x:f>ROUND((AI500*0.20+AJ500*0.15+AN500*0.18+AG500*0.12+Z500*0.15+AQ500*0.20),1)</x:f>
        <x:v>84.5</x:v>
      </x:c>
      <x:c r="AS500" s="39" t="n">
        <x:f>ROUND((AC500*AF500*120)+(AH500*350)+(MAX(0,AI500-75)*220)+(MAX(0,AQ500-60)*100),0)</x:f>
        <x:v>25370</x:v>
      </x:c>
    </x:row>
    <x:row r="501">
      <x:c r="A501" s="35" t="n">
        <x:v>500</x:v>
      </x:c>
      <x:c r="B501" s="35" t="n">
        <x:v>46</x:v>
      </x:c>
      <x:c r="C501" s="35" t="str">
        <x:v>Male</x:v>
      </x:c>
      <x:c r="D501" s="35" t="str">
        <x:v>Information Technology</x:v>
      </x:c>
      <x:c r="E501" s="35" t="str">
        <x:v>IT Manager</x:v>
      </x:c>
      <x:c r="F501" s="35" t="str">
        <x:v>Computer Science</x:v>
      </x:c>
      <x:c r="G501" s="35" t="str">
        <x:v>Married</x:v>
      </x:c>
      <x:c r="H501" s="35" t="n">
        <x:v>4</x:v>
      </x:c>
      <x:c r="I501" s="36" t="n">
        <x:v>26120</x:v>
      </x:c>
      <x:c r="J501" s="35" t="n">
        <x:v>14</x:v>
      </x:c>
      <x:c r="K501" s="35" t="n">
        <x:v>7</x:v>
      </x:c>
      <x:c r="L501" s="35" t="n">
        <x:v>4</x:v>
      </x:c>
      <x:c r="M501" s="35" t="n">
        <x:v>2</x:v>
      </x:c>
      <x:c r="N501" s="35" t="str">
        <x:v>No</x:v>
      </x:c>
      <x:c r="O501" s="35" t="n">
        <x:v>3</x:v>
      </x:c>
      <x:c r="P501" s="35" t="n">
        <x:v>3</x:v>
      </x:c>
      <x:c r="Q501" s="35" t="n">
        <x:v>3</x:v>
      </x:c>
      <x:c r="R501" s="35" t="n">
        <x:v>3</x:v>
      </x:c>
      <x:c r="S501" s="35" t="n">
        <x:v>3</x:v>
      </x:c>
      <x:c r="T501" s="35" t="n">
        <x:v>4</x:v>
      </x:c>
      <x:c r="U501" s="35" t="n">
        <x:v>1</x:v>
      </x:c>
      <x:c r="V501" s="35" t="n">
        <x:v>1</x:v>
      </x:c>
      <x:c r="W501" s="35" t="n">
        <x:v>12</x:v>
      </x:c>
      <x:c r="X501" s="35" t="n">
        <x:v>75</x:v>
      </x:c>
      <x:c r="Y501" s="35" t="n">
        <x:v>4</x:v>
      </x:c>
      <x:c r="Z501" s="35" t="n">
        <x:v>97</x:v>
      </x:c>
      <x:c r="AA501" s="35" t="n">
        <x:v>5</x:v>
      </x:c>
      <x:c r="AB501" s="35" t="n">
        <x:v>4</x:v>
      </x:c>
      <x:c r="AC501" s="35" t="n">
        <x:v>4</x:v>
      </x:c>
      <x:c r="AD501" s="35" t="n">
        <x:v>74</x:v>
      </x:c>
      <x:c r="AE501" s="35" t="n">
        <x:v>69</x:v>
      </x:c>
      <x:c r="AF501" s="35" t="n">
        <x:v>88</x:v>
      </x:c>
      <x:c r="AG501" s="35" t="n">
        <x:v>100</x:v>
      </x:c>
      <x:c r="AH501" s="35" t="n">
        <x:v>7</x:v>
      </x:c>
      <x:c r="AI501" s="37" t="n">
        <x:v>100</x:v>
      </x:c>
      <x:c r="AJ501" s="37" t="n">
        <x:v>97.7</x:v>
      </x:c>
      <x:c r="AK501" s="35" t="str">
        <x:v>No</x:v>
      </x:c>
      <x:c r="AL501" s="38" t="n">
        <x:f>IF(AA501=0,0,AB501/AA501)</x:f>
        <x:v>0.8</x:v>
      </x:c>
      <x:c r="AM501" s="38" t="n">
        <x:f>IF(AB501=0,0,AC501/AB501)</x:f>
        <x:v>1</x:v>
      </x:c>
      <x:c r="AN501" s="37" t="n">
        <x:f>ROUND((AD501*0.20+AE501*0.20+AF501*0.25+AG501*0.15+MIN(100,AC501*12)*0.20),1)</x:f>
        <x:v>75.2</x:v>
      </x:c>
      <x:c r="AO501" s="37" t="n">
        <x:f>ROUND(MAX(0,MIN(100,(X501*0.35)+(W501/45*100*0.20)+((5-O501)/4*100*0.15)+((5-P501)/4*100*0.10)+((6-Y501)/5*100*0.10)+((100-Z501)*0.10))),1)</x:f>
        <x:v>48.4</x:v>
      </x:c>
      <x:c r="AP501" s="37" t="str">
        <x:f>IF(AO501&gt;=70,"High",IF(AO501&gt;=40,"Moderate","Low"))</x:f>
        <x:v>Moderate</x:v>
      </x:c>
      <x:c r="AQ501" s="37" t="n">
        <x:f>ROUND(MAX(0,MIN(100,(O501/4*100*0.25)+(P501/4*100*0.20)+(Q501/4*100*0.15)+(Y501/5*100*0.20)+(100-AO501)*0.20)),1)</x:f>
        <x:v>71.3</x:v>
      </x:c>
      <x:c r="AR501" s="37" t="n">
        <x:f>ROUND((AI501*0.20+AJ501*0.15+AN501*0.18+AG501*0.12+Z501*0.15+AQ501*0.20),1)</x:f>
        <x:v>89</x:v>
      </x:c>
      <x:c r="AS501" s="39" t="n">
        <x:f>ROUND((AC501*AF501*120)+(AH501*350)+(MAX(0,AI501-75)*220)+(MAX(0,AQ501-60)*100),0)</x:f>
        <x:v>51320</x:v>
      </x:c>
    </x:row>
    <x:row r="502">
      <x:c r="A502" s="35" t="n">
        <x:v>501</x:v>
      </x:c>
      <x:c r="B502" s="35" t="n">
        <x:v>27</x:v>
      </x:c>
      <x:c r="C502" s="35" t="str">
        <x:v>Female</x:v>
      </x:c>
      <x:c r="D502" s="35" t="str">
        <x:v>Research &amp; Development</x:v>
      </x:c>
      <x:c r="E502" s="35" t="str">
        <x:v>R&amp;D Manager</x:v>
      </x:c>
      <x:c r="F502" s="35" t="str">
        <x:v>Medical</x:v>
      </x:c>
      <x:c r="G502" s="35" t="str">
        <x:v>Married</x:v>
      </x:c>
      <x:c r="H502" s="35" t="n">
        <x:v>1</x:v>
      </x:c>
      <x:c r="I502" s="36" t="n">
        <x:v>5650</x:v>
      </x:c>
      <x:c r="J502" s="35" t="n">
        <x:v>4</x:v>
      </x:c>
      <x:c r="K502" s="35" t="n">
        <x:v>2</x:v>
      </x:c>
      <x:c r="L502" s="35" t="n">
        <x:v>1</x:v>
      </x:c>
      <x:c r="M502" s="35" t="n">
        <x:v>2</x:v>
      </x:c>
      <x:c r="N502" s="35" t="str">
        <x:v>No</x:v>
      </x:c>
      <x:c r="O502" s="35" t="n">
        <x:v>3</x:v>
      </x:c>
      <x:c r="P502" s="35" t="n">
        <x:v>3</x:v>
      </x:c>
      <x:c r="Q502" s="35" t="n">
        <x:v>3</x:v>
      </x:c>
      <x:c r="R502" s="35" t="n">
        <x:v>3</x:v>
      </x:c>
      <x:c r="S502" s="35" t="n">
        <x:v>3</x:v>
      </x:c>
      <x:c r="T502" s="35" t="n">
        <x:v>1</x:v>
      </x:c>
      <x:c r="U502" s="35" t="n">
        <x:v>1</x:v>
      </x:c>
      <x:c r="V502" s="35" t="n">
        <x:v>5</x:v>
      </x:c>
      <x:c r="W502" s="35" t="n">
        <x:v>6</x:v>
      </x:c>
      <x:c r="X502" s="35" t="n">
        <x:v>61</x:v>
      </x:c>
      <x:c r="Y502" s="35" t="n">
        <x:v>5</x:v>
      </x:c>
      <x:c r="Z502" s="35" t="n">
        <x:v>100</x:v>
      </x:c>
      <x:c r="AA502" s="35" t="n">
        <x:v>7</x:v>
      </x:c>
      <x:c r="AB502" s="35" t="n">
        <x:v>5</x:v>
      </x:c>
      <x:c r="AC502" s="35" t="n">
        <x:v>4</x:v>
      </x:c>
      <x:c r="AD502" s="35" t="n">
        <x:v>61</x:v>
      </x:c>
      <x:c r="AE502" s="35" t="n">
        <x:v>84</x:v>
      </x:c>
      <x:c r="AF502" s="35" t="n">
        <x:v>71</x:v>
      </x:c>
      <x:c r="AG502" s="35" t="n">
        <x:v>84</x:v>
      </x:c>
      <x:c r="AH502" s="35" t="n">
        <x:v>7</x:v>
      </x:c>
      <x:c r="AI502" s="37" t="n">
        <x:v>93.7</x:v>
      </x:c>
      <x:c r="AJ502" s="37" t="n">
        <x:v>91.3</x:v>
      </x:c>
      <x:c r="AK502" s="35" t="str">
        <x:v>No</x:v>
      </x:c>
      <x:c r="AL502" s="38" t="n">
        <x:f>IF(AA502=0,0,AB502/AA502)</x:f>
        <x:v>0.7142857142857143</x:v>
      </x:c>
      <x:c r="AM502" s="38" t="n">
        <x:f>IF(AB502=0,0,AC502/AB502)</x:f>
        <x:v>0.8</x:v>
      </x:c>
      <x:c r="AN502" s="37" t="n">
        <x:f>ROUND((AD502*0.20+AE502*0.20+AF502*0.25+AG502*0.15+MIN(100,AC502*12)*0.20),1)</x:f>
        <x:v>69</x:v>
      </x:c>
      <x:c r="AO502" s="37" t="n">
        <x:f>ROUND(MAX(0,MIN(100,(X502*0.35)+(W502/45*100*0.20)+((5-O502)/4*100*0.15)+((5-P502)/4*100*0.10)+((6-Y502)/5*100*0.10)+((100-Z502)*0.10))),1)</x:f>
        <x:v>38.5</x:v>
      </x:c>
      <x:c r="AP502" s="37" t="str">
        <x:f>IF(AO502&gt;=70,"High",IF(AO502&gt;=40,"Moderate","Low"))</x:f>
        <x:v>Low</x:v>
      </x:c>
      <x:c r="AQ502" s="37" t="n">
        <x:f>ROUND(MAX(0,MIN(100,(O502/4*100*0.25)+(P502/4*100*0.20)+(Q502/4*100*0.15)+(Y502/5*100*0.20)+(100-AO502)*0.20)),1)</x:f>
        <x:v>77.3</x:v>
      </x:c>
      <x:c r="AR502" s="37" t="n">
        <x:f>ROUND((AI502*0.20+AJ502*0.15+AN502*0.18+AG502*0.12+Z502*0.15+AQ502*0.20),1)</x:f>
        <x:v>85.4</x:v>
      </x:c>
      <x:c r="AS502" s="39" t="n">
        <x:f>ROUND((AC502*AF502*120)+(AH502*350)+(MAX(0,AI502-75)*220)+(MAX(0,AQ502-60)*100),0)</x:f>
        <x:v>42374</x:v>
      </x:c>
    </x:row>
    <x:row r="503">
      <x:c r="A503" s="35" t="n">
        <x:v>502</x:v>
      </x:c>
      <x:c r="B503" s="35" t="n">
        <x:v>28</x:v>
      </x:c>
      <x:c r="C503" s="35" t="str">
        <x:v>Female</x:v>
      </x:c>
      <x:c r="D503" s="35" t="str">
        <x:v>Finance</x:v>
      </x:c>
      <x:c r="E503" s="35" t="str">
        <x:v>Accountant</x:v>
      </x:c>
      <x:c r="F503" s="35" t="str">
        <x:v>Human Resources</x:v>
      </x:c>
      <x:c r="G503" s="35" t="str">
        <x:v>Married</x:v>
      </x:c>
      <x:c r="H503" s="35" t="n">
        <x:v>2</x:v>
      </x:c>
      <x:c r="I503" s="36" t="n">
        <x:v>9750</x:v>
      </x:c>
      <x:c r="J503" s="35" t="n">
        <x:v>4</x:v>
      </x:c>
      <x:c r="K503" s="35" t="n">
        <x:v>1</x:v>
      </x:c>
      <x:c r="L503" s="35" t="n">
        <x:v>1</x:v>
      </x:c>
      <x:c r="M503" s="35" t="n">
        <x:v>15</x:v>
      </x:c>
      <x:c r="N503" s="35" t="str">
        <x:v>Yes</x:v>
      </x:c>
      <x:c r="O503" s="35" t="n">
        <x:v>2</x:v>
      </x:c>
      <x:c r="P503" s="35" t="n">
        <x:v>3</x:v>
      </x:c>
      <x:c r="Q503" s="35" t="n">
        <x:v>2</x:v>
      </x:c>
      <x:c r="R503" s="35" t="n">
        <x:v>3</x:v>
      </x:c>
      <x:c r="S503" s="35" t="n">
        <x:v>3</x:v>
      </x:c>
      <x:c r="T503" s="35" t="n">
        <x:v>4</x:v>
      </x:c>
      <x:c r="U503" s="35" t="n">
        <x:v>0</x:v>
      </x:c>
      <x:c r="V503" s="35" t="n">
        <x:v>1</x:v>
      </x:c>
      <x:c r="W503" s="35" t="n">
        <x:v>20</x:v>
      </x:c>
      <x:c r="X503" s="35" t="n">
        <x:v>75</x:v>
      </x:c>
      <x:c r="Y503" s="35" t="n">
        <x:v>4</x:v>
      </x:c>
      <x:c r="Z503" s="35" t="n">
        <x:v>96</x:v>
      </x:c>
      <x:c r="AA503" s="35" t="n">
        <x:v>11</x:v>
      </x:c>
      <x:c r="AB503" s="35" t="n">
        <x:v>10</x:v>
      </x:c>
      <x:c r="AC503" s="35" t="n">
        <x:v>10</x:v>
      </x:c>
      <x:c r="AD503" s="35" t="n">
        <x:v>95</x:v>
      </x:c>
      <x:c r="AE503" s="35" t="n">
        <x:v>89</x:v>
      </x:c>
      <x:c r="AF503" s="35" t="n">
        <x:v>92</x:v>
      </x:c>
      <x:c r="AG503" s="35" t="n">
        <x:v>97</x:v>
      </x:c>
      <x:c r="AH503" s="35" t="n">
        <x:v>12</x:v>
      </x:c>
      <x:c r="AI503" s="37" t="n">
        <x:v>93.3</x:v>
      </x:c>
      <x:c r="AJ503" s="37" t="n">
        <x:v>95.4</x:v>
      </x:c>
      <x:c r="AK503" s="35" t="str">
        <x:v>No</x:v>
      </x:c>
      <x:c r="AL503" s="38" t="n">
        <x:f>IF(AA503=0,0,AB503/AA503)</x:f>
        <x:v>0.9090909090909091</x:v>
      </x:c>
      <x:c r="AM503" s="38" t="n">
        <x:f>IF(AB503=0,0,AC503/AB503)</x:f>
        <x:v>1</x:v>
      </x:c>
      <x:c r="AN503" s="37" t="n">
        <x:f>ROUND((AD503*0.20+AE503*0.20+AF503*0.25+AG503*0.15+MIN(100,AC503*12)*0.20),1)</x:f>
        <x:v>94.4</x:v>
      </x:c>
      <x:c r="AO503" s="37" t="n">
        <x:f>ROUND(MAX(0,MIN(100,(X503*0.35)+(W503/45*100*0.20)+((5-O503)/4*100*0.15)+((5-P503)/4*100*0.10)+((6-Y503)/5*100*0.10)+((100-Z503)*0.10))),1)</x:f>
        <x:v>55.8</x:v>
      </x:c>
      <x:c r="AP503" s="37" t="str">
        <x:f>IF(AO503&gt;=70,"High",IF(AO503&gt;=40,"Moderate","Low"))</x:f>
        <x:v>Moderate</x:v>
      </x:c>
      <x:c r="AQ503" s="37" t="n">
        <x:f>ROUND(MAX(0,MIN(100,(O503/4*100*0.25)+(P503/4*100*0.20)+(Q503/4*100*0.15)+(Y503/5*100*0.20)+(100-AO503)*0.20)),1)</x:f>
        <x:v>59.8</x:v>
      </x:c>
      <x:c r="AR503" s="37" t="n">
        <x:f>ROUND((AI503*0.20+AJ503*0.15+AN503*0.18+AG503*0.12+Z503*0.15+AQ503*0.20),1)</x:f>
        <x:v>88</x:v>
      </x:c>
      <x:c r="AS503" s="39" t="n">
        <x:f>ROUND((AC503*AF503*120)+(AH503*350)+(MAX(0,AI503-75)*220)+(MAX(0,AQ503-60)*100),0)</x:f>
        <x:v>118626</x:v>
      </x:c>
    </x:row>
    <x:row r="504">
      <x:c r="A504" s="35" t="n">
        <x:v>503</x:v>
      </x:c>
      <x:c r="B504" s="35" t="n">
        <x:v>28</x:v>
      </x:c>
      <x:c r="C504" s="35" t="str">
        <x:v>Female</x:v>
      </x:c>
      <x:c r="D504" s="35" t="str">
        <x:v>Research &amp; Development</x:v>
      </x:c>
      <x:c r="E504" s="35" t="str">
        <x:v>Laboratory Technician</x:v>
      </x:c>
      <x:c r="F504" s="35" t="str">
        <x:v>Life Sciences</x:v>
      </x:c>
      <x:c r="G504" s="35" t="str">
        <x:v>Married</x:v>
      </x:c>
      <x:c r="H504" s="35" t="n">
        <x:v>1</x:v>
      </x:c>
      <x:c r="I504" s="36" t="n">
        <x:v>4280</x:v>
      </x:c>
      <x:c r="J504" s="35" t="n">
        <x:v>6</x:v>
      </x:c>
      <x:c r="K504" s="35" t="n">
        <x:v>5</x:v>
      </x:c>
      <x:c r="L504" s="35" t="n">
        <x:v>3</x:v>
      </x:c>
      <x:c r="M504" s="35" t="n">
        <x:v>7</x:v>
      </x:c>
      <x:c r="N504" s="35" t="str">
        <x:v>Yes</x:v>
      </x:c>
      <x:c r="O504" s="35" t="n">
        <x:v>3</x:v>
      </x:c>
      <x:c r="P504" s="35" t="n">
        <x:v>2</x:v>
      </x:c>
      <x:c r="Q504" s="35" t="n">
        <x:v>3</x:v>
      </x:c>
      <x:c r="R504" s="35" t="n">
        <x:v>3</x:v>
      </x:c>
      <x:c r="S504" s="35" t="n">
        <x:v>3</x:v>
      </x:c>
      <x:c r="T504" s="35" t="n">
        <x:v>2</x:v>
      </x:c>
      <x:c r="U504" s="35" t="n">
        <x:v>1</x:v>
      </x:c>
      <x:c r="V504" s="35" t="n">
        <x:v>11</x:v>
      </x:c>
      <x:c r="W504" s="35" t="n">
        <x:v>30</x:v>
      </x:c>
      <x:c r="X504" s="35" t="n">
        <x:v>48</x:v>
      </x:c>
      <x:c r="Y504" s="35" t="n">
        <x:v>3</x:v>
      </x:c>
      <x:c r="Z504" s="35" t="n">
        <x:v>87</x:v>
      </x:c>
      <x:c r="AA504" s="35" t="n">
        <x:v>5</x:v>
      </x:c>
      <x:c r="AB504" s="35" t="n">
        <x:v>4</x:v>
      </x:c>
      <x:c r="AC504" s="35" t="n">
        <x:v>2</x:v>
      </x:c>
      <x:c r="AD504" s="35" t="n">
        <x:v>83</x:v>
      </x:c>
      <x:c r="AE504" s="35" t="n">
        <x:v>88</x:v>
      </x:c>
      <x:c r="AF504" s="35" t="n">
        <x:v>76</x:v>
      </x:c>
      <x:c r="AG504" s="35" t="n">
        <x:v>93</x:v>
      </x:c>
      <x:c r="AH504" s="35" t="n">
        <x:v>6</x:v>
      </x:c>
      <x:c r="AI504" s="37" t="n">
        <x:v>91.2</x:v>
      </x:c>
      <x:c r="AJ504" s="37" t="n">
        <x:v>97.7</x:v>
      </x:c>
      <x:c r="AK504" s="35" t="str">
        <x:v>No</x:v>
      </x:c>
      <x:c r="AL504" s="38" t="n">
        <x:f>IF(AA504=0,0,AB504/AA504)</x:f>
        <x:v>0.8</x:v>
      </x:c>
      <x:c r="AM504" s="38" t="n">
        <x:f>IF(AB504=0,0,AC504/AB504)</x:f>
        <x:v>0.5</x:v>
      </x:c>
      <x:c r="AN504" s="37" t="n">
        <x:f>ROUND((AD504*0.20+AE504*0.20+AF504*0.25+AG504*0.15+MIN(100,AC504*12)*0.20),1)</x:f>
        <x:v>72</x:v>
      </x:c>
      <x:c r="AO504" s="37" t="n">
        <x:f>ROUND(MAX(0,MIN(100,(X504*0.35)+(W504/45*100*0.20)+((5-O504)/4*100*0.15)+((5-P504)/4*100*0.10)+((6-Y504)/5*100*0.10)+((100-Z504)*0.10))),1)</x:f>
        <x:v>52.4</x:v>
      </x:c>
      <x:c r="AP504" s="37" t="str">
        <x:f>IF(AO504&gt;=70,"High",IF(AO504&gt;=40,"Moderate","Low"))</x:f>
        <x:v>Moderate</x:v>
      </x:c>
      <x:c r="AQ504" s="37" t="n">
        <x:f>ROUND(MAX(0,MIN(100,(O504/4*100*0.25)+(P504/4*100*0.20)+(Q504/4*100*0.15)+(Y504/5*100*0.20)+(100-AO504)*0.20)),1)</x:f>
        <x:v>61.5</x:v>
      </x:c>
      <x:c r="AR504" s="37" t="n">
        <x:f>ROUND((AI504*0.20+AJ504*0.15+AN504*0.18+AG504*0.12+Z504*0.15+AQ504*0.20),1)</x:f>
        <x:v>82.4</x:v>
      </x:c>
      <x:c r="AS504" s="39" t="n">
        <x:f>ROUND((AC504*AF504*120)+(AH504*350)+(MAX(0,AI504-75)*220)+(MAX(0,AQ504-60)*100),0)</x:f>
        <x:v>24054</x:v>
      </x:c>
    </x:row>
    <x:row r="505">
      <x:c r="A505" s="35" t="n">
        <x:v>504</x:v>
      </x:c>
      <x:c r="B505" s="35" t="n">
        <x:v>44</x:v>
      </x:c>
      <x:c r="C505" s="35" t="str">
        <x:v>Female</x:v>
      </x:c>
      <x:c r="D505" s="35" t="str">
        <x:v>Research &amp; Development</x:v>
      </x:c>
      <x:c r="E505" s="35" t="str">
        <x:v>Laboratory Technician</x:v>
      </x:c>
      <x:c r="F505" s="35" t="str">
        <x:v>Medical</x:v>
      </x:c>
      <x:c r="G505" s="35" t="str">
        <x:v>Single</x:v>
      </x:c>
      <x:c r="H505" s="35" t="n">
        <x:v>2</x:v>
      </x:c>
      <x:c r="I505" s="36" t="n">
        <x:v>7910</x:v>
      </x:c>
      <x:c r="J505" s="35" t="n">
        <x:v>20</x:v>
      </x:c>
      <x:c r="K505" s="35" t="n">
        <x:v>7</x:v>
      </x:c>
      <x:c r="L505" s="35" t="n">
        <x:v>2</x:v>
      </x:c>
      <x:c r="M505" s="35" t="n">
        <x:v>38</x:v>
      </x:c>
      <x:c r="N505" s="35" t="str">
        <x:v>No</x:v>
      </x:c>
      <x:c r="O505" s="35" t="n">
        <x:v>2</x:v>
      </x:c>
      <x:c r="P505" s="35" t="n">
        <x:v>1</x:v>
      </x:c>
      <x:c r="Q505" s="35" t="n">
        <x:v>2</x:v>
      </x:c>
      <x:c r="R505" s="35" t="n">
        <x:v>2</x:v>
      </x:c>
      <x:c r="S505" s="35" t="n">
        <x:v>3</x:v>
      </x:c>
      <x:c r="T505" s="35" t="n">
        <x:v>2</x:v>
      </x:c>
      <x:c r="U505" s="35" t="n">
        <x:v>2</x:v>
      </x:c>
      <x:c r="V505" s="35" t="n">
        <x:v>12</x:v>
      </x:c>
      <x:c r="W505" s="35" t="n">
        <x:v>17</x:v>
      </x:c>
      <x:c r="X505" s="35" t="n">
        <x:v>83</x:v>
      </x:c>
      <x:c r="Y505" s="35" t="n">
        <x:v>2</x:v>
      </x:c>
      <x:c r="Z505" s="35" t="n">
        <x:v>58</x:v>
      </x:c>
      <x:c r="AA505" s="35" t="n">
        <x:v>3</x:v>
      </x:c>
      <x:c r="AB505" s="35" t="n">
        <x:v>1</x:v>
      </x:c>
      <x:c r="AC505" s="35" t="n">
        <x:v>0</x:v>
      </x:c>
      <x:c r="AD505" s="35" t="n">
        <x:v>69</x:v>
      </x:c>
      <x:c r="AE505" s="35" t="n">
        <x:v>86</x:v>
      </x:c>
      <x:c r="AF505" s="35" t="n">
        <x:v>56</x:v>
      </x:c>
      <x:c r="AG505" s="35" t="n">
        <x:v>69</x:v>
      </x:c>
      <x:c r="AH505" s="35" t="n">
        <x:v>4</x:v>
      </x:c>
      <x:c r="AI505" s="37" t="n">
        <x:v>95.4</x:v>
      </x:c>
      <x:c r="AJ505" s="37" t="n">
        <x:v>87.1</x:v>
      </x:c>
      <x:c r="AK505" s="35" t="str">
        <x:v>Yes</x:v>
      </x:c>
      <x:c r="AL505" s="38" t="n">
        <x:f>IF(AA505=0,0,AB505/AA505)</x:f>
        <x:v>0.3333333333333333</x:v>
      </x:c>
      <x:c r="AM505" s="38" t="n">
        <x:f>IF(AB505=0,0,AC505/AB505)</x:f>
        <x:v>0</x:v>
      </x:c>
      <x:c r="AN505" s="37" t="n">
        <x:f>ROUND((AD505*0.20+AE505*0.20+AF505*0.25+AG505*0.15+MIN(100,AC505*12)*0.20),1)</x:f>
        <x:v>55.4</x:v>
      </x:c>
      <x:c r="AO505" s="37" t="n">
        <x:f>ROUND(MAX(0,MIN(100,(X505*0.35)+(W505/45*100*0.20)+((5-O505)/4*100*0.15)+((5-P505)/4*100*0.10)+((6-Y505)/5*100*0.10)+((100-Z505)*0.10))),1)</x:f>
        <x:v>70.1</x:v>
      </x:c>
      <x:c r="AP505" s="37" t="str">
        <x:f>IF(AO505&gt;=70,"High",IF(AO505&gt;=40,"Moderate","Low"))</x:f>
        <x:v>High</x:v>
      </x:c>
      <x:c r="AQ505" s="37" t="n">
        <x:f>ROUND(MAX(0,MIN(100,(O505/4*100*0.25)+(P505/4*100*0.20)+(Q505/4*100*0.15)+(Y505/5*100*0.20)+(100-AO505)*0.20)),1)</x:f>
        <x:v>39</x:v>
      </x:c>
      <x:c r="AR505" s="37" t="n">
        <x:f>ROUND((AI505*0.20+AJ505*0.15+AN505*0.18+AG505*0.12+Z505*0.15+AQ505*0.20),1)</x:f>
        <x:v>66.9</x:v>
      </x:c>
      <x:c r="AS505" s="39" t="n">
        <x:f>ROUND((AC505*AF505*120)+(AH505*350)+(MAX(0,AI505-75)*220)+(MAX(0,AQ505-60)*100),0)</x:f>
        <x:v>5888</x:v>
      </x:c>
    </x:row>
    <x:row r="506">
      <x:c r="A506" s="35" t="n">
        <x:v>505</x:v>
      </x:c>
      <x:c r="B506" s="35" t="n">
        <x:v>40</x:v>
      </x:c>
      <x:c r="C506" s="35" t="str">
        <x:v>Male</x:v>
      </x:c>
      <x:c r="D506" s="35" t="str">
        <x:v>Sales</x:v>
      </x:c>
      <x:c r="E506" s="35" t="str">
        <x:v>Sales Representative</x:v>
      </x:c>
      <x:c r="F506" s="35" t="str">
        <x:v>Life Sciences</x:v>
      </x:c>
      <x:c r="G506" s="35" t="str">
        <x:v>Married</x:v>
      </x:c>
      <x:c r="H506" s="35" t="n">
        <x:v>3</x:v>
      </x:c>
      <x:c r="I506" s="36" t="n">
        <x:v>17380</x:v>
      </x:c>
      <x:c r="J506" s="35" t="n">
        <x:v>13</x:v>
      </x:c>
      <x:c r="K506" s="35" t="n">
        <x:v>11</x:v>
      </x:c>
      <x:c r="L506" s="35" t="n">
        <x:v>4</x:v>
      </x:c>
      <x:c r="M506" s="35" t="n">
        <x:v>8</x:v>
      </x:c>
      <x:c r="N506" s="35" t="str">
        <x:v>Yes</x:v>
      </x:c>
      <x:c r="O506" s="35" t="n">
        <x:v>2</x:v>
      </x:c>
      <x:c r="P506" s="35" t="n">
        <x:v>2</x:v>
      </x:c>
      <x:c r="Q506" s="35" t="n">
        <x:v>4</x:v>
      </x:c>
      <x:c r="R506" s="35" t="n">
        <x:v>4</x:v>
      </x:c>
      <x:c r="S506" s="35" t="n">
        <x:v>3</x:v>
      </x:c>
      <x:c r="T506" s="35" t="n">
        <x:v>5</x:v>
      </x:c>
      <x:c r="U506" s="35" t="n">
        <x:v>1</x:v>
      </x:c>
      <x:c r="V506" s="35" t="n">
        <x:v>6</x:v>
      </x:c>
      <x:c r="W506" s="35" t="n">
        <x:v>10</x:v>
      </x:c>
      <x:c r="X506" s="35" t="n">
        <x:v>77</x:v>
      </x:c>
      <x:c r="Y506" s="35" t="n">
        <x:v>4</x:v>
      </x:c>
      <x:c r="Z506" s="35" t="n">
        <x:v>100</x:v>
      </x:c>
      <x:c r="AA506" s="35" t="n">
        <x:v>7</x:v>
      </x:c>
      <x:c r="AB506" s="35" t="n">
        <x:v>5</x:v>
      </x:c>
      <x:c r="AC506" s="35" t="n">
        <x:v>5</x:v>
      </x:c>
      <x:c r="AD506" s="35" t="n">
        <x:v>77</x:v>
      </x:c>
      <x:c r="AE506" s="35" t="n">
        <x:v>79</x:v>
      </x:c>
      <x:c r="AF506" s="35" t="n">
        <x:v>87</x:v>
      </x:c>
      <x:c r="AG506" s="35" t="n">
        <x:v>93</x:v>
      </x:c>
      <x:c r="AH506" s="35" t="n">
        <x:v>10</x:v>
      </x:c>
      <x:c r="AI506" s="37" t="n">
        <x:v>91.2</x:v>
      </x:c>
      <x:c r="AJ506" s="37" t="n">
        <x:v>99.2</x:v>
      </x:c>
      <x:c r="AK506" s="35" t="str">
        <x:v>No</x:v>
      </x:c>
      <x:c r="AL506" s="38" t="n">
        <x:f>IF(AA506=0,0,AB506/AA506)</x:f>
        <x:v>0.7142857142857143</x:v>
      </x:c>
      <x:c r="AM506" s="38" t="n">
        <x:f>IF(AB506=0,0,AC506/AB506)</x:f>
        <x:v>1</x:v>
      </x:c>
      <x:c r="AN506" s="37" t="n">
        <x:f>ROUND((AD506*0.20+AE506*0.20+AF506*0.25+AG506*0.15+MIN(100,AC506*12)*0.20),1)</x:f>
        <x:v>78.9</x:v>
      </x:c>
      <x:c r="AO506" s="37" t="n">
        <x:f>ROUND(MAX(0,MIN(100,(X506*0.35)+(W506/45*100*0.20)+((5-O506)/4*100*0.15)+((5-P506)/4*100*0.10)+((6-Y506)/5*100*0.10)+((100-Z506)*0.10))),1)</x:f>
        <x:v>54.1</x:v>
      </x:c>
      <x:c r="AP506" s="37" t="str">
        <x:f>IF(AO506&gt;=70,"High",IF(AO506&gt;=40,"Moderate","Low"))</x:f>
        <x:v>Moderate</x:v>
      </x:c>
      <x:c r="AQ506" s="37" t="n">
        <x:f>ROUND(MAX(0,MIN(100,(O506/4*100*0.25)+(P506/4*100*0.20)+(Q506/4*100*0.15)+(Y506/5*100*0.20)+(100-AO506)*0.20)),1)</x:f>
        <x:v>62.7</x:v>
      </x:c>
      <x:c r="AR506" s="37" t="n">
        <x:f>ROUND((AI506*0.20+AJ506*0.15+AN506*0.18+AG506*0.12+Z506*0.15+AQ506*0.20),1)</x:f>
        <x:v>86</x:v>
      </x:c>
      <x:c r="AS506" s="39" t="n">
        <x:f>ROUND((AC506*AF506*120)+(AH506*350)+(MAX(0,AI506-75)*220)+(MAX(0,AQ506-60)*100),0)</x:f>
        <x:v>59534</x:v>
      </x:c>
    </x:row>
    <x:row r="507">
      <x:c r="A507" s="35" t="n">
        <x:v>506</x:v>
      </x:c>
      <x:c r="B507" s="35" t="n">
        <x:v>24</x:v>
      </x:c>
      <x:c r="C507" s="35" t="str">
        <x:v>Male</x:v>
      </x:c>
      <x:c r="D507" s="35" t="str">
        <x:v>Operations</x:v>
      </x:c>
      <x:c r="E507" s="35" t="str">
        <x:v>Operations Specialist</x:v>
      </x:c>
      <x:c r="F507" s="35" t="str">
        <x:v>Medical</x:v>
      </x:c>
      <x:c r="G507" s="35" t="str">
        <x:v>Single</x:v>
      </x:c>
      <x:c r="H507" s="35" t="n">
        <x:v>1</x:v>
      </x:c>
      <x:c r="I507" s="36" t="n">
        <x:v>6560</x:v>
      </x:c>
      <x:c r="J507" s="35" t="n">
        <x:v>1</x:v>
      </x:c>
      <x:c r="K507" s="35" t="n">
        <x:v>1</x:v>
      </x:c>
      <x:c r="L507" s="35" t="n">
        <x:v>1</x:v>
      </x:c>
      <x:c r="M507" s="35" t="n">
        <x:v>4</x:v>
      </x:c>
      <x:c r="N507" s="35" t="str">
        <x:v>Yes</x:v>
      </x:c>
      <x:c r="O507" s="35" t="n">
        <x:v>2</x:v>
      </x:c>
      <x:c r="P507" s="35" t="n">
        <x:v>3</x:v>
      </x:c>
      <x:c r="Q507" s="35" t="n">
        <x:v>3</x:v>
      </x:c>
      <x:c r="R507" s="35" t="n">
        <x:v>1</x:v>
      </x:c>
      <x:c r="S507" s="35" t="n">
        <x:v>3</x:v>
      </x:c>
      <x:c r="T507" s="35" t="n">
        <x:v>4</x:v>
      </x:c>
      <x:c r="U507" s="35" t="n">
        <x:v>1</x:v>
      </x:c>
      <x:c r="V507" s="35" t="n">
        <x:v>11</x:v>
      </x:c>
      <x:c r="W507" s="35" t="n">
        <x:v>21</x:v>
      </x:c>
      <x:c r="X507" s="35" t="n">
        <x:v>78</x:v>
      </x:c>
      <x:c r="Y507" s="35" t="n">
        <x:v>4</x:v>
      </x:c>
      <x:c r="Z507" s="35" t="n">
        <x:v>78</x:v>
      </x:c>
      <x:c r="AA507" s="35" t="n">
        <x:v>3</x:v>
      </x:c>
      <x:c r="AB507" s="35" t="n">
        <x:v>2</x:v>
      </x:c>
      <x:c r="AC507" s="35" t="n">
        <x:v>1</x:v>
      </x:c>
      <x:c r="AD507" s="35" t="n">
        <x:v>62</x:v>
      </x:c>
      <x:c r="AE507" s="35" t="n">
        <x:v>81</x:v>
      </x:c>
      <x:c r="AF507" s="35" t="n">
        <x:v>71</x:v>
      </x:c>
      <x:c r="AG507" s="35" t="n">
        <x:v>85</x:v>
      </x:c>
      <x:c r="AH507" s="35" t="n">
        <x:v>4</x:v>
      </x:c>
      <x:c r="AI507" s="37" t="n">
        <x:v>97</x:v>
      </x:c>
      <x:c r="AJ507" s="37" t="n">
        <x:v>83.5</x:v>
      </x:c>
      <x:c r="AK507" s="35" t="str">
        <x:v>Yes</x:v>
      </x:c>
      <x:c r="AL507" s="38" t="n">
        <x:f>IF(AA507=0,0,AB507/AA507)</x:f>
        <x:v>0.6666666666666666</x:v>
      </x:c>
      <x:c r="AM507" s="38" t="n">
        <x:f>IF(AB507=0,0,AC507/AB507)</x:f>
        <x:v>0.5</x:v>
      </x:c>
      <x:c r="AN507" s="37" t="n">
        <x:f>ROUND((AD507*0.20+AE507*0.20+AF507*0.25+AG507*0.15+MIN(100,AC507*12)*0.20),1)</x:f>
        <x:v>61.5</x:v>
      </x:c>
      <x:c r="AO507" s="37" t="n">
        <x:f>ROUND(MAX(0,MIN(100,(X507*0.35)+(W507/45*100*0.20)+((5-O507)/4*100*0.15)+((5-P507)/4*100*0.10)+((6-Y507)/5*100*0.10)+((100-Z507)*0.10))),1)</x:f>
        <x:v>59.1</x:v>
      </x:c>
      <x:c r="AP507" s="37" t="str">
        <x:f>IF(AO507&gt;=70,"High",IF(AO507&gt;=40,"Moderate","Low"))</x:f>
        <x:v>Moderate</x:v>
      </x:c>
      <x:c r="AQ507" s="37" t="n">
        <x:f>ROUND(MAX(0,MIN(100,(O507/4*100*0.25)+(P507/4*100*0.20)+(Q507/4*100*0.15)+(Y507/5*100*0.20)+(100-AO507)*0.20)),1)</x:f>
        <x:v>62.9</x:v>
      </x:c>
      <x:c r="AR507" s="37" t="n">
        <x:f>ROUND((AI507*0.20+AJ507*0.15+AN507*0.18+AG507*0.12+Z507*0.15+AQ507*0.20),1)</x:f>
        <x:v>77.5</x:v>
      </x:c>
      <x:c r="AS507" s="39" t="n">
        <x:f>ROUND((AC507*AF507*120)+(AH507*350)+(MAX(0,AI507-75)*220)+(MAX(0,AQ507-60)*100),0)</x:f>
        <x:v>15050</x:v>
      </x:c>
    </x:row>
    <x:row r="508">
      <x:c r="A508" s="35" t="n">
        <x:v>507</x:v>
      </x:c>
      <x:c r="B508" s="35" t="n">
        <x:v>29</x:v>
      </x:c>
      <x:c r="C508" s="35" t="str">
        <x:v>Male</x:v>
      </x:c>
      <x:c r="D508" s="35" t="str">
        <x:v>Sales</x:v>
      </x:c>
      <x:c r="E508" s="35" t="str">
        <x:v>Sales Representative</x:v>
      </x:c>
      <x:c r="F508" s="35" t="str">
        <x:v>Computer Science</x:v>
      </x:c>
      <x:c r="G508" s="35" t="str">
        <x:v>Single</x:v>
      </x:c>
      <x:c r="H508" s="35" t="n">
        <x:v>1</x:v>
      </x:c>
      <x:c r="I508" s="36" t="n">
        <x:v>6000</x:v>
      </x:c>
      <x:c r="J508" s="35" t="n">
        <x:v>5</x:v>
      </x:c>
      <x:c r="K508" s="35" t="n">
        <x:v>3</x:v>
      </x:c>
      <x:c r="L508" s="35" t="n">
        <x:v>2</x:v>
      </x:c>
      <x:c r="M508" s="35" t="n">
        <x:v>1</x:v>
      </x:c>
      <x:c r="N508" s="35" t="str">
        <x:v>Yes</x:v>
      </x:c>
      <x:c r="O508" s="35" t="n">
        <x:v>3</x:v>
      </x:c>
      <x:c r="P508" s="35" t="n">
        <x:v>2</x:v>
      </x:c>
      <x:c r="Q508" s="35" t="n">
        <x:v>2</x:v>
      </x:c>
      <x:c r="R508" s="35" t="n">
        <x:v>2</x:v>
      </x:c>
      <x:c r="S508" s="35" t="n">
        <x:v>3</x:v>
      </x:c>
      <x:c r="T508" s="35" t="n">
        <x:v>4</x:v>
      </x:c>
      <x:c r="U508" s="35" t="n">
        <x:v>0</x:v>
      </x:c>
      <x:c r="V508" s="35" t="n">
        <x:v>8</x:v>
      </x:c>
      <x:c r="W508" s="35" t="n">
        <x:v>22</x:v>
      </x:c>
      <x:c r="X508" s="35" t="n">
        <x:v>78</x:v>
      </x:c>
      <x:c r="Y508" s="35" t="n">
        <x:v>5</x:v>
      </x:c>
      <x:c r="Z508" s="35" t="n">
        <x:v>85</x:v>
      </x:c>
      <x:c r="AA508" s="35" t="n">
        <x:v>6</x:v>
      </x:c>
      <x:c r="AB508" s="35" t="n">
        <x:v>5</x:v>
      </x:c>
      <x:c r="AC508" s="35" t="n">
        <x:v>4</x:v>
      </x:c>
      <x:c r="AD508" s="35" t="n">
        <x:v>86</x:v>
      </x:c>
      <x:c r="AE508" s="35" t="n">
        <x:v>73</x:v>
      </x:c>
      <x:c r="AF508" s="35" t="n">
        <x:v>71</x:v>
      </x:c>
      <x:c r="AG508" s="35" t="n">
        <x:v>87</x:v>
      </x:c>
      <x:c r="AH508" s="35" t="n">
        <x:v>9</x:v>
      </x:c>
      <x:c r="AI508" s="37" t="n">
        <x:v>98.2</x:v>
      </x:c>
      <x:c r="AJ508" s="37" t="n">
        <x:v>98</x:v>
      </x:c>
      <x:c r="AK508" s="35" t="str">
        <x:v>Yes</x:v>
      </x:c>
      <x:c r="AL508" s="38" t="n">
        <x:f>IF(AA508=0,0,AB508/AA508)</x:f>
        <x:v>0.8333333333333334</x:v>
      </x:c>
      <x:c r="AM508" s="38" t="n">
        <x:f>IF(AB508=0,0,AC508/AB508)</x:f>
        <x:v>0.8</x:v>
      </x:c>
      <x:c r="AN508" s="37" t="n">
        <x:f>ROUND((AD508*0.20+AE508*0.20+AF508*0.25+AG508*0.15+MIN(100,AC508*12)*0.20),1)</x:f>
        <x:v>72.2</x:v>
      </x:c>
      <x:c r="AO508" s="37" t="n">
        <x:f>ROUND(MAX(0,MIN(100,(X508*0.35)+(W508/45*100*0.20)+((5-O508)/4*100*0.15)+((5-P508)/4*100*0.10)+((6-Y508)/5*100*0.10)+((100-Z508)*0.10))),1)</x:f>
        <x:v>55.6</x:v>
      </x:c>
      <x:c r="AP508" s="37" t="str">
        <x:f>IF(AO508&gt;=70,"High",IF(AO508&gt;=40,"Moderate","Low"))</x:f>
        <x:v>Moderate</x:v>
      </x:c>
      <x:c r="AQ508" s="37" t="n">
        <x:f>ROUND(MAX(0,MIN(100,(O508/4*100*0.25)+(P508/4*100*0.20)+(Q508/4*100*0.15)+(Y508/5*100*0.20)+(100-AO508)*0.20)),1)</x:f>
        <x:v>65.1</x:v>
      </x:c>
      <x:c r="AR508" s="37" t="n">
        <x:f>ROUND((AI508*0.20+AJ508*0.15+AN508*0.18+AG508*0.12+Z508*0.15+AQ508*0.20),1)</x:f>
        <x:v>83.5</x:v>
      </x:c>
      <x:c r="AS508" s="39" t="n">
        <x:f>ROUND((AC508*AF508*120)+(AH508*350)+(MAX(0,AI508-75)*220)+(MAX(0,AQ508-60)*100),0)</x:f>
        <x:v>42844</x:v>
      </x:c>
    </x:row>
    <x:row r="509">
      <x:c r="A509" s="35" t="n">
        <x:v>508</x:v>
      </x:c>
      <x:c r="B509" s="35" t="n">
        <x:v>55</x:v>
      </x:c>
      <x:c r="C509" s="35" t="str">
        <x:v>Male</x:v>
      </x:c>
      <x:c r="D509" s="35" t="str">
        <x:v>Finance</x:v>
      </x:c>
      <x:c r="E509" s="35" t="str">
        <x:v>Financial Analyst</x:v>
      </x:c>
      <x:c r="F509" s="35" t="str">
        <x:v>Marketing</x:v>
      </x:c>
      <x:c r="G509" s="35" t="str">
        <x:v>Divorced</x:v>
      </x:c>
      <x:c r="H509" s="35" t="n">
        <x:v>3</x:v>
      </x:c>
      <x:c r="I509" s="36" t="n">
        <x:v>13760</x:v>
      </x:c>
      <x:c r="J509" s="35" t="n">
        <x:v>26</x:v>
      </x:c>
      <x:c r="K509" s="35" t="n">
        <x:v>7</x:v>
      </x:c>
      <x:c r="L509" s="35" t="n">
        <x:v>5</x:v>
      </x:c>
      <x:c r="M509" s="35" t="n">
        <x:v>8</x:v>
      </x:c>
      <x:c r="N509" s="35" t="str">
        <x:v>No</x:v>
      </x:c>
      <x:c r="O509" s="35" t="n">
        <x:v>2</x:v>
      </x:c>
      <x:c r="P509" s="35" t="n">
        <x:v>2</x:v>
      </x:c>
      <x:c r="Q509" s="35" t="n">
        <x:v>3</x:v>
      </x:c>
      <x:c r="R509" s="35" t="n">
        <x:v>3</x:v>
      </x:c>
      <x:c r="S509" s="35" t="n">
        <x:v>3</x:v>
      </x:c>
      <x:c r="T509" s="35" t="n">
        <x:v>4</x:v>
      </x:c>
      <x:c r="U509" s="35" t="n">
        <x:v>0</x:v>
      </x:c>
      <x:c r="V509" s="35" t="n">
        <x:v>14</x:v>
      </x:c>
      <x:c r="W509" s="35" t="n">
        <x:v>0</x:v>
      </x:c>
      <x:c r="X509" s="35" t="n">
        <x:v>79</x:v>
      </x:c>
      <x:c r="Y509" s="35" t="n">
        <x:v>4</x:v>
      </x:c>
      <x:c r="Z509" s="35" t="n">
        <x:v>100</x:v>
      </x:c>
      <x:c r="AA509" s="35" t="n">
        <x:v>3</x:v>
      </x:c>
      <x:c r="AB509" s="35" t="n">
        <x:v>0</x:v>
      </x:c>
      <x:c r="AC509" s="35" t="n">
        <x:v>0</x:v>
      </x:c>
      <x:c r="AD509" s="35" t="n">
        <x:v>70</x:v>
      </x:c>
      <x:c r="AE509" s="35" t="n">
        <x:v>96</x:v>
      </x:c>
      <x:c r="AF509" s="35" t="n">
        <x:v>68</x:v>
      </x:c>
      <x:c r="AG509" s="35" t="n">
        <x:v>74</x:v>
      </x:c>
      <x:c r="AH509" s="35" t="n">
        <x:v>0</x:v>
      </x:c>
      <x:c r="AI509" s="37" t="n">
        <x:v>100</x:v>
      </x:c>
      <x:c r="AJ509" s="37" t="n">
        <x:v>95.3</x:v>
      </x:c>
      <x:c r="AK509" s="35" t="str">
        <x:v>Yes</x:v>
      </x:c>
      <x:c r="AL509" s="38" t="n">
        <x:f>IF(AA509=0,0,AB509/AA509)</x:f>
        <x:v>0</x:v>
      </x:c>
      <x:c r="AM509" s="38" t="n">
        <x:f>IF(AB509=0,0,AC509/AB509)</x:f>
        <x:v>0</x:v>
      </x:c>
      <x:c r="AN509" s="37" t="n">
        <x:f>ROUND((AD509*0.20+AE509*0.20+AF509*0.25+AG509*0.15+MIN(100,AC509*12)*0.20),1)</x:f>
        <x:v>61.3</x:v>
      </x:c>
      <x:c r="AO509" s="37" t="n">
        <x:f>ROUND(MAX(0,MIN(100,(X509*0.35)+(W509/45*100*0.20)+((5-O509)/4*100*0.15)+((5-P509)/4*100*0.10)+((6-Y509)/5*100*0.10)+((100-Z509)*0.10))),1)</x:f>
        <x:v>50.4</x:v>
      </x:c>
      <x:c r="AP509" s="37" t="str">
        <x:f>IF(AO509&gt;=70,"High",IF(AO509&gt;=40,"Moderate","Low"))</x:f>
        <x:v>Moderate</x:v>
      </x:c>
      <x:c r="AQ509" s="37" t="n">
        <x:f>ROUND(MAX(0,MIN(100,(O509/4*100*0.25)+(P509/4*100*0.20)+(Q509/4*100*0.15)+(Y509/5*100*0.20)+(100-AO509)*0.20)),1)</x:f>
        <x:v>59.7</x:v>
      </x:c>
      <x:c r="AR509" s="37" t="n">
        <x:f>ROUND((AI509*0.20+AJ509*0.15+AN509*0.18+AG509*0.12+Z509*0.15+AQ509*0.20),1)</x:f>
        <x:v>81.1</x:v>
      </x:c>
      <x:c r="AS509" s="39" t="n">
        <x:f>ROUND((AC509*AF509*120)+(AH509*350)+(MAX(0,AI509-75)*220)+(MAX(0,AQ509-60)*100),0)</x:f>
        <x:v>5500</x:v>
      </x:c>
    </x:row>
    <x:row r="510">
      <x:c r="A510" s="35" t="n">
        <x:v>509</x:v>
      </x:c>
      <x:c r="B510" s="35" t="n">
        <x:v>43</x:v>
      </x:c>
      <x:c r="C510" s="35" t="str">
        <x:v>Female</x:v>
      </x:c>
      <x:c r="D510" s="35" t="str">
        <x:v>Marketing</x:v>
      </x:c>
      <x:c r="E510" s="35" t="str">
        <x:v>Marketing Manager</x:v>
      </x:c>
      <x:c r="F510" s="35" t="str">
        <x:v>Life Sciences</x:v>
      </x:c>
      <x:c r="G510" s="35" t="str">
        <x:v>Married</x:v>
      </x:c>
      <x:c r="H510" s="35" t="n">
        <x:v>3</x:v>
      </x:c>
      <x:c r="I510" s="36" t="n">
        <x:v>18820</x:v>
      </x:c>
      <x:c r="J510" s="35" t="n">
        <x:v>14</x:v>
      </x:c>
      <x:c r="K510" s="35" t="n">
        <x:v>12</x:v>
      </x:c>
      <x:c r="L510" s="35" t="n">
        <x:v>8</x:v>
      </x:c>
      <x:c r="M510" s="35" t="n">
        <x:v>31</x:v>
      </x:c>
      <x:c r="N510" s="35" t="str">
        <x:v>Yes</x:v>
      </x:c>
      <x:c r="O510" s="35" t="n">
        <x:v>2</x:v>
      </x:c>
      <x:c r="P510" s="35" t="n">
        <x:v>3</x:v>
      </x:c>
      <x:c r="Q510" s="35" t="n">
        <x:v>2</x:v>
      </x:c>
      <x:c r="R510" s="35" t="n">
        <x:v>3</x:v>
      </x:c>
      <x:c r="S510" s="35" t="n">
        <x:v>3</x:v>
      </x:c>
      <x:c r="T510" s="35" t="n">
        <x:v>1</x:v>
      </x:c>
      <x:c r="U510" s="35" t="n">
        <x:v>1</x:v>
      </x:c>
      <x:c r="V510" s="35" t="n">
        <x:v>5</x:v>
      </x:c>
      <x:c r="W510" s="35" t="n">
        <x:v>24</x:v>
      </x:c>
      <x:c r="X510" s="35" t="n">
        <x:v>74</x:v>
      </x:c>
      <x:c r="Y510" s="35" t="n">
        <x:v>3</x:v>
      </x:c>
      <x:c r="Z510" s="35" t="n">
        <x:v>95</x:v>
      </x:c>
      <x:c r="AA510" s="35" t="n">
        <x:v>3</x:v>
      </x:c>
      <x:c r="AB510" s="35" t="n">
        <x:v>2</x:v>
      </x:c>
      <x:c r="AC510" s="35" t="n">
        <x:v>2</x:v>
      </x:c>
      <x:c r="AD510" s="35" t="n">
        <x:v>79</x:v>
      </x:c>
      <x:c r="AE510" s="35" t="n">
        <x:v>90</x:v>
      </x:c>
      <x:c r="AF510" s="35" t="n">
        <x:v>89</x:v>
      </x:c>
      <x:c r="AG510" s="35" t="n">
        <x:v>99</x:v>
      </x:c>
      <x:c r="AH510" s="35" t="n">
        <x:v>7</x:v>
      </x:c>
      <x:c r="AI510" s="37" t="n">
        <x:v>89.8</x:v>
      </x:c>
      <x:c r="AJ510" s="37" t="n">
        <x:v>100</x:v>
      </x:c>
      <x:c r="AK510" s="35" t="str">
        <x:v>No</x:v>
      </x:c>
      <x:c r="AL510" s="38" t="n">
        <x:f>IF(AA510=0,0,AB510/AA510)</x:f>
        <x:v>0.6666666666666666</x:v>
      </x:c>
      <x:c r="AM510" s="38" t="n">
        <x:f>IF(AB510=0,0,AC510/AB510)</x:f>
        <x:v>1</x:v>
      </x:c>
      <x:c r="AN510" s="37" t="n">
        <x:f>ROUND((AD510*0.20+AE510*0.20+AF510*0.25+AG510*0.15+MIN(100,AC510*12)*0.20),1)</x:f>
        <x:v>75.7</x:v>
      </x:c>
      <x:c r="AO510" s="37" t="n">
        <x:f>ROUND(MAX(0,MIN(100,(X510*0.35)+(W510/45*100*0.20)+((5-O510)/4*100*0.15)+((5-P510)/4*100*0.10)+((6-Y510)/5*100*0.10)+((100-Z510)*0.10))),1)</x:f>
        <x:v>59.3</x:v>
      </x:c>
      <x:c r="AP510" s="37" t="str">
        <x:f>IF(AO510&gt;=70,"High",IF(AO510&gt;=40,"Moderate","Low"))</x:f>
        <x:v>Moderate</x:v>
      </x:c>
      <x:c r="AQ510" s="37" t="n">
        <x:f>ROUND(MAX(0,MIN(100,(O510/4*100*0.25)+(P510/4*100*0.20)+(Q510/4*100*0.15)+(Y510/5*100*0.20)+(100-AO510)*0.20)),1)</x:f>
        <x:v>55.1</x:v>
      </x:c>
      <x:c r="AR510" s="37" t="n">
        <x:f>ROUND((AI510*0.20+AJ510*0.15+AN510*0.18+AG510*0.12+Z510*0.15+AQ510*0.20),1)</x:f>
        <x:v>83.7</x:v>
      </x:c>
      <x:c r="AS510" s="39" t="n">
        <x:f>ROUND((AC510*AF510*120)+(AH510*350)+(MAX(0,AI510-75)*220)+(MAX(0,AQ510-60)*100),0)</x:f>
        <x:v>27066</x:v>
      </x:c>
    </x:row>
    <x:row r="511">
      <x:c r="A511" s="35" t="n">
        <x:v>510</x:v>
      </x:c>
      <x:c r="B511" s="35" t="n">
        <x:v>37</x:v>
      </x:c>
      <x:c r="C511" s="35" t="str">
        <x:v>Male</x:v>
      </x:c>
      <x:c r="D511" s="35" t="str">
        <x:v>Sales</x:v>
      </x:c>
      <x:c r="E511" s="35" t="str">
        <x:v>Account Manager</x:v>
      </x:c>
      <x:c r="F511" s="35" t="str">
        <x:v>Technical Degree</x:v>
      </x:c>
      <x:c r="G511" s="35" t="str">
        <x:v>Married</x:v>
      </x:c>
      <x:c r="H511" s="35" t="n">
        <x:v>2</x:v>
      </x:c>
      <x:c r="I511" s="36" t="n">
        <x:v>10380</x:v>
      </x:c>
      <x:c r="J511" s="35" t="n">
        <x:v>13</x:v>
      </x:c>
      <x:c r="K511" s="35" t="n">
        <x:v>10</x:v>
      </x:c>
      <x:c r="L511" s="35" t="n">
        <x:v>8</x:v>
      </x:c>
      <x:c r="M511" s="35" t="n">
        <x:v>8</x:v>
      </x:c>
      <x:c r="N511" s="35" t="str">
        <x:v>Yes</x:v>
      </x:c>
      <x:c r="O511" s="35" t="n">
        <x:v>3</x:v>
      </x:c>
      <x:c r="P511" s="35" t="n">
        <x:v>3</x:v>
      </x:c>
      <x:c r="Q511" s="35" t="n">
        <x:v>2</x:v>
      </x:c>
      <x:c r="R511" s="35" t="n">
        <x:v>4</x:v>
      </x:c>
      <x:c r="S511" s="35" t="n">
        <x:v>3</x:v>
      </x:c>
      <x:c r="T511" s="35" t="n">
        <x:v>4</x:v>
      </x:c>
      <x:c r="U511" s="35" t="n">
        <x:v>1</x:v>
      </x:c>
      <x:c r="V511" s="35" t="n">
        <x:v>6</x:v>
      </x:c>
      <x:c r="W511" s="35" t="n">
        <x:v>27</x:v>
      </x:c>
      <x:c r="X511" s="35" t="n">
        <x:v>75</x:v>
      </x:c>
      <x:c r="Y511" s="35" t="n">
        <x:v>4</x:v>
      </x:c>
      <x:c r="Z511" s="35" t="n">
        <x:v>100</x:v>
      </x:c>
      <x:c r="AA511" s="35" t="n">
        <x:v>6</x:v>
      </x:c>
      <x:c r="AB511" s="35" t="n">
        <x:v>5</x:v>
      </x:c>
      <x:c r="AC511" s="35" t="n">
        <x:v>2</x:v>
      </x:c>
      <x:c r="AD511" s="35" t="n">
        <x:v>54</x:v>
      </x:c>
      <x:c r="AE511" s="35" t="n">
        <x:v>75</x:v>
      </x:c>
      <x:c r="AF511" s="35" t="n">
        <x:v>90</x:v>
      </x:c>
      <x:c r="AG511" s="35" t="n">
        <x:v>95</x:v>
      </x:c>
      <x:c r="AH511" s="35" t="n">
        <x:v>7</x:v>
      </x:c>
      <x:c r="AI511" s="37" t="n">
        <x:v>96.6</x:v>
      </x:c>
      <x:c r="AJ511" s="37" t="n">
        <x:v>97.3</x:v>
      </x:c>
      <x:c r="AK511" s="35" t="str">
        <x:v>No</x:v>
      </x:c>
      <x:c r="AL511" s="38" t="n">
        <x:f>IF(AA511=0,0,AB511/AA511)</x:f>
        <x:v>0.8333333333333334</x:v>
      </x:c>
      <x:c r="AM511" s="38" t="n">
        <x:f>IF(AB511=0,0,AC511/AB511)</x:f>
        <x:v>0.4</x:v>
      </x:c>
      <x:c r="AN511" s="37" t="n">
        <x:f>ROUND((AD511*0.20+AE511*0.20+AF511*0.25+AG511*0.15+MIN(100,AC511*12)*0.20),1)</x:f>
        <x:v>67.4</x:v>
      </x:c>
      <x:c r="AO511" s="37" t="n">
        <x:f>ROUND(MAX(0,MIN(100,(X511*0.35)+(W511/45*100*0.20)+((5-O511)/4*100*0.15)+((5-P511)/4*100*0.10)+((6-Y511)/5*100*0.10)+((100-Z511)*0.10))),1)</x:f>
        <x:v>54.8</x:v>
      </x:c>
      <x:c r="AP511" s="37" t="str">
        <x:f>IF(AO511&gt;=70,"High",IF(AO511&gt;=40,"Moderate","Low"))</x:f>
        <x:v>Moderate</x:v>
      </x:c>
      <x:c r="AQ511" s="37" t="n">
        <x:f>ROUND(MAX(0,MIN(100,(O511/4*100*0.25)+(P511/4*100*0.20)+(Q511/4*100*0.15)+(Y511/5*100*0.20)+(100-AO511)*0.20)),1)</x:f>
        <x:v>66.3</x:v>
      </x:c>
      <x:c r="AR511" s="37" t="n">
        <x:f>ROUND((AI511*0.20+AJ511*0.15+AN511*0.18+AG511*0.12+Z511*0.15+AQ511*0.20),1)</x:f>
        <x:v>85.7</x:v>
      </x:c>
      <x:c r="AS511" s="39" t="n">
        <x:f>ROUND((AC511*AF511*120)+(AH511*350)+(MAX(0,AI511-75)*220)+(MAX(0,AQ511-60)*100),0)</x:f>
        <x:v>29432</x:v>
      </x:c>
    </x:row>
    <x:row r="512">
      <x:c r="A512" s="35" t="n">
        <x:v>511</x:v>
      </x:c>
      <x:c r="B512" s="35" t="n">
        <x:v>30</x:v>
      </x:c>
      <x:c r="C512" s="35" t="str">
        <x:v>Female</x:v>
      </x:c>
      <x:c r="D512" s="35" t="str">
        <x:v>Human Resources</x:v>
      </x:c>
      <x:c r="E512" s="35" t="str">
        <x:v>Talent Development Specialist</x:v>
      </x:c>
      <x:c r="F512" s="35" t="str">
        <x:v>Computer Science</x:v>
      </x:c>
      <x:c r="G512" s="35" t="str">
        <x:v>Married</x:v>
      </x:c>
      <x:c r="H512" s="35" t="n">
        <x:v>2</x:v>
      </x:c>
      <x:c r="I512" s="36" t="n">
        <x:v>9500</x:v>
      </x:c>
      <x:c r="J512" s="35" t="n">
        <x:v>5</x:v>
      </x:c>
      <x:c r="K512" s="35" t="n">
        <x:v>3</x:v>
      </x:c>
      <x:c r="L512" s="35" t="n">
        <x:v>1</x:v>
      </x:c>
      <x:c r="M512" s="35" t="n">
        <x:v>3</x:v>
      </x:c>
      <x:c r="N512" s="35" t="str">
        <x:v>Yes</x:v>
      </x:c>
      <x:c r="O512" s="35" t="n">
        <x:v>3</x:v>
      </x:c>
      <x:c r="P512" s="35" t="n">
        <x:v>4</x:v>
      </x:c>
      <x:c r="Q512" s="35" t="n">
        <x:v>3</x:v>
      </x:c>
      <x:c r="R512" s="35" t="n">
        <x:v>2</x:v>
      </x:c>
      <x:c r="S512" s="35" t="n">
        <x:v>3</x:v>
      </x:c>
      <x:c r="T512" s="35" t="n">
        <x:v>5</x:v>
      </x:c>
      <x:c r="U512" s="35" t="n">
        <x:v>2</x:v>
      </x:c>
      <x:c r="V512" s="35" t="n">
        <x:v>2</x:v>
      </x:c>
      <x:c r="W512" s="35" t="n">
        <x:v>19</x:v>
      </x:c>
      <x:c r="X512" s="35" t="n">
        <x:v>77</x:v>
      </x:c>
      <x:c r="Y512" s="35" t="n">
        <x:v>4</x:v>
      </x:c>
      <x:c r="Z512" s="35" t="n">
        <x:v>94</x:v>
      </x:c>
      <x:c r="AA512" s="35" t="n">
        <x:v>4</x:v>
      </x:c>
      <x:c r="AB512" s="35" t="n">
        <x:v>2</x:v>
      </x:c>
      <x:c r="AC512" s="35" t="n">
        <x:v>1</x:v>
      </x:c>
      <x:c r="AD512" s="35" t="n">
        <x:v>73</x:v>
      </x:c>
      <x:c r="AE512" s="35" t="n">
        <x:v>76</x:v>
      </x:c>
      <x:c r="AF512" s="35" t="n">
        <x:v>85</x:v>
      </x:c>
      <x:c r="AG512" s="35" t="n">
        <x:v>94</x:v>
      </x:c>
      <x:c r="AH512" s="35" t="n">
        <x:v>4</x:v>
      </x:c>
      <x:c r="AI512" s="37" t="n">
        <x:v>92.3</x:v>
      </x:c>
      <x:c r="AJ512" s="37" t="n">
        <x:v>87.4</x:v>
      </x:c>
      <x:c r="AK512" s="35" t="str">
        <x:v>No</x:v>
      </x:c>
      <x:c r="AL512" s="38" t="n">
        <x:f>IF(AA512=0,0,AB512/AA512)</x:f>
        <x:v>0.5</x:v>
      </x:c>
      <x:c r="AM512" s="38" t="n">
        <x:f>IF(AB512=0,0,AC512/AB512)</x:f>
        <x:v>0.5</x:v>
      </x:c>
      <x:c r="AN512" s="37" t="n">
        <x:f>ROUND((AD512*0.20+AE512*0.20+AF512*0.25+AG512*0.15+MIN(100,AC512*12)*0.20),1)</x:f>
        <x:v>67.6</x:v>
      </x:c>
      <x:c r="AO512" s="37" t="n">
        <x:f>ROUND(MAX(0,MIN(100,(X512*0.35)+(W512/45*100*0.20)+((5-O512)/4*100*0.15)+((5-P512)/4*100*0.10)+((6-Y512)/5*100*0.10)+((100-Z512)*0.10))),1)</x:f>
        <x:v>50</x:v>
      </x:c>
      <x:c r="AP512" s="37" t="str">
        <x:f>IF(AO512&gt;=70,"High",IF(AO512&gt;=40,"Moderate","Low"))</x:f>
        <x:v>Moderate</x:v>
      </x:c>
      <x:c r="AQ512" s="37" t="n">
        <x:f>ROUND(MAX(0,MIN(100,(O512/4*100*0.25)+(P512/4*100*0.20)+(Q512/4*100*0.15)+(Y512/5*100*0.20)+(100-AO512)*0.20)),1)</x:f>
        <x:v>76</x:v>
      </x:c>
      <x:c r="AR512" s="37" t="n">
        <x:f>ROUND((AI512*0.20+AJ512*0.15+AN512*0.18+AG512*0.12+Z512*0.15+AQ512*0.20),1)</x:f>
        <x:v>84.3</x:v>
      </x:c>
      <x:c r="AS512" s="39" t="n">
        <x:f>ROUND((AC512*AF512*120)+(AH512*350)+(MAX(0,AI512-75)*220)+(MAX(0,AQ512-60)*100),0)</x:f>
        <x:v>17006</x:v>
      </x:c>
    </x:row>
    <x:row r="513">
      <x:c r="A513" s="35" t="n">
        <x:v>512</x:v>
      </x:c>
      <x:c r="B513" s="35" t="n">
        <x:v>38</x:v>
      </x:c>
      <x:c r="C513" s="35" t="str">
        <x:v>Female</x:v>
      </x:c>
      <x:c r="D513" s="35" t="str">
        <x:v>Operations</x:v>
      </x:c>
      <x:c r="E513" s="35" t="str">
        <x:v>Quality Specialist</x:v>
      </x:c>
      <x:c r="F513" s="35" t="str">
        <x:v>Technical Degree</x:v>
      </x:c>
      <x:c r="G513" s="35" t="str">
        <x:v>Single</x:v>
      </x:c>
      <x:c r="H513" s="35" t="n">
        <x:v>3</x:v>
      </x:c>
      <x:c r="I513" s="36" t="n">
        <x:v>17820</x:v>
      </x:c>
      <x:c r="J513" s="35" t="n">
        <x:v>9</x:v>
      </x:c>
      <x:c r="K513" s="35" t="n">
        <x:v>3</x:v>
      </x:c>
      <x:c r="L513" s="35" t="n">
        <x:v>1</x:v>
      </x:c>
      <x:c r="M513" s="35" t="n">
        <x:v>38</x:v>
      </x:c>
      <x:c r="N513" s="35" t="str">
        <x:v>No</x:v>
      </x:c>
      <x:c r="O513" s="35" t="n">
        <x:v>2</x:v>
      </x:c>
      <x:c r="P513" s="35" t="n">
        <x:v>3</x:v>
      </x:c>
      <x:c r="Q513" s="35" t="n">
        <x:v>2</x:v>
      </x:c>
      <x:c r="R513" s="35" t="n">
        <x:v>3</x:v>
      </x:c>
      <x:c r="S513" s="35" t="n">
        <x:v>3</x:v>
      </x:c>
      <x:c r="T513" s="35" t="n">
        <x:v>3</x:v>
      </x:c>
      <x:c r="U513" s="35" t="n">
        <x:v>0</x:v>
      </x:c>
      <x:c r="V513" s="35" t="n">
        <x:v>4</x:v>
      </x:c>
      <x:c r="W513" s="35" t="n">
        <x:v>15</x:v>
      </x:c>
      <x:c r="X513" s="35" t="n">
        <x:v>72</x:v>
      </x:c>
      <x:c r="Y513" s="35" t="n">
        <x:v>4</x:v>
      </x:c>
      <x:c r="Z513" s="35" t="n">
        <x:v>100</x:v>
      </x:c>
      <x:c r="AA513" s="35" t="n">
        <x:v>8</x:v>
      </x:c>
      <x:c r="AB513" s="35" t="n">
        <x:v>7</x:v>
      </x:c>
      <x:c r="AC513" s="35" t="n">
        <x:v>4</x:v>
      </x:c>
      <x:c r="AD513" s="35" t="n">
        <x:v>68</x:v>
      </x:c>
      <x:c r="AE513" s="35" t="n">
        <x:v>98</x:v>
      </x:c>
      <x:c r="AF513" s="35" t="n">
        <x:v>95</x:v>
      </x:c>
      <x:c r="AG513" s="35" t="n">
        <x:v>88</x:v>
      </x:c>
      <x:c r="AH513" s="35" t="n">
        <x:v>8</x:v>
      </x:c>
      <x:c r="AI513" s="37" t="n">
        <x:v>100</x:v>
      </x:c>
      <x:c r="AJ513" s="37" t="n">
        <x:v>86.4</x:v>
      </x:c>
      <x:c r="AK513" s="35" t="str">
        <x:v>No</x:v>
      </x:c>
      <x:c r="AL513" s="38" t="n">
        <x:f>IF(AA513=0,0,AB513/AA513)</x:f>
        <x:v>0.875</x:v>
      </x:c>
      <x:c r="AM513" s="38" t="n">
        <x:f>IF(AB513=0,0,AC513/AB513)</x:f>
        <x:v>0.5714285714285714</x:v>
      </x:c>
      <x:c r="AN513" s="37" t="n">
        <x:f>ROUND((AD513*0.20+AE513*0.20+AF513*0.25+AG513*0.15+MIN(100,AC513*12)*0.20),1)</x:f>
        <x:v>79.8</x:v>
      </x:c>
      <x:c r="AO513" s="37" t="n">
        <x:f>ROUND(MAX(0,MIN(100,(X513*0.35)+(W513/45*100*0.20)+((5-O513)/4*100*0.15)+((5-P513)/4*100*0.10)+((6-Y513)/5*100*0.10)+((100-Z513)*0.10))),1)</x:f>
        <x:v>52.1</x:v>
      </x:c>
      <x:c r="AP513" s="37" t="str">
        <x:f>IF(AO513&gt;=70,"High",IF(AO513&gt;=40,"Moderate","Low"))</x:f>
        <x:v>Moderate</x:v>
      </x:c>
      <x:c r="AQ513" s="37" t="n">
        <x:f>ROUND(MAX(0,MIN(100,(O513/4*100*0.25)+(P513/4*100*0.20)+(Q513/4*100*0.15)+(Y513/5*100*0.20)+(100-AO513)*0.20)),1)</x:f>
        <x:v>60.6</x:v>
      </x:c>
      <x:c r="AR513" s="37" t="n">
        <x:f>ROUND((AI513*0.20+AJ513*0.15+AN513*0.18+AG513*0.12+Z513*0.15+AQ513*0.20),1)</x:f>
        <x:v>85</x:v>
      </x:c>
      <x:c r="AS513" s="39" t="n">
        <x:f>ROUND((AC513*AF513*120)+(AH513*350)+(MAX(0,AI513-75)*220)+(MAX(0,AQ513-60)*100),0)</x:f>
        <x:v>53960</x:v>
      </x:c>
    </x:row>
    <x:row r="514">
      <x:c r="A514" s="35" t="n">
        <x:v>513</x:v>
      </x:c>
      <x:c r="B514" s="35" t="n">
        <x:v>29</x:v>
      </x:c>
      <x:c r="C514" s="35" t="str">
        <x:v>Male</x:v>
      </x:c>
      <x:c r="D514" s="35" t="str">
        <x:v>Finance</x:v>
      </x:c>
      <x:c r="E514" s="35" t="str">
        <x:v>Accountant</x:v>
      </x:c>
      <x:c r="F514" s="35" t="str">
        <x:v>Life Sciences</x:v>
      </x:c>
      <x:c r="G514" s="35" t="str">
        <x:v>Divorced</x:v>
      </x:c>
      <x:c r="H514" s="35" t="n">
        <x:v>1</x:v>
      </x:c>
      <x:c r="I514" s="36" t="n">
        <x:v>6530</x:v>
      </x:c>
      <x:c r="J514" s="35" t="n">
        <x:v>4</x:v>
      </x:c>
      <x:c r="K514" s="35" t="n">
        <x:v>3</x:v>
      </x:c>
      <x:c r="L514" s="35" t="n">
        <x:v>2</x:v>
      </x:c>
      <x:c r="M514" s="35" t="n">
        <x:v>12</x:v>
      </x:c>
      <x:c r="N514" s="35" t="str">
        <x:v>Yes</x:v>
      </x:c>
      <x:c r="O514" s="35" t="n">
        <x:v>2</x:v>
      </x:c>
      <x:c r="P514" s="35" t="n">
        <x:v>4</x:v>
      </x:c>
      <x:c r="Q514" s="35" t="n">
        <x:v>4</x:v>
      </x:c>
      <x:c r="R514" s="35" t="n">
        <x:v>4</x:v>
      </x:c>
      <x:c r="S514" s="35" t="n">
        <x:v>3</x:v>
      </x:c>
      <x:c r="T514" s="35" t="n">
        <x:v>4</x:v>
      </x:c>
      <x:c r="U514" s="35" t="n">
        <x:v>1</x:v>
      </x:c>
      <x:c r="V514" s="35" t="n">
        <x:v>11</x:v>
      </x:c>
      <x:c r="W514" s="35" t="n">
        <x:v>26</x:v>
      </x:c>
      <x:c r="X514" s="35" t="n">
        <x:v>76</x:v>
      </x:c>
      <x:c r="Y514" s="35" t="n">
        <x:v>4</x:v>
      </x:c>
      <x:c r="Z514" s="35" t="n">
        <x:v>100</x:v>
      </x:c>
      <x:c r="AA514" s="35" t="n">
        <x:v>3</x:v>
      </x:c>
      <x:c r="AB514" s="35" t="n">
        <x:v>3</x:v>
      </x:c>
      <x:c r="AC514" s="35" t="n">
        <x:v>1</x:v>
      </x:c>
      <x:c r="AD514" s="35" t="n">
        <x:v>55</x:v>
      </x:c>
      <x:c r="AE514" s="35" t="n">
        <x:v>86</x:v>
      </x:c>
      <x:c r="AF514" s="35" t="n">
        <x:v>66</x:v>
      </x:c>
      <x:c r="AG514" s="35" t="n">
        <x:v>100</x:v>
      </x:c>
      <x:c r="AH514" s="35" t="n">
        <x:v>5</x:v>
      </x:c>
      <x:c r="AI514" s="37" t="n">
        <x:v>100</x:v>
      </x:c>
      <x:c r="AJ514" s="37" t="n">
        <x:v>95.5</x:v>
      </x:c>
      <x:c r="AK514" s="35" t="str">
        <x:v>Yes</x:v>
      </x:c>
      <x:c r="AL514" s="38" t="n">
        <x:f>IF(AA514=0,0,AB514/AA514)</x:f>
        <x:v>1</x:v>
      </x:c>
      <x:c r="AM514" s="38" t="n">
        <x:f>IF(AB514=0,0,AC514/AB514)</x:f>
        <x:v>0.3333333333333333</x:v>
      </x:c>
      <x:c r="AN514" s="37" t="n">
        <x:f>ROUND((AD514*0.20+AE514*0.20+AF514*0.25+AG514*0.15+MIN(100,AC514*12)*0.20),1)</x:f>
        <x:v>62.1</x:v>
      </x:c>
      <x:c r="AO514" s="37" t="n">
        <x:f>ROUND(MAX(0,MIN(100,(X514*0.35)+(W514/45*100*0.20)+((5-O514)/4*100*0.15)+((5-P514)/4*100*0.10)+((6-Y514)/5*100*0.10)+((100-Z514)*0.10))),1)</x:f>
        <x:v>55.9</x:v>
      </x:c>
      <x:c r="AP514" s="37" t="str">
        <x:f>IF(AO514&gt;=70,"High",IF(AO514&gt;=40,"Moderate","Low"))</x:f>
        <x:v>Moderate</x:v>
      </x:c>
      <x:c r="AQ514" s="37" t="n">
        <x:f>ROUND(MAX(0,MIN(100,(O514/4*100*0.25)+(P514/4*100*0.20)+(Q514/4*100*0.15)+(Y514/5*100*0.20)+(100-AO514)*0.20)),1)</x:f>
        <x:v>72.3</x:v>
      </x:c>
      <x:c r="AR514" s="37" t="n">
        <x:f>ROUND((AI514*0.20+AJ514*0.15+AN514*0.18+AG514*0.12+Z514*0.15+AQ514*0.20),1)</x:f>
        <x:v>87</x:v>
      </x:c>
      <x:c r="AS514" s="39" t="n">
        <x:f>ROUND((AC514*AF514*120)+(AH514*350)+(MAX(0,AI514-75)*220)+(MAX(0,AQ514-60)*100),0)</x:f>
        <x:v>16400</x:v>
      </x:c>
    </x:row>
    <x:row r="515">
      <x:c r="A515" s="35" t="n">
        <x:v>514</x:v>
      </x:c>
      <x:c r="B515" s="35" t="n">
        <x:v>26</x:v>
      </x:c>
      <x:c r="C515" s="35" t="str">
        <x:v>Female</x:v>
      </x:c>
      <x:c r="D515" s="35" t="str">
        <x:v>Operations</x:v>
      </x:c>
      <x:c r="E515" s="35" t="str">
        <x:v>Operations Specialist</x:v>
      </x:c>
      <x:c r="F515" s="35" t="str">
        <x:v>Computer Science</x:v>
      </x:c>
      <x:c r="G515" s="35" t="str">
        <x:v>Single</x:v>
      </x:c>
      <x:c r="H515" s="35" t="n">
        <x:v>1</x:v>
      </x:c>
      <x:c r="I515" s="36" t="n">
        <x:v>6440</x:v>
      </x:c>
      <x:c r="J515" s="35" t="n">
        <x:v>3</x:v>
      </x:c>
      <x:c r="K515" s="35" t="n">
        <x:v>2</x:v>
      </x:c>
      <x:c r="L515" s="35" t="n">
        <x:v>1</x:v>
      </x:c>
      <x:c r="M515" s="35" t="n">
        <x:v>16</x:v>
      </x:c>
      <x:c r="N515" s="35" t="str">
        <x:v>No</x:v>
      </x:c>
      <x:c r="O515" s="35" t="n">
        <x:v>2</x:v>
      </x:c>
      <x:c r="P515" s="35" t="n">
        <x:v>3</x:v>
      </x:c>
      <x:c r="Q515" s="35" t="n">
        <x:v>4</x:v>
      </x:c>
      <x:c r="R515" s="35" t="n">
        <x:v>3</x:v>
      </x:c>
      <x:c r="S515" s="35" t="n">
        <x:v>3</x:v>
      </x:c>
      <x:c r="T515" s="35" t="n">
        <x:v>3</x:v>
      </x:c>
      <x:c r="U515" s="35" t="n">
        <x:v>1</x:v>
      </x:c>
      <x:c r="V515" s="35" t="n">
        <x:v>10</x:v>
      </x:c>
      <x:c r="W515" s="35" t="n">
        <x:v>0</x:v>
      </x:c>
      <x:c r="X515" s="35" t="n">
        <x:v>74</x:v>
      </x:c>
      <x:c r="Y515" s="35" t="n">
        <x:v>4</x:v>
      </x:c>
      <x:c r="Z515" s="35" t="n">
        <x:v>100</x:v>
      </x:c>
      <x:c r="AA515" s="35" t="n">
        <x:v>3</x:v>
      </x:c>
      <x:c r="AB515" s="35" t="n">
        <x:v>3</x:v>
      </x:c>
      <x:c r="AC515" s="35" t="n">
        <x:v>3</x:v>
      </x:c>
      <x:c r="AD515" s="35" t="n">
        <x:v>64</x:v>
      </x:c>
      <x:c r="AE515" s="35" t="n">
        <x:v>89</x:v>
      </x:c>
      <x:c r="AF515" s="35" t="n">
        <x:v>58</x:v>
      </x:c>
      <x:c r="AG515" s="35" t="n">
        <x:v>92</x:v>
      </x:c>
      <x:c r="AH515" s="35" t="n">
        <x:v>4</x:v>
      </x:c>
      <x:c r="AI515" s="37" t="n">
        <x:v>97.5</x:v>
      </x:c>
      <x:c r="AJ515" s="37" t="n">
        <x:v>100</x:v>
      </x:c>
      <x:c r="AK515" s="35" t="str">
        <x:v>No</x:v>
      </x:c>
      <x:c r="AL515" s="38" t="n">
        <x:f>IF(AA515=0,0,AB515/AA515)</x:f>
        <x:v>1</x:v>
      </x:c>
      <x:c r="AM515" s="38" t="n">
        <x:f>IF(AB515=0,0,AC515/AB515)</x:f>
        <x:v>1</x:v>
      </x:c>
      <x:c r="AN515" s="37" t="n">
        <x:f>ROUND((AD515*0.20+AE515*0.20+AF515*0.25+AG515*0.15+MIN(100,AC515*12)*0.20),1)</x:f>
        <x:v>66.1</x:v>
      </x:c>
      <x:c r="AO515" s="37" t="n">
        <x:f>ROUND(MAX(0,MIN(100,(X515*0.35)+(W515/45*100*0.20)+((5-O515)/4*100*0.15)+((5-P515)/4*100*0.10)+((6-Y515)/5*100*0.10)+((100-Z515)*0.10))),1)</x:f>
        <x:v>46.2</x:v>
      </x:c>
      <x:c r="AP515" s="37" t="str">
        <x:f>IF(AO515&gt;=70,"High",IF(AO515&gt;=40,"Moderate","Low"))</x:f>
        <x:v>Moderate</x:v>
      </x:c>
      <x:c r="AQ515" s="37" t="n">
        <x:f>ROUND(MAX(0,MIN(100,(O515/4*100*0.25)+(P515/4*100*0.20)+(Q515/4*100*0.15)+(Y515/5*100*0.20)+(100-AO515)*0.20)),1)</x:f>
        <x:v>69.3</x:v>
      </x:c>
      <x:c r="AR515" s="37" t="n">
        <x:f>ROUND((AI515*0.20+AJ515*0.15+AN515*0.18+AG515*0.12+Z515*0.15+AQ515*0.20),1)</x:f>
        <x:v>86.3</x:v>
      </x:c>
      <x:c r="AS515" s="39" t="n">
        <x:f>ROUND((AC515*AF515*120)+(AH515*350)+(MAX(0,AI515-75)*220)+(MAX(0,AQ515-60)*100),0)</x:f>
        <x:v>28160</x:v>
      </x:c>
    </x:row>
    <x:row r="516">
      <x:c r="A516" s="35" t="n">
        <x:v>515</x:v>
      </x:c>
      <x:c r="B516" s="35" t="n">
        <x:v>21</x:v>
      </x:c>
      <x:c r="C516" s="35" t="str">
        <x:v>Female</x:v>
      </x:c>
      <x:c r="D516" s="35" t="str">
        <x:v>Marketing</x:v>
      </x:c>
      <x:c r="E516" s="35" t="str">
        <x:v>Digital Marketing Analyst</x:v>
      </x:c>
      <x:c r="F516" s="35" t="str">
        <x:v>Marketing</x:v>
      </x:c>
      <x:c r="G516" s="35" t="str">
        <x:v>Single</x:v>
      </x:c>
      <x:c r="H516" s="35" t="n">
        <x:v>1</x:v>
      </x:c>
      <x:c r="I516" s="36" t="n">
        <x:v>4300</x:v>
      </x:c>
      <x:c r="J516" s="35" t="n">
        <x:v>0</x:v>
      </x:c>
      <x:c r="K516" s="35" t="n">
        <x:v>0</x:v>
      </x:c>
      <x:c r="L516" s="35" t="n">
        <x:v>0</x:v>
      </x:c>
      <x:c r="M516" s="35" t="n">
        <x:v>6</x:v>
      </x:c>
      <x:c r="N516" s="35" t="str">
        <x:v>No</x:v>
      </x:c>
      <x:c r="O516" s="35" t="n">
        <x:v>4</x:v>
      </x:c>
      <x:c r="P516" s="35" t="n">
        <x:v>3</x:v>
      </x:c>
      <x:c r="Q516" s="35" t="n">
        <x:v>2</x:v>
      </x:c>
      <x:c r="R516" s="35" t="n">
        <x:v>3</x:v>
      </x:c>
      <x:c r="S516" s="35" t="n">
        <x:v>3</x:v>
      </x:c>
      <x:c r="T516" s="35" t="n">
        <x:v>4</x:v>
      </x:c>
      <x:c r="U516" s="35" t="n">
        <x:v>2</x:v>
      </x:c>
      <x:c r="V516" s="35" t="n">
        <x:v>5</x:v>
      </x:c>
      <x:c r="W516" s="35" t="n">
        <x:v>8</x:v>
      </x:c>
      <x:c r="X516" s="35" t="n">
        <x:v>63</x:v>
      </x:c>
      <x:c r="Y516" s="35" t="n">
        <x:v>4</x:v>
      </x:c>
      <x:c r="Z516" s="35" t="n">
        <x:v>96</x:v>
      </x:c>
      <x:c r="AA516" s="35" t="n">
        <x:v>4</x:v>
      </x:c>
      <x:c r="AB516" s="35" t="n">
        <x:v>2</x:v>
      </x:c>
      <x:c r="AC516" s="35" t="n">
        <x:v>1</x:v>
      </x:c>
      <x:c r="AD516" s="35" t="n">
        <x:v>56</x:v>
      </x:c>
      <x:c r="AE516" s="35" t="n">
        <x:v>89</x:v>
      </x:c>
      <x:c r="AF516" s="35" t="n">
        <x:v>64</x:v>
      </x:c>
      <x:c r="AG516" s="35" t="n">
        <x:v>96</x:v>
      </x:c>
      <x:c r="AH516" s="35" t="n">
        <x:v>6</x:v>
      </x:c>
      <x:c r="AI516" s="37" t="n">
        <x:v>91.4</x:v>
      </x:c>
      <x:c r="AJ516" s="37" t="n">
        <x:v>90.7</x:v>
      </x:c>
      <x:c r="AK516" s="35" t="str">
        <x:v>No</x:v>
      </x:c>
      <x:c r="AL516" s="38" t="n">
        <x:f>IF(AA516=0,0,AB516/AA516)</x:f>
        <x:v>0.5</x:v>
      </x:c>
      <x:c r="AM516" s="38" t="n">
        <x:f>IF(AB516=0,0,AC516/AB516)</x:f>
        <x:v>0.5</x:v>
      </x:c>
      <x:c r="AN516" s="37" t="n">
        <x:f>ROUND((AD516*0.20+AE516*0.20+AF516*0.25+AG516*0.15+MIN(100,AC516*12)*0.20),1)</x:f>
        <x:v>61.8</x:v>
      </x:c>
      <x:c r="AO516" s="37" t="n">
        <x:f>ROUND(MAX(0,MIN(100,(X516*0.35)+(W516/45*100*0.20)+((5-O516)/4*100*0.15)+((5-P516)/4*100*0.10)+((6-Y516)/5*100*0.10)+((100-Z516)*0.10))),1)</x:f>
        <x:v>38.8</x:v>
      </x:c>
      <x:c r="AP516" s="37" t="str">
        <x:f>IF(AO516&gt;=70,"High",IF(AO516&gt;=40,"Moderate","Low"))</x:f>
        <x:v>Low</x:v>
      </x:c>
      <x:c r="AQ516" s="37" t="n">
        <x:f>ROUND(MAX(0,MIN(100,(O516/4*100*0.25)+(P516/4*100*0.20)+(Q516/4*100*0.15)+(Y516/5*100*0.20)+(100-AO516)*0.20)),1)</x:f>
        <x:v>75.7</x:v>
      </x:c>
      <x:c r="AR516" s="37" t="n">
        <x:f>ROUND((AI516*0.20+AJ516*0.15+AN516*0.18+AG516*0.12+Z516*0.15+AQ516*0.20),1)</x:f>
        <x:v>84.1</x:v>
      </x:c>
      <x:c r="AS516" s="39" t="n">
        <x:f>ROUND((AC516*AF516*120)+(AH516*350)+(MAX(0,AI516-75)*220)+(MAX(0,AQ516-60)*100),0)</x:f>
        <x:v>14958</x:v>
      </x:c>
    </x:row>
    <x:row r="517">
      <x:c r="A517" s="35" t="n">
        <x:v>516</x:v>
      </x:c>
      <x:c r="B517" s="35" t="n">
        <x:v>34</x:v>
      </x:c>
      <x:c r="C517" s="35" t="str">
        <x:v>Male</x:v>
      </x:c>
      <x:c r="D517" s="35" t="str">
        <x:v>Finance</x:v>
      </x:c>
      <x:c r="E517" s="35" t="str">
        <x:v>Finance Manager</x:v>
      </x:c>
      <x:c r="F517" s="35" t="str">
        <x:v>Business</x:v>
      </x:c>
      <x:c r="G517" s="35" t="str">
        <x:v>Single</x:v>
      </x:c>
      <x:c r="H517" s="35" t="n">
        <x:v>2</x:v>
      </x:c>
      <x:c r="I517" s="36" t="n">
        <x:v>10260</x:v>
      </x:c>
      <x:c r="J517" s="35" t="n">
        <x:v>6</x:v>
      </x:c>
      <x:c r="K517" s="35" t="n">
        <x:v>4</x:v>
      </x:c>
      <x:c r="L517" s="35" t="n">
        <x:v>2</x:v>
      </x:c>
      <x:c r="M517" s="35" t="n">
        <x:v>10</x:v>
      </x:c>
      <x:c r="N517" s="35" t="str">
        <x:v>Yes</x:v>
      </x:c>
      <x:c r="O517" s="35" t="n">
        <x:v>3</x:v>
      </x:c>
      <x:c r="P517" s="35" t="n">
        <x:v>2</x:v>
      </x:c>
      <x:c r="Q517" s="35" t="n">
        <x:v>4</x:v>
      </x:c>
      <x:c r="R517" s="35" t="n">
        <x:v>2</x:v>
      </x:c>
      <x:c r="S517" s="35" t="n">
        <x:v>4</x:v>
      </x:c>
      <x:c r="T517" s="35" t="n">
        <x:v>2</x:v>
      </x:c>
      <x:c r="U517" s="35" t="n">
        <x:v>0</x:v>
      </x:c>
      <x:c r="V517" s="35" t="n">
        <x:v>8</x:v>
      </x:c>
      <x:c r="W517" s="35" t="n">
        <x:v>19</x:v>
      </x:c>
      <x:c r="X517" s="35" t="n">
        <x:v>75</x:v>
      </x:c>
      <x:c r="Y517" s="35" t="n">
        <x:v>4</x:v>
      </x:c>
      <x:c r="Z517" s="35" t="n">
        <x:v>84</x:v>
      </x:c>
      <x:c r="AA517" s="35" t="n">
        <x:v>7</x:v>
      </x:c>
      <x:c r="AB517" s="35" t="n">
        <x:v>2</x:v>
      </x:c>
      <x:c r="AC517" s="35" t="n">
        <x:v>0</x:v>
      </x:c>
      <x:c r="AD517" s="35" t="n">
        <x:v>74</x:v>
      </x:c>
      <x:c r="AE517" s="35" t="n">
        <x:v>80</x:v>
      </x:c>
      <x:c r="AF517" s="35" t="n">
        <x:v>69</x:v>
      </x:c>
      <x:c r="AG517" s="35" t="n">
        <x:v>92</x:v>
      </x:c>
      <x:c r="AH517" s="35" t="n">
        <x:v>5</x:v>
      </x:c>
      <x:c r="AI517" s="37" t="n">
        <x:v>100</x:v>
      </x:c>
      <x:c r="AJ517" s="37" t="n">
        <x:v>98.7</x:v>
      </x:c>
      <x:c r="AK517" s="35" t="str">
        <x:v>Yes</x:v>
      </x:c>
      <x:c r="AL517" s="38" t="n">
        <x:f>IF(AA517=0,0,AB517/AA517)</x:f>
        <x:v>0.2857142857142857</x:v>
      </x:c>
      <x:c r="AM517" s="38" t="n">
        <x:f>IF(AB517=0,0,AC517/AB517)</x:f>
        <x:v>0</x:v>
      </x:c>
      <x:c r="AN517" s="37" t="n">
        <x:f>ROUND((AD517*0.20+AE517*0.20+AF517*0.25+AG517*0.15+MIN(100,AC517*12)*0.20),1)</x:f>
        <x:v>61.9</x:v>
      </x:c>
      <x:c r="AO517" s="37" t="n">
        <x:f>ROUND(MAX(0,MIN(100,(X517*0.35)+(W517/45*100*0.20)+((5-O517)/4*100*0.15)+((5-P517)/4*100*0.10)+((6-Y517)/5*100*0.10)+((100-Z517)*0.10))),1)</x:f>
        <x:v>55.3</x:v>
      </x:c>
      <x:c r="AP517" s="37" t="str">
        <x:f>IF(AO517&gt;=70,"High",IF(AO517&gt;=40,"Moderate","Low"))</x:f>
        <x:v>Moderate</x:v>
      </x:c>
      <x:c r="AQ517" s="37" t="n">
        <x:f>ROUND(MAX(0,MIN(100,(O517/4*100*0.25)+(P517/4*100*0.20)+(Q517/4*100*0.15)+(Y517/5*100*0.20)+(100-AO517)*0.20)),1)</x:f>
        <x:v>68.7</x:v>
      </x:c>
      <x:c r="AR517" s="37" t="n">
        <x:f>ROUND((AI517*0.20+AJ517*0.15+AN517*0.18+AG517*0.12+Z517*0.15+AQ517*0.20),1)</x:f>
        <x:v>83.3</x:v>
      </x:c>
      <x:c r="AS517" s="39" t="n">
        <x:f>ROUND((AC517*AF517*120)+(AH517*350)+(MAX(0,AI517-75)*220)+(MAX(0,AQ517-60)*100),0)</x:f>
        <x:v>8120</x:v>
      </x:c>
    </x:row>
    <x:row r="518">
      <x:c r="A518" s="35" t="n">
        <x:v>517</x:v>
      </x:c>
      <x:c r="B518" s="35" t="n">
        <x:v>36</x:v>
      </x:c>
      <x:c r="C518" s="35" t="str">
        <x:v>Male</x:v>
      </x:c>
      <x:c r="D518" s="35" t="str">
        <x:v>Research &amp; Development</x:v>
      </x:c>
      <x:c r="E518" s="35" t="str">
        <x:v>Research Scientist</x:v>
      </x:c>
      <x:c r="F518" s="35" t="str">
        <x:v>Marketing</x:v>
      </x:c>
      <x:c r="G518" s="35" t="str">
        <x:v>Married</x:v>
      </x:c>
      <x:c r="H518" s="35" t="n">
        <x:v>1</x:v>
      </x:c>
      <x:c r="I518" s="36" t="n">
        <x:v>6910</x:v>
      </x:c>
      <x:c r="J518" s="35" t="n">
        <x:v>11</x:v>
      </x:c>
      <x:c r="K518" s="35" t="n">
        <x:v>6</x:v>
      </x:c>
      <x:c r="L518" s="35" t="n">
        <x:v>2</x:v>
      </x:c>
      <x:c r="M518" s="35" t="n">
        <x:v>1</x:v>
      </x:c>
      <x:c r="N518" s="35" t="str">
        <x:v>Yes</x:v>
      </x:c>
      <x:c r="O518" s="35" t="n">
        <x:v>3</x:v>
      </x:c>
      <x:c r="P518" s="35" t="n">
        <x:v>3</x:v>
      </x:c>
      <x:c r="Q518" s="35" t="n">
        <x:v>2</x:v>
      </x:c>
      <x:c r="R518" s="35" t="n">
        <x:v>4</x:v>
      </x:c>
      <x:c r="S518" s="35" t="n">
        <x:v>3</x:v>
      </x:c>
      <x:c r="T518" s="35" t="n">
        <x:v>1</x:v>
      </x:c>
      <x:c r="U518" s="35" t="n">
        <x:v>0</x:v>
      </x:c>
      <x:c r="V518" s="35" t="n">
        <x:v>6</x:v>
      </x:c>
      <x:c r="W518" s="35" t="n">
        <x:v>17</x:v>
      </x:c>
      <x:c r="X518" s="35" t="n">
        <x:v>85</x:v>
      </x:c>
      <x:c r="Y518" s="35" t="n">
        <x:v>5</x:v>
      </x:c>
      <x:c r="Z518" s="35" t="n">
        <x:v>100</x:v>
      </x:c>
      <x:c r="AA518" s="35" t="n">
        <x:v>1</x:v>
      </x:c>
      <x:c r="AB518" s="35" t="n">
        <x:v>1</x:v>
      </x:c>
      <x:c r="AC518" s="35" t="n">
        <x:v>1</x:v>
      </x:c>
      <x:c r="AD518" s="35" t="n">
        <x:v>64</x:v>
      </x:c>
      <x:c r="AE518" s="35" t="n">
        <x:v>70</x:v>
      </x:c>
      <x:c r="AF518" s="35" t="n">
        <x:v>76</x:v>
      </x:c>
      <x:c r="AG518" s="35" t="n">
        <x:v>100</x:v>
      </x:c>
      <x:c r="AH518" s="35" t="n">
        <x:v>3</x:v>
      </x:c>
      <x:c r="AI518" s="37" t="n">
        <x:v>100</x:v>
      </x:c>
      <x:c r="AJ518" s="37" t="n">
        <x:v>98.4</x:v>
      </x:c>
      <x:c r="AK518" s="35" t="str">
        <x:v>No</x:v>
      </x:c>
      <x:c r="AL518" s="38" t="n">
        <x:f>IF(AA518=0,0,AB518/AA518)</x:f>
        <x:v>1</x:v>
      </x:c>
      <x:c r="AM518" s="38" t="n">
        <x:f>IF(AB518=0,0,AC518/AB518)</x:f>
        <x:v>1</x:v>
      </x:c>
      <x:c r="AN518" s="37" t="n">
        <x:f>ROUND((AD518*0.20+AE518*0.20+AF518*0.25+AG518*0.15+MIN(100,AC518*12)*0.20),1)</x:f>
        <x:v>63.2</x:v>
      </x:c>
      <x:c r="AO518" s="37" t="n">
        <x:f>ROUND(MAX(0,MIN(100,(X518*0.35)+(W518/45*100*0.20)+((5-O518)/4*100*0.15)+((5-P518)/4*100*0.10)+((6-Y518)/5*100*0.10)+((100-Z518)*0.10))),1)</x:f>
        <x:v>51.8</x:v>
      </x:c>
      <x:c r="AP518" s="37" t="str">
        <x:f>IF(AO518&gt;=70,"High",IF(AO518&gt;=40,"Moderate","Low"))</x:f>
        <x:v>Moderate</x:v>
      </x:c>
      <x:c r="AQ518" s="37" t="n">
        <x:f>ROUND(MAX(0,MIN(100,(O518/4*100*0.25)+(P518/4*100*0.20)+(Q518/4*100*0.15)+(Y518/5*100*0.20)+(100-AO518)*0.20)),1)</x:f>
        <x:v>70.9</x:v>
      </x:c>
      <x:c r="AR518" s="37" t="n">
        <x:f>ROUND((AI518*0.20+AJ518*0.15+AN518*0.18+AG518*0.12+Z518*0.15+AQ518*0.20),1)</x:f>
        <x:v>87.3</x:v>
      </x:c>
      <x:c r="AS518" s="39" t="n">
        <x:f>ROUND((AC518*AF518*120)+(AH518*350)+(MAX(0,AI518-75)*220)+(MAX(0,AQ518-60)*100),0)</x:f>
        <x:v>16760</x:v>
      </x:c>
    </x:row>
    <x:row r="519">
      <x:c r="A519" s="35" t="n">
        <x:v>518</x:v>
      </x:c>
      <x:c r="B519" s="35" t="n">
        <x:v>33</x:v>
      </x:c>
      <x:c r="C519" s="35" t="str">
        <x:v>Female</x:v>
      </x:c>
      <x:c r="D519" s="35" t="str">
        <x:v>Marketing</x:v>
      </x:c>
      <x:c r="E519" s="35" t="str">
        <x:v>Marketing Manager</x:v>
      </x:c>
      <x:c r="F519" s="35" t="str">
        <x:v>Computer Science</x:v>
      </x:c>
      <x:c r="G519" s="35" t="str">
        <x:v>Married</x:v>
      </x:c>
      <x:c r="H519" s="35" t="n">
        <x:v>1</x:v>
      </x:c>
      <x:c r="I519" s="36" t="n">
        <x:v>5180</x:v>
      </x:c>
      <x:c r="J519" s="35" t="n">
        <x:v>7</x:v>
      </x:c>
      <x:c r="K519" s="35" t="n">
        <x:v>3</x:v>
      </x:c>
      <x:c r="L519" s="35" t="n">
        <x:v>1</x:v>
      </x:c>
      <x:c r="M519" s="35" t="n">
        <x:v>10</x:v>
      </x:c>
      <x:c r="N519" s="35" t="str">
        <x:v>No</x:v>
      </x:c>
      <x:c r="O519" s="35" t="n">
        <x:v>2</x:v>
      </x:c>
      <x:c r="P519" s="35" t="n">
        <x:v>2</x:v>
      </x:c>
      <x:c r="Q519" s="35" t="n">
        <x:v>3</x:v>
      </x:c>
      <x:c r="R519" s="35" t="n">
        <x:v>3</x:v>
      </x:c>
      <x:c r="S519" s="35" t="n">
        <x:v>3</x:v>
      </x:c>
      <x:c r="T519" s="35" t="n">
        <x:v>4</x:v>
      </x:c>
      <x:c r="U519" s="35" t="n">
        <x:v>1</x:v>
      </x:c>
      <x:c r="V519" s="35" t="n">
        <x:v>8</x:v>
      </x:c>
      <x:c r="W519" s="35" t="n">
        <x:v>17</x:v>
      </x:c>
      <x:c r="X519" s="35" t="n">
        <x:v>55</x:v>
      </x:c>
      <x:c r="Y519" s="35" t="n">
        <x:v>5</x:v>
      </x:c>
      <x:c r="Z519" s="35" t="n">
        <x:v>100</x:v>
      </x:c>
      <x:c r="AA519" s="35" t="n">
        <x:v>3</x:v>
      </x:c>
      <x:c r="AB519" s="35" t="n">
        <x:v>2</x:v>
      </x:c>
      <x:c r="AC519" s="35" t="n">
        <x:v>2</x:v>
      </x:c>
      <x:c r="AD519" s="35" t="n">
        <x:v>70</x:v>
      </x:c>
      <x:c r="AE519" s="35" t="n">
        <x:v>74</x:v>
      </x:c>
      <x:c r="AF519" s="35" t="n">
        <x:v>84</x:v>
      </x:c>
      <x:c r="AG519" s="35" t="n">
        <x:v>76</x:v>
      </x:c>
      <x:c r="AH519" s="35" t="n">
        <x:v>7</x:v>
      </x:c>
      <x:c r="AI519" s="37" t="n">
        <x:v>100</x:v>
      </x:c>
      <x:c r="AJ519" s="37" t="n">
        <x:v>100</x:v>
      </x:c>
      <x:c r="AK519" s="35" t="str">
        <x:v>No</x:v>
      </x:c>
      <x:c r="AL519" s="38" t="n">
        <x:f>IF(AA519=0,0,AB519/AA519)</x:f>
        <x:v>0.6666666666666666</x:v>
      </x:c>
      <x:c r="AM519" s="38" t="n">
        <x:f>IF(AB519=0,0,AC519/AB519)</x:f>
        <x:v>1</x:v>
      </x:c>
      <x:c r="AN519" s="37" t="n">
        <x:f>ROUND((AD519*0.20+AE519*0.20+AF519*0.25+AG519*0.15+MIN(100,AC519*12)*0.20),1)</x:f>
        <x:v>66</x:v>
      </x:c>
      <x:c r="AO519" s="37" t="n">
        <x:f>ROUND(MAX(0,MIN(100,(X519*0.35)+(W519/45*100*0.20)+((5-O519)/4*100*0.15)+((5-P519)/4*100*0.10)+((6-Y519)/5*100*0.10)+((100-Z519)*0.10))),1)</x:f>
        <x:v>47.6</x:v>
      </x:c>
      <x:c r="AP519" s="37" t="str">
        <x:f>IF(AO519&gt;=70,"High",IF(AO519&gt;=40,"Moderate","Low"))</x:f>
        <x:v>Moderate</x:v>
      </x:c>
      <x:c r="AQ519" s="37" t="n">
        <x:f>ROUND(MAX(0,MIN(100,(O519/4*100*0.25)+(P519/4*100*0.20)+(Q519/4*100*0.15)+(Y519/5*100*0.20)+(100-AO519)*0.20)),1)</x:f>
        <x:v>64.2</x:v>
      </x:c>
      <x:c r="AR519" s="37" t="n">
        <x:f>ROUND((AI519*0.20+AJ519*0.15+AN519*0.18+AG519*0.12+Z519*0.15+AQ519*0.20),1)</x:f>
        <x:v>83.8</x:v>
      </x:c>
      <x:c r="AS519" s="39" t="n">
        <x:f>ROUND((AC519*AF519*120)+(AH519*350)+(MAX(0,AI519-75)*220)+(MAX(0,AQ519-60)*100),0)</x:f>
        <x:v>28530</x:v>
      </x:c>
    </x:row>
    <x:row r="520">
      <x:c r="A520" s="35" t="n">
        <x:v>519</x:v>
      </x:c>
      <x:c r="B520" s="35" t="n">
        <x:v>23</x:v>
      </x:c>
      <x:c r="C520" s="35" t="str">
        <x:v>Female</x:v>
      </x:c>
      <x:c r="D520" s="35" t="str">
        <x:v>Research &amp; Development</x:v>
      </x:c>
      <x:c r="E520" s="35" t="str">
        <x:v>Laboratory Technician</x:v>
      </x:c>
      <x:c r="F520" s="35" t="str">
        <x:v>Human Resources</x:v>
      </x:c>
      <x:c r="G520" s="35" t="str">
        <x:v>Married</x:v>
      </x:c>
      <x:c r="H520" s="35" t="n">
        <x:v>1</x:v>
      </x:c>
      <x:c r="I520" s="36" t="n">
        <x:v>4100</x:v>
      </x:c>
      <x:c r="J520" s="35" t="n">
        <x:v>1</x:v>
      </x:c>
      <x:c r="K520" s="35" t="n">
        <x:v>0</x:v>
      </x:c>
      <x:c r="L520" s="35" t="n">
        <x:v>0</x:v>
      </x:c>
      <x:c r="M520" s="35" t="n">
        <x:v>7</x:v>
      </x:c>
      <x:c r="N520" s="35" t="str">
        <x:v>No</x:v>
      </x:c>
      <x:c r="O520" s="35" t="n">
        <x:v>3</x:v>
      </x:c>
      <x:c r="P520" s="35" t="n">
        <x:v>4</x:v>
      </x:c>
      <x:c r="Q520" s="35" t="n">
        <x:v>3</x:v>
      </x:c>
      <x:c r="R520" s="35" t="n">
        <x:v>2</x:v>
      </x:c>
      <x:c r="S520" s="35" t="n">
        <x:v>3</x:v>
      </x:c>
      <x:c r="T520" s="35" t="n">
        <x:v>3</x:v>
      </x:c>
      <x:c r="U520" s="35" t="n">
        <x:v>1</x:v>
      </x:c>
      <x:c r="V520" s="35" t="n">
        <x:v>3</x:v>
      </x:c>
      <x:c r="W520" s="35" t="n">
        <x:v>0</x:v>
      </x:c>
      <x:c r="X520" s="35" t="n">
        <x:v>49</x:v>
      </x:c>
      <x:c r="Y520" s="35" t="n">
        <x:v>5</x:v>
      </x:c>
      <x:c r="Z520" s="35" t="n">
        <x:v>93</x:v>
      </x:c>
      <x:c r="AA520" s="35" t="n">
        <x:v>8</x:v>
      </x:c>
      <x:c r="AB520" s="35" t="n">
        <x:v>5</x:v>
      </x:c>
      <x:c r="AC520" s="35" t="n">
        <x:v>4</x:v>
      </x:c>
      <x:c r="AD520" s="35" t="n">
        <x:v>69</x:v>
      </x:c>
      <x:c r="AE520" s="35" t="n">
        <x:v>81</x:v>
      </x:c>
      <x:c r="AF520" s="35" t="n">
        <x:v>82</x:v>
      </x:c>
      <x:c r="AG520" s="35" t="n">
        <x:v>83</x:v>
      </x:c>
      <x:c r="AH520" s="35" t="n">
        <x:v>10</x:v>
      </x:c>
      <x:c r="AI520" s="37" t="n">
        <x:v>97</x:v>
      </x:c>
      <x:c r="AJ520" s="37" t="n">
        <x:v>90</x:v>
      </x:c>
      <x:c r="AK520" s="35" t="str">
        <x:v>No</x:v>
      </x:c>
      <x:c r="AL520" s="38" t="n">
        <x:f>IF(AA520=0,0,AB520/AA520)</x:f>
        <x:v>0.625</x:v>
      </x:c>
      <x:c r="AM520" s="38" t="n">
        <x:f>IF(AB520=0,0,AC520/AB520)</x:f>
        <x:v>0.8</x:v>
      </x:c>
      <x:c r="AN520" s="37" t="n">
        <x:f>ROUND((AD520*0.20+AE520*0.20+AF520*0.25+AG520*0.15+MIN(100,AC520*12)*0.20),1)</x:f>
        <x:v>72.6</x:v>
      </x:c>
      <x:c r="AO520" s="37" t="n">
        <x:f>ROUND(MAX(0,MIN(100,(X520*0.35)+(W520/45*100*0.20)+((5-O520)/4*100*0.15)+((5-P520)/4*100*0.10)+((6-Y520)/5*100*0.10)+((100-Z520)*0.10))),1)</x:f>
        <x:v>29.9</x:v>
      </x:c>
      <x:c r="AP520" s="37" t="str">
        <x:f>IF(AO520&gt;=70,"High",IF(AO520&gt;=40,"Moderate","Low"))</x:f>
        <x:v>Low</x:v>
      </x:c>
      <x:c r="AQ520" s="37" t="n">
        <x:f>ROUND(MAX(0,MIN(100,(O520/4*100*0.25)+(P520/4*100*0.20)+(Q520/4*100*0.15)+(Y520/5*100*0.20)+(100-AO520)*0.20)),1)</x:f>
        <x:v>84</x:v>
      </x:c>
      <x:c r="AR520" s="37" t="n">
        <x:f>ROUND((AI520*0.20+AJ520*0.15+AN520*0.18+AG520*0.12+Z520*0.15+AQ520*0.20),1)</x:f>
        <x:v>86.7</x:v>
      </x:c>
      <x:c r="AS520" s="39" t="n">
        <x:f>ROUND((AC520*AF520*120)+(AH520*350)+(MAX(0,AI520-75)*220)+(MAX(0,AQ520-60)*100),0)</x:f>
        <x:v>50100</x:v>
      </x:c>
    </x:row>
    <x:row r="521">
      <x:c r="A521" s="35" t="n">
        <x:v>520</x:v>
      </x:c>
      <x:c r="B521" s="35" t="n">
        <x:v>35</x:v>
      </x:c>
      <x:c r="C521" s="35" t="str">
        <x:v>Male</x:v>
      </x:c>
      <x:c r="D521" s="35" t="str">
        <x:v>Information Technology</x:v>
      </x:c>
      <x:c r="E521" s="35" t="str">
        <x:v>Software Engineer</x:v>
      </x:c>
      <x:c r="F521" s="35" t="str">
        <x:v>Human Resources</x:v>
      </x:c>
      <x:c r="G521" s="35" t="str">
        <x:v>Married</x:v>
      </x:c>
      <x:c r="H521" s="35" t="n">
        <x:v>3</x:v>
      </x:c>
      <x:c r="I521" s="36" t="n">
        <x:v>10990</x:v>
      </x:c>
      <x:c r="J521" s="35" t="n">
        <x:v>8</x:v>
      </x:c>
      <x:c r="K521" s="35" t="n">
        <x:v>5</x:v>
      </x:c>
      <x:c r="L521" s="35" t="n">
        <x:v>2</x:v>
      </x:c>
      <x:c r="M521" s="35" t="n">
        <x:v>4</x:v>
      </x:c>
      <x:c r="N521" s="35" t="str">
        <x:v>No</x:v>
      </x:c>
      <x:c r="O521" s="35" t="n">
        <x:v>3</x:v>
      </x:c>
      <x:c r="P521" s="35" t="n">
        <x:v>2</x:v>
      </x:c>
      <x:c r="Q521" s="35" t="n">
        <x:v>2</x:v>
      </x:c>
      <x:c r="R521" s="35" t="n">
        <x:v>3</x:v>
      </x:c>
      <x:c r="S521" s="35" t="n">
        <x:v>3</x:v>
      </x:c>
      <x:c r="T521" s="35" t="n">
        <x:v>4</x:v>
      </x:c>
      <x:c r="U521" s="35" t="n">
        <x:v>2</x:v>
      </x:c>
      <x:c r="V521" s="35" t="n">
        <x:v>5</x:v>
      </x:c>
      <x:c r="W521" s="35" t="n">
        <x:v>0</x:v>
      </x:c>
      <x:c r="X521" s="35" t="n">
        <x:v>50</x:v>
      </x:c>
      <x:c r="Y521" s="35" t="n">
        <x:v>5</x:v>
      </x:c>
      <x:c r="Z521" s="35" t="n">
        <x:v>99</x:v>
      </x:c>
      <x:c r="AA521" s="35" t="n">
        <x:v>7</x:v>
      </x:c>
      <x:c r="AB521" s="35" t="n">
        <x:v>5</x:v>
      </x:c>
      <x:c r="AC521" s="35" t="n">
        <x:v>2</x:v>
      </x:c>
      <x:c r="AD521" s="35" t="n">
        <x:v>91</x:v>
      </x:c>
      <x:c r="AE521" s="35" t="n">
        <x:v>82</x:v>
      </x:c>
      <x:c r="AF521" s="35" t="n">
        <x:v>67</x:v>
      </x:c>
      <x:c r="AG521" s="35" t="n">
        <x:v>82</x:v>
      </x:c>
      <x:c r="AH521" s="35" t="n">
        <x:v>4</x:v>
      </x:c>
      <x:c r="AI521" s="37" t="n">
        <x:v>100</x:v>
      </x:c>
      <x:c r="AJ521" s="37" t="n">
        <x:v>93.3</x:v>
      </x:c>
      <x:c r="AK521" s="35" t="str">
        <x:v>No</x:v>
      </x:c>
      <x:c r="AL521" s="38" t="n">
        <x:f>IF(AA521=0,0,AB521/AA521)</x:f>
        <x:v>0.7142857142857143</x:v>
      </x:c>
      <x:c r="AM521" s="38" t="n">
        <x:f>IF(AB521=0,0,AC521/AB521)</x:f>
        <x:v>0.4</x:v>
      </x:c>
      <x:c r="AN521" s="37" t="n">
        <x:f>ROUND((AD521*0.20+AE521*0.20+AF521*0.25+AG521*0.15+MIN(100,AC521*12)*0.20),1)</x:f>
        <x:v>68.5</x:v>
      </x:c>
      <x:c r="AO521" s="37" t="n">
        <x:f>ROUND(MAX(0,MIN(100,(X521*0.35)+(W521/45*100*0.20)+((5-O521)/4*100*0.15)+((5-P521)/4*100*0.10)+((6-Y521)/5*100*0.10)+((100-Z521)*0.10))),1)</x:f>
        <x:v>34.6</x:v>
      </x:c>
      <x:c r="AP521" s="37" t="str">
        <x:f>IF(AO521&gt;=70,"High",IF(AO521&gt;=40,"Moderate","Low"))</x:f>
        <x:v>Low</x:v>
      </x:c>
      <x:c r="AQ521" s="37" t="n">
        <x:f>ROUND(MAX(0,MIN(100,(O521/4*100*0.25)+(P521/4*100*0.20)+(Q521/4*100*0.15)+(Y521/5*100*0.20)+(100-AO521)*0.20)),1)</x:f>
        <x:v>69.3</x:v>
      </x:c>
      <x:c r="AR521" s="37" t="n">
        <x:f>ROUND((AI521*0.20+AJ521*0.15+AN521*0.18+AG521*0.12+Z521*0.15+AQ521*0.20),1)</x:f>
        <x:v>84.9</x:v>
      </x:c>
      <x:c r="AS521" s="39" t="n">
        <x:f>ROUND((AC521*AF521*120)+(AH521*350)+(MAX(0,AI521-75)*220)+(MAX(0,AQ521-60)*100),0)</x:f>
        <x:v>23910</x:v>
      </x:c>
    </x:row>
    <x:row r="522">
      <x:c r="A522" s="35" t="n">
        <x:v>521</x:v>
      </x:c>
      <x:c r="B522" s="35" t="n">
        <x:v>60</x:v>
      </x:c>
      <x:c r="C522" s="35" t="str">
        <x:v>Female</x:v>
      </x:c>
      <x:c r="D522" s="35" t="str">
        <x:v>Research &amp; Development</x:v>
      </x:c>
      <x:c r="E522" s="35" t="str">
        <x:v>Research Scientist</x:v>
      </x:c>
      <x:c r="F522" s="35" t="str">
        <x:v>Human Resources</x:v>
      </x:c>
      <x:c r="G522" s="35" t="str">
        <x:v>Married</x:v>
      </x:c>
      <x:c r="H522" s="35" t="n">
        <x:v>4</x:v>
      </x:c>
      <x:c r="I522" s="36" t="n">
        <x:v>15150</x:v>
      </x:c>
      <x:c r="J522" s="35" t="n">
        <x:v>22</x:v>
      </x:c>
      <x:c r="K522" s="35" t="n">
        <x:v>15</x:v>
      </x:c>
      <x:c r="L522" s="35" t="n">
        <x:v>5</x:v>
      </x:c>
      <x:c r="M522" s="35" t="n">
        <x:v>22</x:v>
      </x:c>
      <x:c r="N522" s="35" t="str">
        <x:v>Yes</x:v>
      </x:c>
      <x:c r="O522" s="35" t="n">
        <x:v>2</x:v>
      </x:c>
      <x:c r="P522" s="35" t="n">
        <x:v>3</x:v>
      </x:c>
      <x:c r="Q522" s="35" t="n">
        <x:v>4</x:v>
      </x:c>
      <x:c r="R522" s="35" t="n">
        <x:v>4</x:v>
      </x:c>
      <x:c r="S522" s="35" t="n">
        <x:v>3</x:v>
      </x:c>
      <x:c r="T522" s="35" t="n">
        <x:v>3</x:v>
      </x:c>
      <x:c r="U522" s="35" t="n">
        <x:v>0</x:v>
      </x:c>
      <x:c r="V522" s="35" t="n">
        <x:v>3</x:v>
      </x:c>
      <x:c r="W522" s="35" t="n">
        <x:v>34</x:v>
      </x:c>
      <x:c r="X522" s="35" t="n">
        <x:v>69</x:v>
      </x:c>
      <x:c r="Y522" s="35" t="n">
        <x:v>4</x:v>
      </x:c>
      <x:c r="Z522" s="35" t="n">
        <x:v>100</x:v>
      </x:c>
      <x:c r="AA522" s="35" t="n">
        <x:v>3</x:v>
      </x:c>
      <x:c r="AB522" s="35" t="n">
        <x:v>3</x:v>
      </x:c>
      <x:c r="AC522" s="35" t="n">
        <x:v>2</x:v>
      </x:c>
      <x:c r="AD522" s="35" t="n">
        <x:v>63</x:v>
      </x:c>
      <x:c r="AE522" s="35" t="n">
        <x:v>54</x:v>
      </x:c>
      <x:c r="AF522" s="35" t="n">
        <x:v>89</x:v>
      </x:c>
      <x:c r="AG522" s="35" t="n">
        <x:v>95</x:v>
      </x:c>
      <x:c r="AH522" s="35" t="n">
        <x:v>6</x:v>
      </x:c>
      <x:c r="AI522" s="37" t="n">
        <x:v>100</x:v>
      </x:c>
      <x:c r="AJ522" s="37" t="n">
        <x:v>94.5</x:v>
      </x:c>
      <x:c r="AK522" s="35" t="str">
        <x:v>Yes</x:v>
      </x:c>
      <x:c r="AL522" s="38" t="n">
        <x:f>IF(AA522=0,0,AB522/AA522)</x:f>
        <x:v>1</x:v>
      </x:c>
      <x:c r="AM522" s="38" t="n">
        <x:f>IF(AB522=0,0,AC522/AB522)</x:f>
        <x:v>0.6666666666666666</x:v>
      </x:c>
      <x:c r="AN522" s="37" t="n">
        <x:f>ROUND((AD522*0.20+AE522*0.20+AF522*0.25+AG522*0.15+MIN(100,AC522*12)*0.20),1)</x:f>
        <x:v>64.7</x:v>
      </x:c>
      <x:c r="AO522" s="37" t="n">
        <x:f>ROUND(MAX(0,MIN(100,(X522*0.35)+(W522/45*100*0.20)+((5-O522)/4*100*0.15)+((5-P522)/4*100*0.10)+((6-Y522)/5*100*0.10)+((100-Z522)*0.10))),1)</x:f>
        <x:v>59.5</x:v>
      </x:c>
      <x:c r="AP522" s="37" t="str">
        <x:f>IF(AO522&gt;=70,"High",IF(AO522&gt;=40,"Moderate","Low"))</x:f>
        <x:v>Moderate</x:v>
      </x:c>
      <x:c r="AQ522" s="37" t="n">
        <x:f>ROUND(MAX(0,MIN(100,(O522/4*100*0.25)+(P522/4*100*0.20)+(Q522/4*100*0.15)+(Y522/5*100*0.20)+(100-AO522)*0.20)),1)</x:f>
        <x:v>66.6</x:v>
      </x:c>
      <x:c r="AR522" s="37" t="n">
        <x:f>ROUND((AI522*0.20+AJ522*0.15+AN522*0.18+AG522*0.12+Z522*0.15+AQ522*0.20),1)</x:f>
        <x:v>85.5</x:v>
      </x:c>
      <x:c r="AS522" s="39" t="n">
        <x:f>ROUND((AC522*AF522*120)+(AH522*350)+(MAX(0,AI522-75)*220)+(MAX(0,AQ522-60)*100),0)</x:f>
        <x:v>29620</x:v>
      </x:c>
    </x:row>
    <x:row r="523">
      <x:c r="A523" s="35" t="n">
        <x:v>522</x:v>
      </x:c>
      <x:c r="B523" s="35" t="n">
        <x:v>50</x:v>
      </x:c>
      <x:c r="C523" s="35" t="str">
        <x:v>Female</x:v>
      </x:c>
      <x:c r="D523" s="35" t="str">
        <x:v>Marketing</x:v>
      </x:c>
      <x:c r="E523" s="35" t="str">
        <x:v>Marketing Specialist</x:v>
      </x:c>
      <x:c r="F523" s="35" t="str">
        <x:v>Technical Degree</x:v>
      </x:c>
      <x:c r="G523" s="35" t="str">
        <x:v>Single</x:v>
      </x:c>
      <x:c r="H523" s="35" t="n">
        <x:v>4</x:v>
      </x:c>
      <x:c r="I523" s="36" t="n">
        <x:v>17900</x:v>
      </x:c>
      <x:c r="J523" s="35" t="n">
        <x:v>26</x:v>
      </x:c>
      <x:c r="K523" s="35" t="n">
        <x:v>16</x:v>
      </x:c>
      <x:c r="L523" s="35" t="n">
        <x:v>10</x:v>
      </x:c>
      <x:c r="M523" s="35" t="n">
        <x:v>6</x:v>
      </x:c>
      <x:c r="N523" s="35" t="str">
        <x:v>No</x:v>
      </x:c>
      <x:c r="O523" s="35" t="n">
        <x:v>3</x:v>
      </x:c>
      <x:c r="P523" s="35" t="n">
        <x:v>2</x:v>
      </x:c>
      <x:c r="Q523" s="35" t="n">
        <x:v>3</x:v>
      </x:c>
      <x:c r="R523" s="35" t="n">
        <x:v>2</x:v>
      </x:c>
      <x:c r="S523" s="35" t="n">
        <x:v>3</x:v>
      </x:c>
      <x:c r="T523" s="35" t="n">
        <x:v>2</x:v>
      </x:c>
      <x:c r="U523" s="35" t="n">
        <x:v>0</x:v>
      </x:c>
      <x:c r="V523" s="35" t="n">
        <x:v>2</x:v>
      </x:c>
      <x:c r="W523" s="35" t="n">
        <x:v>0</x:v>
      </x:c>
      <x:c r="X523" s="35" t="n">
        <x:v>73</x:v>
      </x:c>
      <x:c r="Y523" s="35" t="n">
        <x:v>5</x:v>
      </x:c>
      <x:c r="Z523" s="35" t="n">
        <x:v>85</x:v>
      </x:c>
      <x:c r="AA523" s="35" t="n">
        <x:v>6</x:v>
      </x:c>
      <x:c r="AB523" s="35" t="n">
        <x:v>6</x:v>
      </x:c>
      <x:c r="AC523" s="35" t="n">
        <x:v>3</x:v>
      </x:c>
      <x:c r="AD523" s="35" t="n">
        <x:v>76</x:v>
      </x:c>
      <x:c r="AE523" s="35" t="n">
        <x:v>77</x:v>
      </x:c>
      <x:c r="AF523" s="35" t="n">
        <x:v>92</x:v>
      </x:c>
      <x:c r="AG523" s="35" t="n">
        <x:v>76</x:v>
      </x:c>
      <x:c r="AH523" s="35" t="n">
        <x:v>5</x:v>
      </x:c>
      <x:c r="AI523" s="37" t="n">
        <x:v>90.3</x:v>
      </x:c>
      <x:c r="AJ523" s="37" t="n">
        <x:v>89.2</x:v>
      </x:c>
      <x:c r="AK523" s="35" t="str">
        <x:v>No</x:v>
      </x:c>
      <x:c r="AL523" s="38" t="n">
        <x:f>IF(AA523=0,0,AB523/AA523)</x:f>
        <x:v>1</x:v>
      </x:c>
      <x:c r="AM523" s="38" t="n">
        <x:f>IF(AB523=0,0,AC523/AB523)</x:f>
        <x:v>0.5</x:v>
      </x:c>
      <x:c r="AN523" s="37" t="n">
        <x:f>ROUND((AD523*0.20+AE523*0.20+AF523*0.25+AG523*0.15+MIN(100,AC523*12)*0.20),1)</x:f>
        <x:v>72.2</x:v>
      </x:c>
      <x:c r="AO523" s="37" t="n">
        <x:f>ROUND(MAX(0,MIN(100,(X523*0.35)+(W523/45*100*0.20)+((5-O523)/4*100*0.15)+((5-P523)/4*100*0.10)+((6-Y523)/5*100*0.10)+((100-Z523)*0.10))),1)</x:f>
        <x:v>44.1</x:v>
      </x:c>
      <x:c r="AP523" s="37" t="str">
        <x:f>IF(AO523&gt;=70,"High",IF(AO523&gt;=40,"Moderate","Low"))</x:f>
        <x:v>Moderate</x:v>
      </x:c>
      <x:c r="AQ523" s="37" t="n">
        <x:f>ROUND(MAX(0,MIN(100,(O523/4*100*0.25)+(P523/4*100*0.20)+(Q523/4*100*0.15)+(Y523/5*100*0.20)+(100-AO523)*0.20)),1)</x:f>
        <x:v>71.2</x:v>
      </x:c>
      <x:c r="AR523" s="37" t="n">
        <x:f>ROUND((AI523*0.20+AJ523*0.15+AN523*0.18+AG523*0.12+Z523*0.15+AQ523*0.20),1)</x:f>
        <x:v>80.5</x:v>
      </x:c>
      <x:c r="AS523" s="39" t="n">
        <x:f>ROUND((AC523*AF523*120)+(AH523*350)+(MAX(0,AI523-75)*220)+(MAX(0,AQ523-60)*100),0)</x:f>
        <x:v>39356</x:v>
      </x:c>
    </x:row>
    <x:row r="524">
      <x:c r="A524" s="35" t="n">
        <x:v>523</x:v>
      </x:c>
      <x:c r="B524" s="35" t="n">
        <x:v>36</x:v>
      </x:c>
      <x:c r="C524" s="35" t="str">
        <x:v>Female</x:v>
      </x:c>
      <x:c r="D524" s="35" t="str">
        <x:v>Sales</x:v>
      </x:c>
      <x:c r="E524" s="35" t="str">
        <x:v>Account Manager</x:v>
      </x:c>
      <x:c r="F524" s="35" t="str">
        <x:v>Business</x:v>
      </x:c>
      <x:c r="G524" s="35" t="str">
        <x:v>Single</x:v>
      </x:c>
      <x:c r="H524" s="35" t="n">
        <x:v>3</x:v>
      </x:c>
      <x:c r="I524" s="36" t="n">
        <x:v>13350</x:v>
      </x:c>
      <x:c r="J524" s="35" t="n">
        <x:v>13</x:v>
      </x:c>
      <x:c r="K524" s="35" t="n">
        <x:v>7</x:v>
      </x:c>
      <x:c r="L524" s="35" t="n">
        <x:v>5</x:v>
      </x:c>
      <x:c r="M524" s="35" t="n">
        <x:v>3</x:v>
      </x:c>
      <x:c r="N524" s="35" t="str">
        <x:v>No</x:v>
      </x:c>
      <x:c r="O524" s="35" t="n">
        <x:v>3</x:v>
      </x:c>
      <x:c r="P524" s="35" t="n">
        <x:v>3</x:v>
      </x:c>
      <x:c r="Q524" s="35" t="n">
        <x:v>3</x:v>
      </x:c>
      <x:c r="R524" s="35" t="n">
        <x:v>3</x:v>
      </x:c>
      <x:c r="S524" s="35" t="n">
        <x:v>3</x:v>
      </x:c>
      <x:c r="T524" s="35" t="n">
        <x:v>1</x:v>
      </x:c>
      <x:c r="U524" s="35" t="n">
        <x:v>1</x:v>
      </x:c>
      <x:c r="V524" s="35" t="n">
        <x:v>4</x:v>
      </x:c>
      <x:c r="W524" s="35" t="n">
        <x:v>0</x:v>
      </x:c>
      <x:c r="X524" s="35" t="n">
        <x:v>70</x:v>
      </x:c>
      <x:c r="Y524" s="35" t="n">
        <x:v>4</x:v>
      </x:c>
      <x:c r="Z524" s="35" t="n">
        <x:v>100</x:v>
      </x:c>
      <x:c r="AA524" s="35" t="n">
        <x:v>3</x:v>
      </x:c>
      <x:c r="AB524" s="35" t="n">
        <x:v>2</x:v>
      </x:c>
      <x:c r="AC524" s="35" t="n">
        <x:v>1</x:v>
      </x:c>
      <x:c r="AD524" s="35" t="n">
        <x:v>61</x:v>
      </x:c>
      <x:c r="AE524" s="35" t="n">
        <x:v>78</x:v>
      </x:c>
      <x:c r="AF524" s="35" t="n">
        <x:v>65</x:v>
      </x:c>
      <x:c r="AG524" s="35" t="n">
        <x:v>91</x:v>
      </x:c>
      <x:c r="AH524" s="35" t="n">
        <x:v>6</x:v>
      </x:c>
      <x:c r="AI524" s="37" t="n">
        <x:v>100</x:v>
      </x:c>
      <x:c r="AJ524" s="37" t="n">
        <x:v>92.6</x:v>
      </x:c>
      <x:c r="AK524" s="35" t="str">
        <x:v>No</x:v>
      </x:c>
      <x:c r="AL524" s="38" t="n">
        <x:f>IF(AA524=0,0,AB524/AA524)</x:f>
        <x:v>0.6666666666666666</x:v>
      </x:c>
      <x:c r="AM524" s="38" t="n">
        <x:f>IF(AB524=0,0,AC524/AB524)</x:f>
        <x:v>0.5</x:v>
      </x:c>
      <x:c r="AN524" s="37" t="n">
        <x:f>ROUND((AD524*0.20+AE524*0.20+AF524*0.25+AG524*0.15+MIN(100,AC524*12)*0.20),1)</x:f>
        <x:v>60.1</x:v>
      </x:c>
      <x:c r="AO524" s="37" t="n">
        <x:f>ROUND(MAX(0,MIN(100,(X524*0.35)+(W524/45*100*0.20)+((5-O524)/4*100*0.15)+((5-P524)/4*100*0.10)+((6-Y524)/5*100*0.10)+((100-Z524)*0.10))),1)</x:f>
        <x:v>41</x:v>
      </x:c>
      <x:c r="AP524" s="37" t="str">
        <x:f>IF(AO524&gt;=70,"High",IF(AO524&gt;=40,"Moderate","Low"))</x:f>
        <x:v>Moderate</x:v>
      </x:c>
      <x:c r="AQ524" s="37" t="n">
        <x:f>ROUND(MAX(0,MIN(100,(O524/4*100*0.25)+(P524/4*100*0.20)+(Q524/4*100*0.15)+(Y524/5*100*0.20)+(100-AO524)*0.20)),1)</x:f>
        <x:v>72.8</x:v>
      </x:c>
      <x:c r="AR524" s="37" t="n">
        <x:f>ROUND((AI524*0.20+AJ524*0.15+AN524*0.18+AG524*0.12+Z524*0.15+AQ524*0.20),1)</x:f>
        <x:v>85.2</x:v>
      </x:c>
      <x:c r="AS524" s="39" t="n">
        <x:f>ROUND((AC524*AF524*120)+(AH524*350)+(MAX(0,AI524-75)*220)+(MAX(0,AQ524-60)*100),0)</x:f>
        <x:v>16680</x:v>
      </x:c>
    </x:row>
    <x:row r="525">
      <x:c r="A525" s="35" t="n">
        <x:v>524</x:v>
      </x:c>
      <x:c r="B525" s="35" t="n">
        <x:v>37</x:v>
      </x:c>
      <x:c r="C525" s="35" t="str">
        <x:v>Male</x:v>
      </x:c>
      <x:c r="D525" s="35" t="str">
        <x:v>Information Technology</x:v>
      </x:c>
      <x:c r="E525" s="35" t="str">
        <x:v>IT Manager</x:v>
      </x:c>
      <x:c r="F525" s="35" t="str">
        <x:v>Marketing</x:v>
      </x:c>
      <x:c r="G525" s="35" t="str">
        <x:v>Single</x:v>
      </x:c>
      <x:c r="H525" s="35" t="n">
        <x:v>2</x:v>
      </x:c>
      <x:c r="I525" s="36" t="n">
        <x:v>6950</x:v>
      </x:c>
      <x:c r="J525" s="35" t="n">
        <x:v>12</x:v>
      </x:c>
      <x:c r="K525" s="35" t="n">
        <x:v>8</x:v>
      </x:c>
      <x:c r="L525" s="35" t="n">
        <x:v>3</x:v>
      </x:c>
      <x:c r="M525" s="35" t="n">
        <x:v>8</x:v>
      </x:c>
      <x:c r="N525" s="35" t="str">
        <x:v>No</x:v>
      </x:c>
      <x:c r="O525" s="35" t="n">
        <x:v>2</x:v>
      </x:c>
      <x:c r="P525" s="35" t="n">
        <x:v>2</x:v>
      </x:c>
      <x:c r="Q525" s="35" t="n">
        <x:v>2</x:v>
      </x:c>
      <x:c r="R525" s="35" t="n">
        <x:v>2</x:v>
      </x:c>
      <x:c r="S525" s="35" t="n">
        <x:v>4</x:v>
      </x:c>
      <x:c r="T525" s="35" t="n">
        <x:v>0</x:v>
      </x:c>
      <x:c r="U525" s="35" t="n">
        <x:v>0</x:v>
      </x:c>
      <x:c r="V525" s="35" t="n">
        <x:v>1</x:v>
      </x:c>
      <x:c r="W525" s="35" t="n">
        <x:v>0</x:v>
      </x:c>
      <x:c r="X525" s="35" t="n">
        <x:v>64</x:v>
      </x:c>
      <x:c r="Y525" s="35" t="n">
        <x:v>5</x:v>
      </x:c>
      <x:c r="Z525" s="35" t="n">
        <x:v>87</x:v>
      </x:c>
      <x:c r="AA525" s="35" t="n">
        <x:v>2</x:v>
      </x:c>
      <x:c r="AB525" s="35" t="n">
        <x:v>1</x:v>
      </x:c>
      <x:c r="AC525" s="35" t="n">
        <x:v>0</x:v>
      </x:c>
      <x:c r="AD525" s="35" t="n">
        <x:v>66</x:v>
      </x:c>
      <x:c r="AE525" s="35" t="n">
        <x:v>64</x:v>
      </x:c>
      <x:c r="AF525" s="35" t="n">
        <x:v>63</x:v>
      </x:c>
      <x:c r="AG525" s="35" t="n">
        <x:v>90</x:v>
      </x:c>
      <x:c r="AH525" s="35" t="n">
        <x:v>9</x:v>
      </x:c>
      <x:c r="AI525" s="37" t="n">
        <x:v>100</x:v>
      </x:c>
      <x:c r="AJ525" s="37" t="n">
        <x:v>100</x:v>
      </x:c>
      <x:c r="AK525" s="35" t="str">
        <x:v>No</x:v>
      </x:c>
      <x:c r="AL525" s="38" t="n">
        <x:f>IF(AA525=0,0,AB525/AA525)</x:f>
        <x:v>0.5</x:v>
      </x:c>
      <x:c r="AM525" s="38" t="n">
        <x:f>IF(AB525=0,0,AC525/AB525)</x:f>
        <x:v>0</x:v>
      </x:c>
      <x:c r="AN525" s="37" t="n">
        <x:f>ROUND((AD525*0.20+AE525*0.20+AF525*0.25+AG525*0.15+MIN(100,AC525*12)*0.20),1)</x:f>
        <x:v>55.3</x:v>
      </x:c>
      <x:c r="AO525" s="37" t="n">
        <x:f>ROUND(MAX(0,MIN(100,(X525*0.35)+(W525/45*100*0.20)+((5-O525)/4*100*0.15)+((5-P525)/4*100*0.10)+((6-Y525)/5*100*0.10)+((100-Z525)*0.10))),1)</x:f>
        <x:v>44.4</x:v>
      </x:c>
      <x:c r="AP525" s="37" t="str">
        <x:f>IF(AO525&gt;=70,"High",IF(AO525&gt;=40,"Moderate","Low"))</x:f>
        <x:v>Moderate</x:v>
      </x:c>
      <x:c r="AQ525" s="37" t="n">
        <x:f>ROUND(MAX(0,MIN(100,(O525/4*100*0.25)+(P525/4*100*0.20)+(Q525/4*100*0.15)+(Y525/5*100*0.20)+(100-AO525)*0.20)),1)</x:f>
        <x:v>61.1</x:v>
      </x:c>
      <x:c r="AR525" s="37" t="n">
        <x:f>ROUND((AI525*0.20+AJ525*0.15+AN525*0.18+AG525*0.12+Z525*0.15+AQ525*0.20),1)</x:f>
        <x:v>81</x:v>
      </x:c>
      <x:c r="AS525" s="39" t="n">
        <x:f>ROUND((AC525*AF525*120)+(AH525*350)+(MAX(0,AI525-75)*220)+(MAX(0,AQ525-60)*100),0)</x:f>
        <x:v>8760</x:v>
      </x:c>
    </x:row>
    <x:row r="526">
      <x:c r="A526" s="35" t="n">
        <x:v>525</x:v>
      </x:c>
      <x:c r="B526" s="35" t="n">
        <x:v>39</x:v>
      </x:c>
      <x:c r="C526" s="35" t="str">
        <x:v>Male</x:v>
      </x:c>
      <x:c r="D526" s="35" t="str">
        <x:v>Marketing</x:v>
      </x:c>
      <x:c r="E526" s="35" t="str">
        <x:v>Marketing Specialist</x:v>
      </x:c>
      <x:c r="F526" s="35" t="str">
        <x:v>Technical Degree</x:v>
      </x:c>
      <x:c r="G526" s="35" t="str">
        <x:v>Divorced</x:v>
      </x:c>
      <x:c r="H526" s="35" t="n">
        <x:v>2</x:v>
      </x:c>
      <x:c r="I526" s="36" t="n">
        <x:v>8330</x:v>
      </x:c>
      <x:c r="J526" s="35" t="n">
        <x:v>9</x:v>
      </x:c>
      <x:c r="K526" s="35" t="n">
        <x:v>4</x:v>
      </x:c>
      <x:c r="L526" s="35" t="n">
        <x:v>1</x:v>
      </x:c>
      <x:c r="M526" s="35" t="n">
        <x:v>2</x:v>
      </x:c>
      <x:c r="N526" s="35" t="str">
        <x:v>Yes</x:v>
      </x:c>
      <x:c r="O526" s="35" t="n">
        <x:v>3</x:v>
      </x:c>
      <x:c r="P526" s="35" t="n">
        <x:v>2</x:v>
      </x:c>
      <x:c r="Q526" s="35" t="n">
        <x:v>4</x:v>
      </x:c>
      <x:c r="R526" s="35" t="n">
        <x:v>2</x:v>
      </x:c>
      <x:c r="S526" s="35" t="n">
        <x:v>3</x:v>
      </x:c>
      <x:c r="T526" s="35" t="n">
        <x:v>4</x:v>
      </x:c>
      <x:c r="U526" s="35" t="n">
        <x:v>1</x:v>
      </x:c>
      <x:c r="V526" s="35" t="n">
        <x:v>0</x:v>
      </x:c>
      <x:c r="W526" s="35" t="n">
        <x:v>23</x:v>
      </x:c>
      <x:c r="X526" s="35" t="n">
        <x:v>74</x:v>
      </x:c>
      <x:c r="Y526" s="35" t="n">
        <x:v>4</x:v>
      </x:c>
      <x:c r="Z526" s="35" t="n">
        <x:v>78</x:v>
      </x:c>
      <x:c r="AA526" s="35" t="n">
        <x:v>8</x:v>
      </x:c>
      <x:c r="AB526" s="35" t="n">
        <x:v>6</x:v>
      </x:c>
      <x:c r="AC526" s="35" t="n">
        <x:v>4</x:v>
      </x:c>
      <x:c r="AD526" s="35" t="n">
        <x:v>92</x:v>
      </x:c>
      <x:c r="AE526" s="35" t="n">
        <x:v>87</x:v>
      </x:c>
      <x:c r="AF526" s="35" t="n">
        <x:v>70</x:v>
      </x:c>
      <x:c r="AG526" s="35" t="n">
        <x:v>83</x:v>
      </x:c>
      <x:c r="AH526" s="35" t="n">
        <x:v>5</x:v>
      </x:c>
      <x:c r="AI526" s="37" t="n">
        <x:v>90.9</x:v>
      </x:c>
      <x:c r="AJ526" s="37" t="n">
        <x:v>100</x:v>
      </x:c>
      <x:c r="AK526" s="35" t="str">
        <x:v>No</x:v>
      </x:c>
      <x:c r="AL526" s="38" t="n">
        <x:f>IF(AA526=0,0,AB526/AA526)</x:f>
        <x:v>0.75</x:v>
      </x:c>
      <x:c r="AM526" s="38" t="n">
        <x:f>IF(AB526=0,0,AC526/AB526)</x:f>
        <x:v>0.6666666666666666</x:v>
      </x:c>
      <x:c r="AN526" s="37" t="n">
        <x:f>ROUND((AD526*0.20+AE526*0.20+AF526*0.25+AG526*0.15+MIN(100,AC526*12)*0.20),1)</x:f>
        <x:v>75.4</x:v>
      </x:c>
      <x:c r="AO526" s="37" t="n">
        <x:f>ROUND(MAX(0,MIN(100,(X526*0.35)+(W526/45*100*0.20)+((5-O526)/4*100*0.15)+((5-P526)/4*100*0.10)+((6-Y526)/5*100*0.10)+((100-Z526)*0.10))),1)</x:f>
        <x:v>57.3</x:v>
      </x:c>
      <x:c r="AP526" s="37" t="str">
        <x:f>IF(AO526&gt;=70,"High",IF(AO526&gt;=40,"Moderate","Low"))</x:f>
        <x:v>Moderate</x:v>
      </x:c>
      <x:c r="AQ526" s="37" t="n">
        <x:f>ROUND(MAX(0,MIN(100,(O526/4*100*0.25)+(P526/4*100*0.20)+(Q526/4*100*0.15)+(Y526/5*100*0.20)+(100-AO526)*0.20)),1)</x:f>
        <x:v>68.3</x:v>
      </x:c>
      <x:c r="AR526" s="37" t="n">
        <x:f>ROUND((AI526*0.20+AJ526*0.15+AN526*0.18+AG526*0.12+Z526*0.15+AQ526*0.20),1)</x:f>
        <x:v>82.1</x:v>
      </x:c>
      <x:c r="AS526" s="39" t="n">
        <x:f>ROUND((AC526*AF526*120)+(AH526*350)+(MAX(0,AI526-75)*220)+(MAX(0,AQ526-60)*100),0)</x:f>
        <x:v>39678</x:v>
      </x:c>
    </x:row>
    <x:row r="527">
      <x:c r="A527" s="35" t="n">
        <x:v>526</x:v>
      </x:c>
      <x:c r="B527" s="35" t="n">
        <x:v>43</x:v>
      </x:c>
      <x:c r="C527" s="35" t="str">
        <x:v>Female</x:v>
      </x:c>
      <x:c r="D527" s="35" t="str">
        <x:v>Operations</x:v>
      </x:c>
      <x:c r="E527" s="35" t="str">
        <x:v>Quality Specialist</x:v>
      </x:c>
      <x:c r="F527" s="35" t="str">
        <x:v>Computer Science</x:v>
      </x:c>
      <x:c r="G527" s="35" t="str">
        <x:v>Single</x:v>
      </x:c>
      <x:c r="H527" s="35" t="n">
        <x:v>4</x:v>
      </x:c>
      <x:c r="I527" s="36" t="n">
        <x:v>23750</x:v>
      </x:c>
      <x:c r="J527" s="35" t="n">
        <x:v>13</x:v>
      </x:c>
      <x:c r="K527" s="35" t="n">
        <x:v>6</x:v>
      </x:c>
      <x:c r="L527" s="35" t="n">
        <x:v>3</x:v>
      </x:c>
      <x:c r="M527" s="35" t="n">
        <x:v>12</x:v>
      </x:c>
      <x:c r="N527" s="35" t="str">
        <x:v>No</x:v>
      </x:c>
      <x:c r="O527" s="35" t="n">
        <x:v>2</x:v>
      </x:c>
      <x:c r="P527" s="35" t="n">
        <x:v>3</x:v>
      </x:c>
      <x:c r="Q527" s="35" t="n">
        <x:v>2</x:v>
      </x:c>
      <x:c r="R527" s="35" t="n">
        <x:v>3</x:v>
      </x:c>
      <x:c r="S527" s="35" t="n">
        <x:v>3</x:v>
      </x:c>
      <x:c r="T527" s="35" t="n">
        <x:v>2</x:v>
      </x:c>
      <x:c r="U527" s="35" t="n">
        <x:v>1</x:v>
      </x:c>
      <x:c r="V527" s="35" t="n">
        <x:v>10</x:v>
      </x:c>
      <x:c r="W527" s="35" t="n">
        <x:v>4</x:v>
      </x:c>
      <x:c r="X527" s="35" t="n">
        <x:v>69</x:v>
      </x:c>
      <x:c r="Y527" s="35" t="n">
        <x:v>5</x:v>
      </x:c>
      <x:c r="Z527" s="35" t="n">
        <x:v>98</x:v>
      </x:c>
      <x:c r="AA527" s="35" t="n">
        <x:v>1</x:v>
      </x:c>
      <x:c r="AB527" s="35" t="n">
        <x:v>0</x:v>
      </x:c>
      <x:c r="AC527" s="35" t="n">
        <x:v>0</x:v>
      </x:c>
      <x:c r="AD527" s="35" t="n">
        <x:v>66</x:v>
      </x:c>
      <x:c r="AE527" s="35" t="n">
        <x:v>59</x:v>
      </x:c>
      <x:c r="AF527" s="35" t="n">
        <x:v>65</x:v>
      </x:c>
      <x:c r="AG527" s="35" t="n">
        <x:v>89</x:v>
      </x:c>
      <x:c r="AH527" s="35" t="n">
        <x:v>5</x:v>
      </x:c>
      <x:c r="AI527" s="37" t="n">
        <x:v>96.3</x:v>
      </x:c>
      <x:c r="AJ527" s="37" t="n">
        <x:v>91.4</x:v>
      </x:c>
      <x:c r="AK527" s="35" t="str">
        <x:v>Yes</x:v>
      </x:c>
      <x:c r="AL527" s="38" t="n">
        <x:f>IF(AA527=0,0,AB527/AA527)</x:f>
        <x:v>0</x:v>
      </x:c>
      <x:c r="AM527" s="38" t="n">
        <x:f>IF(AB527=0,0,AC527/AB527)</x:f>
        <x:v>0</x:v>
      </x:c>
      <x:c r="AN527" s="37" t="n">
        <x:f>ROUND((AD527*0.20+AE527*0.20+AF527*0.25+AG527*0.15+MIN(100,AC527*12)*0.20),1)</x:f>
        <x:v>54.6</x:v>
      </x:c>
      <x:c r="AO527" s="37" t="n">
        <x:f>ROUND(MAX(0,MIN(100,(X527*0.35)+(W527/45*100*0.20)+((5-O527)/4*100*0.15)+((5-P527)/4*100*0.10)+((6-Y527)/5*100*0.10)+((100-Z527)*0.10))),1)</x:f>
        <x:v>44.4</x:v>
      </x:c>
      <x:c r="AP527" s="37" t="str">
        <x:f>IF(AO527&gt;=70,"High",IF(AO527&gt;=40,"Moderate","Low"))</x:f>
        <x:v>Moderate</x:v>
      </x:c>
      <x:c r="AQ527" s="37" t="n">
        <x:f>ROUND(MAX(0,MIN(100,(O527/4*100*0.25)+(P527/4*100*0.20)+(Q527/4*100*0.15)+(Y527/5*100*0.20)+(100-AO527)*0.20)),1)</x:f>
        <x:v>66.1</x:v>
      </x:c>
      <x:c r="AR527" s="37" t="n">
        <x:f>ROUND((AI527*0.20+AJ527*0.15+AN527*0.18+AG527*0.12+Z527*0.15+AQ527*0.20),1)</x:f>
        <x:v>81.4</x:v>
      </x:c>
      <x:c r="AS527" s="39" t="n">
        <x:f>ROUND((AC527*AF527*120)+(AH527*350)+(MAX(0,AI527-75)*220)+(MAX(0,AQ527-60)*100),0)</x:f>
        <x:v>7046</x:v>
      </x:c>
    </x:row>
    <x:row r="528">
      <x:c r="A528" s="35" t="n">
        <x:v>527</x:v>
      </x:c>
      <x:c r="B528" s="35" t="n">
        <x:v>29</x:v>
      </x:c>
      <x:c r="C528" s="35" t="str">
        <x:v>Male</x:v>
      </x:c>
      <x:c r="D528" s="35" t="str">
        <x:v>Sales</x:v>
      </x:c>
      <x:c r="E528" s="35" t="str">
        <x:v>Sales Representative</x:v>
      </x:c>
      <x:c r="F528" s="35" t="str">
        <x:v>Human Resources</x:v>
      </x:c>
      <x:c r="G528" s="35" t="str">
        <x:v>Married</x:v>
      </x:c>
      <x:c r="H528" s="35" t="n">
        <x:v>1</x:v>
      </x:c>
      <x:c r="I528" s="36" t="n">
        <x:v>6680</x:v>
      </x:c>
      <x:c r="J528" s="35" t="n">
        <x:v>4</x:v>
      </x:c>
      <x:c r="K528" s="35" t="n">
        <x:v>1</x:v>
      </x:c>
      <x:c r="L528" s="35" t="n">
        <x:v>1</x:v>
      </x:c>
      <x:c r="M528" s="35" t="n">
        <x:v>19</x:v>
      </x:c>
      <x:c r="N528" s="35" t="str">
        <x:v>Yes</x:v>
      </x:c>
      <x:c r="O528" s="35" t="n">
        <x:v>3</x:v>
      </x:c>
      <x:c r="P528" s="35" t="n">
        <x:v>3</x:v>
      </x:c>
      <x:c r="Q528" s="35" t="n">
        <x:v>4</x:v>
      </x:c>
      <x:c r="R528" s="35" t="n">
        <x:v>4</x:v>
      </x:c>
      <x:c r="S528" s="35" t="n">
        <x:v>3</x:v>
      </x:c>
      <x:c r="T528" s="35" t="n">
        <x:v>2</x:v>
      </x:c>
      <x:c r="U528" s="35" t="n">
        <x:v>1</x:v>
      </x:c>
      <x:c r="V528" s="35" t="n">
        <x:v>11</x:v>
      </x:c>
      <x:c r="W528" s="35" t="n">
        <x:v>25</x:v>
      </x:c>
      <x:c r="X528" s="35" t="n">
        <x:v>72</x:v>
      </x:c>
      <x:c r="Y528" s="35" t="n">
        <x:v>4</x:v>
      </x:c>
      <x:c r="Z528" s="35" t="n">
        <x:v>98</x:v>
      </x:c>
      <x:c r="AA528" s="35" t="n">
        <x:v>10</x:v>
      </x:c>
      <x:c r="AB528" s="35" t="n">
        <x:v>10</x:v>
      </x:c>
      <x:c r="AC528" s="35" t="n">
        <x:v>4</x:v>
      </x:c>
      <x:c r="AD528" s="35" t="n">
        <x:v>78</x:v>
      </x:c>
      <x:c r="AE528" s="35" t="n">
        <x:v>84</x:v>
      </x:c>
      <x:c r="AF528" s="35" t="n">
        <x:v>51</x:v>
      </x:c>
      <x:c r="AG528" s="35" t="n">
        <x:v>100</x:v>
      </x:c>
      <x:c r="AH528" s="35" t="n">
        <x:v>6</x:v>
      </x:c>
      <x:c r="AI528" s="37" t="n">
        <x:v>99.3</x:v>
      </x:c>
      <x:c r="AJ528" s="37" t="n">
        <x:v>89.7</x:v>
      </x:c>
      <x:c r="AK528" s="35" t="str">
        <x:v>Yes</x:v>
      </x:c>
      <x:c r="AL528" s="38" t="n">
        <x:f>IF(AA528=0,0,AB528/AA528)</x:f>
        <x:v>1</x:v>
      </x:c>
      <x:c r="AM528" s="38" t="n">
        <x:f>IF(AB528=0,0,AC528/AB528)</x:f>
        <x:v>0.4</x:v>
      </x:c>
      <x:c r="AN528" s="37" t="n">
        <x:f>ROUND((AD528*0.20+AE528*0.20+AF528*0.25+AG528*0.15+MIN(100,AC528*12)*0.20),1)</x:f>
        <x:v>69.8</x:v>
      </x:c>
      <x:c r="AO528" s="37" t="n">
        <x:f>ROUND(MAX(0,MIN(100,(X528*0.35)+(W528/45*100*0.20)+((5-O528)/4*100*0.15)+((5-P528)/4*100*0.10)+((6-Y528)/5*100*0.10)+((100-Z528)*0.10))),1)</x:f>
        <x:v>53</x:v>
      </x:c>
      <x:c r="AP528" s="37" t="str">
        <x:f>IF(AO528&gt;=70,"High",IF(AO528&gt;=40,"Moderate","Low"))</x:f>
        <x:v>Moderate</x:v>
      </x:c>
      <x:c r="AQ528" s="37" t="n">
        <x:f>ROUND(MAX(0,MIN(100,(O528/4*100*0.25)+(P528/4*100*0.20)+(Q528/4*100*0.15)+(Y528/5*100*0.20)+(100-AO528)*0.20)),1)</x:f>
        <x:v>74.2</x:v>
      </x:c>
      <x:c r="AR528" s="37" t="n">
        <x:f>ROUND((AI528*0.20+AJ528*0.15+AN528*0.18+AG528*0.12+Z528*0.15+AQ528*0.20),1)</x:f>
        <x:v>87.4</x:v>
      </x:c>
      <x:c r="AS528" s="39" t="n">
        <x:f>ROUND((AC528*AF528*120)+(AH528*350)+(MAX(0,AI528-75)*220)+(MAX(0,AQ528-60)*100),0)</x:f>
        <x:v>33346</x:v>
      </x:c>
    </x:row>
    <x:row r="529">
      <x:c r="A529" s="35" t="n">
        <x:v>528</x:v>
      </x:c>
      <x:c r="B529" s="35" t="n">
        <x:v>46</x:v>
      </x:c>
      <x:c r="C529" s="35" t="str">
        <x:v>Female</x:v>
      </x:c>
      <x:c r="D529" s="35" t="str">
        <x:v>Research &amp; Development</x:v>
      </x:c>
      <x:c r="E529" s="35" t="str">
        <x:v>Research Scientist</x:v>
      </x:c>
      <x:c r="F529" s="35" t="str">
        <x:v>Technical Degree</x:v>
      </x:c>
      <x:c r="G529" s="35" t="str">
        <x:v>Married</x:v>
      </x:c>
      <x:c r="H529" s="35" t="n">
        <x:v>3</x:v>
      </x:c>
      <x:c r="I529" s="36" t="n">
        <x:v>11500</x:v>
      </x:c>
      <x:c r="J529" s="35" t="n">
        <x:v>16</x:v>
      </x:c>
      <x:c r="K529" s="35" t="n">
        <x:v>7</x:v>
      </x:c>
      <x:c r="L529" s="35" t="n">
        <x:v>2</x:v>
      </x:c>
      <x:c r="M529" s="35" t="n">
        <x:v>2</x:v>
      </x:c>
      <x:c r="N529" s="35" t="str">
        <x:v>Yes</x:v>
      </x:c>
      <x:c r="O529" s="35" t="n">
        <x:v>4</x:v>
      </x:c>
      <x:c r="P529" s="35" t="n">
        <x:v>1</x:v>
      </x:c>
      <x:c r="Q529" s="35" t="n">
        <x:v>3</x:v>
      </x:c>
      <x:c r="R529" s="35" t="n">
        <x:v>3</x:v>
      </x:c>
      <x:c r="S529" s="35" t="n">
        <x:v>4</x:v>
      </x:c>
      <x:c r="T529" s="35" t="n">
        <x:v>2</x:v>
      </x:c>
      <x:c r="U529" s="35" t="n">
        <x:v>2</x:v>
      </x:c>
      <x:c r="V529" s="35" t="n">
        <x:v>2</x:v>
      </x:c>
      <x:c r="W529" s="35" t="n">
        <x:v>27</x:v>
      </x:c>
      <x:c r="X529" s="35" t="n">
        <x:v>77</x:v>
      </x:c>
      <x:c r="Y529" s="35" t="n">
        <x:v>4</x:v>
      </x:c>
      <x:c r="Z529" s="35" t="n">
        <x:v>95</x:v>
      </x:c>
      <x:c r="AA529" s="35" t="n">
        <x:v>3</x:v>
      </x:c>
      <x:c r="AB529" s="35" t="n">
        <x:v>3</x:v>
      </x:c>
      <x:c r="AC529" s="35" t="n">
        <x:v>3</x:v>
      </x:c>
      <x:c r="AD529" s="35" t="n">
        <x:v>70</x:v>
      </x:c>
      <x:c r="AE529" s="35" t="n">
        <x:v>79</x:v>
      </x:c>
      <x:c r="AF529" s="35" t="n">
        <x:v>79</x:v>
      </x:c>
      <x:c r="AG529" s="35" t="n">
        <x:v>92</x:v>
      </x:c>
      <x:c r="AH529" s="35" t="n">
        <x:v>5</x:v>
      </x:c>
      <x:c r="AI529" s="37" t="n">
        <x:v>100</x:v>
      </x:c>
      <x:c r="AJ529" s="37" t="n">
        <x:v>87.8</x:v>
      </x:c>
      <x:c r="AK529" s="35" t="str">
        <x:v>Yes</x:v>
      </x:c>
      <x:c r="AL529" s="38" t="n">
        <x:f>IF(AA529=0,0,AB529/AA529)</x:f>
        <x:v>1</x:v>
      </x:c>
      <x:c r="AM529" s="38" t="n">
        <x:f>IF(AB529=0,0,AC529/AB529)</x:f>
        <x:v>1</x:v>
      </x:c>
      <x:c r="AN529" s="37" t="n">
        <x:f>ROUND((AD529*0.20+AE529*0.20+AF529*0.25+AG529*0.15+MIN(100,AC529*12)*0.20),1)</x:f>
        <x:v>70.6</x:v>
      </x:c>
      <x:c r="AO529" s="37" t="n">
        <x:f>ROUND(MAX(0,MIN(100,(X529*0.35)+(W529/45*100*0.20)+((5-O529)/4*100*0.15)+((5-P529)/4*100*0.10)+((6-Y529)/5*100*0.10)+((100-Z529)*0.10))),1)</x:f>
        <x:v>57.2</x:v>
      </x:c>
      <x:c r="AP529" s="37" t="str">
        <x:f>IF(AO529&gt;=70,"High",IF(AO529&gt;=40,"Moderate","Low"))</x:f>
        <x:v>Moderate</x:v>
      </x:c>
      <x:c r="AQ529" s="37" t="n">
        <x:f>ROUND(MAX(0,MIN(100,(O529/4*100*0.25)+(P529/4*100*0.20)+(Q529/4*100*0.15)+(Y529/5*100*0.20)+(100-AO529)*0.20)),1)</x:f>
        <x:v>65.8</x:v>
      </x:c>
      <x:c r="AR529" s="37" t="n">
        <x:f>ROUND((AI529*0.20+AJ529*0.15+AN529*0.18+AG529*0.12+Z529*0.15+AQ529*0.20),1)</x:f>
        <x:v>84.3</x:v>
      </x:c>
      <x:c r="AS529" s="39" t="n">
        <x:f>ROUND((AC529*AF529*120)+(AH529*350)+(MAX(0,AI529-75)*220)+(MAX(0,AQ529-60)*100),0)</x:f>
        <x:v>36270</x:v>
      </x:c>
    </x:row>
    <x:row r="530">
      <x:c r="A530" s="35" t="n">
        <x:v>529</x:v>
      </x:c>
      <x:c r="B530" s="35" t="n">
        <x:v>29</x:v>
      </x:c>
      <x:c r="C530" s="35" t="str">
        <x:v>Female</x:v>
      </x:c>
      <x:c r="D530" s="35" t="str">
        <x:v>Finance</x:v>
      </x:c>
      <x:c r="E530" s="35" t="str">
        <x:v>Accountant</x:v>
      </x:c>
      <x:c r="F530" s="35" t="str">
        <x:v>Medical</x:v>
      </x:c>
      <x:c r="G530" s="35" t="str">
        <x:v>Married</x:v>
      </x:c>
      <x:c r="H530" s="35" t="n">
        <x:v>1</x:v>
      </x:c>
      <x:c r="I530" s="36" t="n">
        <x:v>4140</x:v>
      </x:c>
      <x:c r="J530" s="35" t="n">
        <x:v>4</x:v>
      </x:c>
      <x:c r="K530" s="35" t="n">
        <x:v>2</x:v>
      </x:c>
      <x:c r="L530" s="35" t="n">
        <x:v>1</x:v>
      </x:c>
      <x:c r="M530" s="35" t="n">
        <x:v>3</x:v>
      </x:c>
      <x:c r="N530" s="35" t="str">
        <x:v>No</x:v>
      </x:c>
      <x:c r="O530" s="35" t="n">
        <x:v>4</x:v>
      </x:c>
      <x:c r="P530" s="35" t="n">
        <x:v>4</x:v>
      </x:c>
      <x:c r="Q530" s="35" t="n">
        <x:v>3</x:v>
      </x:c>
      <x:c r="R530" s="35" t="n">
        <x:v>4</x:v>
      </x:c>
      <x:c r="S530" s="35" t="n">
        <x:v>3</x:v>
      </x:c>
      <x:c r="T530" s="35" t="n">
        <x:v>3</x:v>
      </x:c>
      <x:c r="U530" s="35" t="n">
        <x:v>1</x:v>
      </x:c>
      <x:c r="V530" s="35" t="n">
        <x:v>10</x:v>
      </x:c>
      <x:c r="W530" s="35" t="n">
        <x:v>0</x:v>
      </x:c>
      <x:c r="X530" s="35" t="n">
        <x:v>70</x:v>
      </x:c>
      <x:c r="Y530" s="35" t="n">
        <x:v>5</x:v>
      </x:c>
      <x:c r="Z530" s="35" t="n">
        <x:v>100</x:v>
      </x:c>
      <x:c r="AA530" s="35" t="n">
        <x:v>12</x:v>
      </x:c>
      <x:c r="AB530" s="35" t="n">
        <x:v>12</x:v>
      </x:c>
      <x:c r="AC530" s="35" t="n">
        <x:v>7</x:v>
      </x:c>
      <x:c r="AD530" s="35" t="n">
        <x:v>79</x:v>
      </x:c>
      <x:c r="AE530" s="35" t="n">
        <x:v>92</x:v>
      </x:c>
      <x:c r="AF530" s="35" t="n">
        <x:v>82</x:v>
      </x:c>
      <x:c r="AG530" s="35" t="n">
        <x:v>85</x:v>
      </x:c>
      <x:c r="AH530" s="35" t="n">
        <x:v>6</x:v>
      </x:c>
      <x:c r="AI530" s="37" t="n">
        <x:v>88.7</x:v>
      </x:c>
      <x:c r="AJ530" s="37" t="n">
        <x:v>89.4</x:v>
      </x:c>
      <x:c r="AK530" s="35" t="str">
        <x:v>No</x:v>
      </x:c>
      <x:c r="AL530" s="38" t="n">
        <x:f>IF(AA530=0,0,AB530/AA530)</x:f>
        <x:v>1</x:v>
      </x:c>
      <x:c r="AM530" s="38" t="n">
        <x:f>IF(AB530=0,0,AC530/AB530)</x:f>
        <x:v>0.5833333333333334</x:v>
      </x:c>
      <x:c r="AN530" s="37" t="n">
        <x:f>ROUND((AD530*0.20+AE530*0.20+AF530*0.25+AG530*0.15+MIN(100,AC530*12)*0.20),1)</x:f>
        <x:v>84.3</x:v>
      </x:c>
      <x:c r="AO530" s="37" t="n">
        <x:f>ROUND(MAX(0,MIN(100,(X530*0.35)+(W530/45*100*0.20)+((5-O530)/4*100*0.15)+((5-P530)/4*100*0.10)+((6-Y530)/5*100*0.10)+((100-Z530)*0.10))),1)</x:f>
        <x:v>32.8</x:v>
      </x:c>
      <x:c r="AP530" s="37" t="str">
        <x:f>IF(AO530&gt;=70,"High",IF(AO530&gt;=40,"Moderate","Low"))</x:f>
        <x:v>Low</x:v>
      </x:c>
      <x:c r="AQ530" s="37" t="n">
        <x:f>ROUND(MAX(0,MIN(100,(O530/4*100*0.25)+(P530/4*100*0.20)+(Q530/4*100*0.15)+(Y530/5*100*0.20)+(100-AO530)*0.20)),1)</x:f>
        <x:v>89.7</x:v>
      </x:c>
      <x:c r="AR530" s="37" t="n">
        <x:f>ROUND((AI530*0.20+AJ530*0.15+AN530*0.18+AG530*0.12+Z530*0.15+AQ530*0.20),1)</x:f>
        <x:v>89.5</x:v>
      </x:c>
      <x:c r="AS530" s="39" t="n">
        <x:f>ROUND((AC530*AF530*120)+(AH530*350)+(MAX(0,AI530-75)*220)+(MAX(0,AQ530-60)*100),0)</x:f>
        <x:v>76964</x:v>
      </x:c>
    </x:row>
    <x:row r="531">
      <x:c r="A531" s="35" t="n">
        <x:v>530</x:v>
      </x:c>
      <x:c r="B531" s="35" t="n">
        <x:v>54</x:v>
      </x:c>
      <x:c r="C531" s="35" t="str">
        <x:v>Male</x:v>
      </x:c>
      <x:c r="D531" s="35" t="str">
        <x:v>Research &amp; Development</x:v>
      </x:c>
      <x:c r="E531" s="35" t="str">
        <x:v>Laboratory Technician</x:v>
      </x:c>
      <x:c r="F531" s="35" t="str">
        <x:v>Business</x:v>
      </x:c>
      <x:c r="G531" s="35" t="str">
        <x:v>Married</x:v>
      </x:c>
      <x:c r="H531" s="35" t="n">
        <x:v>5</x:v>
      </x:c>
      <x:c r="I531" s="36" t="n">
        <x:v>35130</x:v>
      </x:c>
      <x:c r="J531" s="35" t="n">
        <x:v>24</x:v>
      </x:c>
      <x:c r="K531" s="35" t="n">
        <x:v>19</x:v>
      </x:c>
      <x:c r="L531" s="35" t="n">
        <x:v>10</x:v>
      </x:c>
      <x:c r="M531" s="35" t="n">
        <x:v>12</x:v>
      </x:c>
      <x:c r="N531" s="35" t="str">
        <x:v>Yes</x:v>
      </x:c>
      <x:c r="O531" s="35" t="n">
        <x:v>3</x:v>
      </x:c>
      <x:c r="P531" s="35" t="n">
        <x:v>2</x:v>
      </x:c>
      <x:c r="Q531" s="35" t="n">
        <x:v>2</x:v>
      </x:c>
      <x:c r="R531" s="35" t="n">
        <x:v>2</x:v>
      </x:c>
      <x:c r="S531" s="35" t="n">
        <x:v>4</x:v>
      </x:c>
      <x:c r="T531" s="35" t="n">
        <x:v>4</x:v>
      </x:c>
      <x:c r="U531" s="35" t="n">
        <x:v>1</x:v>
      </x:c>
      <x:c r="V531" s="35" t="n">
        <x:v>0</x:v>
      </x:c>
      <x:c r="W531" s="35" t="n">
        <x:v>12</x:v>
      </x:c>
      <x:c r="X531" s="35" t="n">
        <x:v>79</x:v>
      </x:c>
      <x:c r="Y531" s="35" t="n">
        <x:v>3</x:v>
      </x:c>
      <x:c r="Z531" s="35" t="n">
        <x:v>82</x:v>
      </x:c>
      <x:c r="AA531" s="35" t="n">
        <x:v>15</x:v>
      </x:c>
      <x:c r="AB531" s="35" t="n">
        <x:v>9</x:v>
      </x:c>
      <x:c r="AC531" s="35" t="n">
        <x:v>5</x:v>
      </x:c>
      <x:c r="AD531" s="35" t="n">
        <x:v>74</x:v>
      </x:c>
      <x:c r="AE531" s="35" t="n">
        <x:v>74</x:v>
      </x:c>
      <x:c r="AF531" s="35" t="n">
        <x:v>96</x:v>
      </x:c>
      <x:c r="AG531" s="35" t="n">
        <x:v>94</x:v>
      </x:c>
      <x:c r="AH531" s="35" t="n">
        <x:v>10</x:v>
      </x:c>
      <x:c r="AI531" s="37" t="n">
        <x:v>100</x:v>
      </x:c>
      <x:c r="AJ531" s="37" t="n">
        <x:v>100</x:v>
      </x:c>
      <x:c r="AK531" s="35" t="str">
        <x:v>No</x:v>
      </x:c>
      <x:c r="AL531" s="38" t="n">
        <x:f>IF(AA531=0,0,AB531/AA531)</x:f>
        <x:v>0.6</x:v>
      </x:c>
      <x:c r="AM531" s="38" t="n">
        <x:f>IF(AB531=0,0,AC531/AB531)</x:f>
        <x:v>0.5555555555555556</x:v>
      </x:c>
      <x:c r="AN531" s="37" t="n">
        <x:f>ROUND((AD531*0.20+AE531*0.20+AF531*0.25+AG531*0.15+MIN(100,AC531*12)*0.20),1)</x:f>
        <x:v>79.7</x:v>
      </x:c>
      <x:c r="AO531" s="37" t="n">
        <x:f>ROUND(MAX(0,MIN(100,(X531*0.35)+(W531/45*100*0.20)+((5-O531)/4*100*0.15)+((5-P531)/4*100*0.10)+((6-Y531)/5*100*0.10)+((100-Z531)*0.10))),1)</x:f>
        <x:v>55.8</x:v>
      </x:c>
      <x:c r="AP531" s="37" t="str">
        <x:f>IF(AO531&gt;=70,"High",IF(AO531&gt;=40,"Moderate","Low"))</x:f>
        <x:v>Moderate</x:v>
      </x:c>
      <x:c r="AQ531" s="37" t="n">
        <x:f>ROUND(MAX(0,MIN(100,(O531/4*100*0.25)+(P531/4*100*0.20)+(Q531/4*100*0.15)+(Y531/5*100*0.20)+(100-AO531)*0.20)),1)</x:f>
        <x:v>57.1</x:v>
      </x:c>
      <x:c r="AR531" s="37" t="n">
        <x:f>ROUND((AI531*0.20+AJ531*0.15+AN531*0.18+AG531*0.12+Z531*0.15+AQ531*0.20),1)</x:f>
        <x:v>84.3</x:v>
      </x:c>
      <x:c r="AS531" s="39" t="n">
        <x:f>ROUND((AC531*AF531*120)+(AH531*350)+(MAX(0,AI531-75)*220)+(MAX(0,AQ531-60)*100),0)</x:f>
        <x:v>66600</x:v>
      </x:c>
    </x:row>
    <x:row r="532">
      <x:c r="A532" s="35" t="n">
        <x:v>531</x:v>
      </x:c>
      <x:c r="B532" s="35" t="n">
        <x:v>29</x:v>
      </x:c>
      <x:c r="C532" s="35" t="str">
        <x:v>Male</x:v>
      </x:c>
      <x:c r="D532" s="35" t="str">
        <x:v>Operations</x:v>
      </x:c>
      <x:c r="E532" s="35" t="str">
        <x:v>Operations Specialist</x:v>
      </x:c>
      <x:c r="F532" s="35" t="str">
        <x:v>Marketing</x:v>
      </x:c>
      <x:c r="G532" s="35" t="str">
        <x:v>Married</x:v>
      </x:c>
      <x:c r="H532" s="35" t="n">
        <x:v>1</x:v>
      </x:c>
      <x:c r="I532" s="36" t="n">
        <x:v>7020</x:v>
      </x:c>
      <x:c r="J532" s="35" t="n">
        <x:v>4</x:v>
      </x:c>
      <x:c r="K532" s="35" t="n">
        <x:v>1</x:v>
      </x:c>
      <x:c r="L532" s="35" t="n">
        <x:v>0</x:v>
      </x:c>
      <x:c r="M532" s="35" t="n">
        <x:v>24</x:v>
      </x:c>
      <x:c r="N532" s="35" t="str">
        <x:v>Yes</x:v>
      </x:c>
      <x:c r="O532" s="35" t="n">
        <x:v>2</x:v>
      </x:c>
      <x:c r="P532" s="35" t="n">
        <x:v>3</x:v>
      </x:c>
      <x:c r="Q532" s="35" t="n">
        <x:v>3</x:v>
      </x:c>
      <x:c r="R532" s="35" t="n">
        <x:v>2</x:v>
      </x:c>
      <x:c r="S532" s="35" t="n">
        <x:v>3</x:v>
      </x:c>
      <x:c r="T532" s="35" t="n">
        <x:v>3</x:v>
      </x:c>
      <x:c r="U532" s="35" t="n">
        <x:v>0</x:v>
      </x:c>
      <x:c r="V532" s="35" t="n">
        <x:v>14</x:v>
      </x:c>
      <x:c r="W532" s="35" t="n">
        <x:v>19</x:v>
      </x:c>
      <x:c r="X532" s="35" t="n">
        <x:v>64</x:v>
      </x:c>
      <x:c r="Y532" s="35" t="n">
        <x:v>4</x:v>
      </x:c>
      <x:c r="Z532" s="35" t="n">
        <x:v>91</x:v>
      </x:c>
      <x:c r="AA532" s="35" t="n">
        <x:v>10</x:v>
      </x:c>
      <x:c r="AB532" s="35" t="n">
        <x:v>7</x:v>
      </x:c>
      <x:c r="AC532" s="35" t="n">
        <x:v>6</x:v>
      </x:c>
      <x:c r="AD532" s="35" t="n">
        <x:v>80</x:v>
      </x:c>
      <x:c r="AE532" s="35" t="n">
        <x:v>68</x:v>
      </x:c>
      <x:c r="AF532" s="35" t="n">
        <x:v>92</x:v>
      </x:c>
      <x:c r="AG532" s="35" t="n">
        <x:v>100</x:v>
      </x:c>
      <x:c r="AH532" s="35" t="n">
        <x:v>8</x:v>
      </x:c>
      <x:c r="AI532" s="37" t="n">
        <x:v>89.9</x:v>
      </x:c>
      <x:c r="AJ532" s="37" t="n">
        <x:v>83.3</x:v>
      </x:c>
      <x:c r="AK532" s="35" t="str">
        <x:v>No</x:v>
      </x:c>
      <x:c r="AL532" s="38" t="n">
        <x:f>IF(AA532=0,0,AB532/AA532)</x:f>
        <x:v>0.7</x:v>
      </x:c>
      <x:c r="AM532" s="38" t="n">
        <x:f>IF(AB532=0,0,AC532/AB532)</x:f>
        <x:v>0.8571428571428571</x:v>
      </x:c>
      <x:c r="AN532" s="37" t="n">
        <x:f>ROUND((AD532*0.20+AE532*0.20+AF532*0.25+AG532*0.15+MIN(100,AC532*12)*0.20),1)</x:f>
        <x:v>82</x:v>
      </x:c>
      <x:c r="AO532" s="37" t="n">
        <x:f>ROUND(MAX(0,MIN(100,(X532*0.35)+(W532/45*100*0.20)+((5-O532)/4*100*0.15)+((5-P532)/4*100*0.10)+((6-Y532)/5*100*0.10)+((100-Z532)*0.10))),1)</x:f>
        <x:v>52</x:v>
      </x:c>
      <x:c r="AP532" s="37" t="str">
        <x:f>IF(AO532&gt;=70,"High",IF(AO532&gt;=40,"Moderate","Low"))</x:f>
        <x:v>Moderate</x:v>
      </x:c>
      <x:c r="AQ532" s="37" t="n">
        <x:f>ROUND(MAX(0,MIN(100,(O532/4*100*0.25)+(P532/4*100*0.20)+(Q532/4*100*0.15)+(Y532/5*100*0.20)+(100-AO532)*0.20)),1)</x:f>
        <x:v>64.4</x:v>
      </x:c>
      <x:c r="AR532" s="37" t="n">
        <x:f>ROUND((AI532*0.20+AJ532*0.15+AN532*0.18+AG532*0.12+Z532*0.15+AQ532*0.20),1)</x:f>
        <x:v>83.8</x:v>
      </x:c>
      <x:c r="AS532" s="39" t="n">
        <x:f>ROUND((AC532*AF532*120)+(AH532*350)+(MAX(0,AI532-75)*220)+(MAX(0,AQ532-60)*100),0)</x:f>
        <x:v>72758</x:v>
      </x:c>
    </x:row>
    <x:row r="533">
      <x:c r="A533" s="35" t="n">
        <x:v>532</x:v>
      </x:c>
      <x:c r="B533" s="35" t="n">
        <x:v>33</x:v>
      </x:c>
      <x:c r="C533" s="35" t="str">
        <x:v>Female</x:v>
      </x:c>
      <x:c r="D533" s="35" t="str">
        <x:v>Research &amp; Development</x:v>
      </x:c>
      <x:c r="E533" s="35" t="str">
        <x:v>R&amp;D Manager</x:v>
      </x:c>
      <x:c r="F533" s="35" t="str">
        <x:v>Medical</x:v>
      </x:c>
      <x:c r="G533" s="35" t="str">
        <x:v>Married</x:v>
      </x:c>
      <x:c r="H533" s="35" t="n">
        <x:v>2</x:v>
      </x:c>
      <x:c r="I533" s="36" t="n">
        <x:v>8790</x:v>
      </x:c>
      <x:c r="J533" s="35" t="n">
        <x:v>6</x:v>
      </x:c>
      <x:c r="K533" s="35" t="n">
        <x:v>4</x:v>
      </x:c>
      <x:c r="L533" s="35" t="n">
        <x:v>2</x:v>
      </x:c>
      <x:c r="M533" s="35" t="n">
        <x:v>5</x:v>
      </x:c>
      <x:c r="N533" s="35" t="str">
        <x:v>No</x:v>
      </x:c>
      <x:c r="O533" s="35" t="n">
        <x:v>2</x:v>
      </x:c>
      <x:c r="P533" s="35" t="n">
        <x:v>3</x:v>
      </x:c>
      <x:c r="Q533" s="35" t="n">
        <x:v>3</x:v>
      </x:c>
      <x:c r="R533" s="35" t="n">
        <x:v>3</x:v>
      </x:c>
      <x:c r="S533" s="35" t="n">
        <x:v>3</x:v>
      </x:c>
      <x:c r="T533" s="35" t="n">
        <x:v>4</x:v>
      </x:c>
      <x:c r="U533" s="35" t="n">
        <x:v>0</x:v>
      </x:c>
      <x:c r="V533" s="35" t="n">
        <x:v>9</x:v>
      </x:c>
      <x:c r="W533" s="35" t="n">
        <x:v>0</x:v>
      </x:c>
      <x:c r="X533" s="35" t="n">
        <x:v>75</x:v>
      </x:c>
      <x:c r="Y533" s="35" t="n">
        <x:v>4</x:v>
      </x:c>
      <x:c r="Z533" s="35" t="n">
        <x:v>99</x:v>
      </x:c>
      <x:c r="AA533" s="35" t="n">
        <x:v>8</x:v>
      </x:c>
      <x:c r="AB533" s="35" t="n">
        <x:v>6</x:v>
      </x:c>
      <x:c r="AC533" s="35" t="n">
        <x:v>4</x:v>
      </x:c>
      <x:c r="AD533" s="35" t="n">
        <x:v>86</x:v>
      </x:c>
      <x:c r="AE533" s="35" t="n">
        <x:v>89</x:v>
      </x:c>
      <x:c r="AF533" s="35" t="n">
        <x:v>84</x:v>
      </x:c>
      <x:c r="AG533" s="35" t="n">
        <x:v>95</x:v>
      </x:c>
      <x:c r="AH533" s="35" t="n">
        <x:v>9</x:v>
      </x:c>
      <x:c r="AI533" s="37" t="n">
        <x:v>91.5</x:v>
      </x:c>
      <x:c r="AJ533" s="37" t="n">
        <x:v>93.9</x:v>
      </x:c>
      <x:c r="AK533" s="35" t="str">
        <x:v>No</x:v>
      </x:c>
      <x:c r="AL533" s="38" t="n">
        <x:f>IF(AA533=0,0,AB533/AA533)</x:f>
        <x:v>0.75</x:v>
      </x:c>
      <x:c r="AM533" s="38" t="n">
        <x:f>IF(AB533=0,0,AC533/AB533)</x:f>
        <x:v>0.6666666666666666</x:v>
      </x:c>
      <x:c r="AN533" s="37" t="n">
        <x:f>ROUND((AD533*0.20+AE533*0.20+AF533*0.25+AG533*0.15+MIN(100,AC533*12)*0.20),1)</x:f>
        <x:v>79.9</x:v>
      </x:c>
      <x:c r="AO533" s="37" t="n">
        <x:f>ROUND(MAX(0,MIN(100,(X533*0.35)+(W533/45*100*0.20)+((5-O533)/4*100*0.15)+((5-P533)/4*100*0.10)+((6-Y533)/5*100*0.10)+((100-Z533)*0.10))),1)</x:f>
        <x:v>46.6</x:v>
      </x:c>
      <x:c r="AP533" s="37" t="str">
        <x:f>IF(AO533&gt;=70,"High",IF(AO533&gt;=40,"Moderate","Low"))</x:f>
        <x:v>Moderate</x:v>
      </x:c>
      <x:c r="AQ533" s="37" t="n">
        <x:f>ROUND(MAX(0,MIN(100,(O533/4*100*0.25)+(P533/4*100*0.20)+(Q533/4*100*0.15)+(Y533/5*100*0.20)+(100-AO533)*0.20)),1)</x:f>
        <x:v>65.4</x:v>
      </x:c>
      <x:c r="AR533" s="37" t="n">
        <x:f>ROUND((AI533*0.20+AJ533*0.15+AN533*0.18+AG533*0.12+Z533*0.15+AQ533*0.20),1)</x:f>
        <x:v>86.1</x:v>
      </x:c>
      <x:c r="AS533" s="39" t="n">
        <x:f>ROUND((AC533*AF533*120)+(AH533*350)+(MAX(0,AI533-75)*220)+(MAX(0,AQ533-60)*100),0)</x:f>
        <x:v>47640</x:v>
      </x:c>
    </x:row>
    <x:row r="534">
      <x:c r="A534" s="35" t="n">
        <x:v>533</x:v>
      </x:c>
      <x:c r="B534" s="35" t="n">
        <x:v>41</x:v>
      </x:c>
      <x:c r="C534" s="35" t="str">
        <x:v>Female</x:v>
      </x:c>
      <x:c r="D534" s="35" t="str">
        <x:v>Sales</x:v>
      </x:c>
      <x:c r="E534" s="35" t="str">
        <x:v>Account Manager</x:v>
      </x:c>
      <x:c r="F534" s="35" t="str">
        <x:v>Marketing</x:v>
      </x:c>
      <x:c r="G534" s="35" t="str">
        <x:v>Single</x:v>
      </x:c>
      <x:c r="H534" s="35" t="n">
        <x:v>3</x:v>
      </x:c>
      <x:c r="I534" s="36" t="n">
        <x:v>10870</x:v>
      </x:c>
      <x:c r="J534" s="35" t="n">
        <x:v>14</x:v>
      </x:c>
      <x:c r="K534" s="35" t="n">
        <x:v>10</x:v>
      </x:c>
      <x:c r="L534" s="35" t="n">
        <x:v>5</x:v>
      </x:c>
      <x:c r="M534" s="35" t="n">
        <x:v>1</x:v>
      </x:c>
      <x:c r="N534" s="35" t="str">
        <x:v>No</x:v>
      </x:c>
      <x:c r="O534" s="35" t="n">
        <x:v>2</x:v>
      </x:c>
      <x:c r="P534" s="35" t="n">
        <x:v>2</x:v>
      </x:c>
      <x:c r="Q534" s="35" t="n">
        <x:v>2</x:v>
      </x:c>
      <x:c r="R534" s="35" t="n">
        <x:v>3</x:v>
      </x:c>
      <x:c r="S534" s="35" t="n">
        <x:v>4</x:v>
      </x:c>
      <x:c r="T534" s="35" t="n">
        <x:v>3</x:v>
      </x:c>
      <x:c r="U534" s="35" t="n">
        <x:v>0</x:v>
      </x:c>
      <x:c r="V534" s="35" t="n">
        <x:v>11</x:v>
      </x:c>
      <x:c r="W534" s="35" t="n">
        <x:v>12</x:v>
      </x:c>
      <x:c r="X534" s="35" t="n">
        <x:v>48</x:v>
      </x:c>
      <x:c r="Y534" s="35" t="n">
        <x:v>5</x:v>
      </x:c>
      <x:c r="Z534" s="35" t="n">
        <x:v>100</x:v>
      </x:c>
      <x:c r="AA534" s="35" t="n">
        <x:v>5</x:v>
      </x:c>
      <x:c r="AB534" s="35" t="n">
        <x:v>2</x:v>
      </x:c>
      <x:c r="AC534" s="35" t="n">
        <x:v>2</x:v>
      </x:c>
      <x:c r="AD534" s="35" t="n">
        <x:v>53</x:v>
      </x:c>
      <x:c r="AE534" s="35" t="n">
        <x:v>75</x:v>
      </x:c>
      <x:c r="AF534" s="35" t="n">
        <x:v>88</x:v>
      </x:c>
      <x:c r="AG534" s="35" t="n">
        <x:v>100</x:v>
      </x:c>
      <x:c r="AH534" s="35" t="n">
        <x:v>9</x:v>
      </x:c>
      <x:c r="AI534" s="37" t="n">
        <x:v>96.7</x:v>
      </x:c>
      <x:c r="AJ534" s="37" t="n">
        <x:v>97.9</x:v>
      </x:c>
      <x:c r="AK534" s="35" t="str">
        <x:v>No</x:v>
      </x:c>
      <x:c r="AL534" s="38" t="n">
        <x:f>IF(AA534=0,0,AB534/AA534)</x:f>
        <x:v>0.4</x:v>
      </x:c>
      <x:c r="AM534" s="38" t="n">
        <x:f>IF(AB534=0,0,AC534/AB534)</x:f>
        <x:v>1</x:v>
      </x:c>
      <x:c r="AN534" s="37" t="n">
        <x:f>ROUND((AD534*0.20+AE534*0.20+AF534*0.25+AG534*0.15+MIN(100,AC534*12)*0.20),1)</x:f>
        <x:v>67.4</x:v>
      </x:c>
      <x:c r="AO534" s="37" t="n">
        <x:f>ROUND(MAX(0,MIN(100,(X534*0.35)+(W534/45*100*0.20)+((5-O534)/4*100*0.15)+((5-P534)/4*100*0.10)+((6-Y534)/5*100*0.10)+((100-Z534)*0.10))),1)</x:f>
        <x:v>42.9</x:v>
      </x:c>
      <x:c r="AP534" s="37" t="str">
        <x:f>IF(AO534&gt;=70,"High",IF(AO534&gt;=40,"Moderate","Low"))</x:f>
        <x:v>Moderate</x:v>
      </x:c>
      <x:c r="AQ534" s="37" t="n">
        <x:f>ROUND(MAX(0,MIN(100,(O534/4*100*0.25)+(P534/4*100*0.20)+(Q534/4*100*0.15)+(Y534/5*100*0.20)+(100-AO534)*0.20)),1)</x:f>
        <x:v>61.4</x:v>
      </x:c>
      <x:c r="AR534" s="37" t="n">
        <x:f>ROUND((AI534*0.20+AJ534*0.15+AN534*0.18+AG534*0.12+Z534*0.15+AQ534*0.20),1)</x:f>
        <x:v>85.4</x:v>
      </x:c>
      <x:c r="AS534" s="39" t="n">
        <x:f>ROUND((AC534*AF534*120)+(AH534*350)+(MAX(0,AI534-75)*220)+(MAX(0,AQ534-60)*100),0)</x:f>
        <x:v>29184</x:v>
      </x:c>
    </x:row>
    <x:row r="535">
      <x:c r="A535" s="35" t="n">
        <x:v>534</x:v>
      </x:c>
      <x:c r="B535" s="35" t="n">
        <x:v>33</x:v>
      </x:c>
      <x:c r="C535" s="35" t="str">
        <x:v>Male</x:v>
      </x:c>
      <x:c r="D535" s="35" t="str">
        <x:v>Marketing</x:v>
      </x:c>
      <x:c r="E535" s="35" t="str">
        <x:v>Marketing Specialist</x:v>
      </x:c>
      <x:c r="F535" s="35" t="str">
        <x:v>Marketing</x:v>
      </x:c>
      <x:c r="G535" s="35" t="str">
        <x:v>Divorced</x:v>
      </x:c>
      <x:c r="H535" s="35" t="n">
        <x:v>2</x:v>
      </x:c>
      <x:c r="I535" s="36" t="n">
        <x:v>13420</x:v>
      </x:c>
      <x:c r="J535" s="35" t="n">
        <x:v>6</x:v>
      </x:c>
      <x:c r="K535" s="35" t="n">
        <x:v>3</x:v>
      </x:c>
      <x:c r="L535" s="35" t="n">
        <x:v>1</x:v>
      </x:c>
      <x:c r="M535" s="35" t="n">
        <x:v>12</x:v>
      </x:c>
      <x:c r="N535" s="35" t="str">
        <x:v>No</x:v>
      </x:c>
      <x:c r="O535" s="35" t="n">
        <x:v>2</x:v>
      </x:c>
      <x:c r="P535" s="35" t="n">
        <x:v>3</x:v>
      </x:c>
      <x:c r="Q535" s="35" t="n">
        <x:v>4</x:v>
      </x:c>
      <x:c r="R535" s="35" t="n">
        <x:v>3</x:v>
      </x:c>
      <x:c r="S535" s="35" t="n">
        <x:v>4</x:v>
      </x:c>
      <x:c r="T535" s="35" t="n">
        <x:v>2</x:v>
      </x:c>
      <x:c r="U535" s="35" t="n">
        <x:v>2</x:v>
      </x:c>
      <x:c r="V535" s="35" t="n">
        <x:v>9</x:v>
      </x:c>
      <x:c r="W535" s="35" t="n">
        <x:v>4</x:v>
      </x:c>
      <x:c r="X535" s="35" t="n">
        <x:v>62</x:v>
      </x:c>
      <x:c r="Y535" s="35" t="n">
        <x:v>5</x:v>
      </x:c>
      <x:c r="Z535" s="35" t="n">
        <x:v>100</x:v>
      </x:c>
      <x:c r="AA535" s="35" t="n">
        <x:v>9</x:v>
      </x:c>
      <x:c r="AB535" s="35" t="n">
        <x:v>4</x:v>
      </x:c>
      <x:c r="AC535" s="35" t="n">
        <x:v>3</x:v>
      </x:c>
      <x:c r="AD535" s="35" t="n">
        <x:v>87</x:v>
      </x:c>
      <x:c r="AE535" s="35" t="n">
        <x:v>77</x:v>
      </x:c>
      <x:c r="AF535" s="35" t="n">
        <x:v>72</x:v>
      </x:c>
      <x:c r="AG535" s="35" t="n">
        <x:v>100</x:v>
      </x:c>
      <x:c r="AH535" s="35" t="n">
        <x:v>11</x:v>
      </x:c>
      <x:c r="AI535" s="37" t="n">
        <x:v>100</x:v>
      </x:c>
      <x:c r="AJ535" s="37" t="n">
        <x:v>100</x:v>
      </x:c>
      <x:c r="AK535" s="35" t="str">
        <x:v>No</x:v>
      </x:c>
      <x:c r="AL535" s="38" t="n">
        <x:f>IF(AA535=0,0,AB535/AA535)</x:f>
        <x:v>0.4444444444444444</x:v>
      </x:c>
      <x:c r="AM535" s="38" t="n">
        <x:f>IF(AB535=0,0,AC535/AB535)</x:f>
        <x:v>0.75</x:v>
      </x:c>
      <x:c r="AN535" s="37" t="n">
        <x:f>ROUND((AD535*0.20+AE535*0.20+AF535*0.25+AG535*0.15+MIN(100,AC535*12)*0.20),1)</x:f>
        <x:v>73</x:v>
      </x:c>
      <x:c r="AO535" s="37" t="n">
        <x:f>ROUND(MAX(0,MIN(100,(X535*0.35)+(W535/45*100*0.20)+((5-O535)/4*100*0.15)+((5-P535)/4*100*0.10)+((6-Y535)/5*100*0.10)+((100-Z535)*0.10))),1)</x:f>
        <x:v>41.7</x:v>
      </x:c>
      <x:c r="AP535" s="37" t="str">
        <x:f>IF(AO535&gt;=70,"High",IF(AO535&gt;=40,"Moderate","Low"))</x:f>
        <x:v>Moderate</x:v>
      </x:c>
      <x:c r="AQ535" s="37" t="n">
        <x:f>ROUND(MAX(0,MIN(100,(O535/4*100*0.25)+(P535/4*100*0.20)+(Q535/4*100*0.15)+(Y535/5*100*0.20)+(100-AO535)*0.20)),1)</x:f>
        <x:v>74.2</x:v>
      </x:c>
      <x:c r="AR535" s="37" t="n">
        <x:f>ROUND((AI535*0.20+AJ535*0.15+AN535*0.18+AG535*0.12+Z535*0.15+AQ535*0.20),1)</x:f>
        <x:v>90</x:v>
      </x:c>
      <x:c r="AS535" s="39" t="n">
        <x:f>ROUND((AC535*AF535*120)+(AH535*350)+(MAX(0,AI535-75)*220)+(MAX(0,AQ535-60)*100),0)</x:f>
        <x:v>36690</x:v>
      </x:c>
    </x:row>
    <x:row r="536">
      <x:c r="A536" s="35" t="n">
        <x:v>535</x:v>
      </x:c>
      <x:c r="B536" s="35" t="n">
        <x:v>36</x:v>
      </x:c>
      <x:c r="C536" s="35" t="str">
        <x:v>Male</x:v>
      </x:c>
      <x:c r="D536" s="35" t="str">
        <x:v>Research &amp; Development</x:v>
      </x:c>
      <x:c r="E536" s="35" t="str">
        <x:v>R&amp;D Manager</x:v>
      </x:c>
      <x:c r="F536" s="35" t="str">
        <x:v>Computer Science</x:v>
      </x:c>
      <x:c r="G536" s="35" t="str">
        <x:v>Single</x:v>
      </x:c>
      <x:c r="H536" s="35" t="n">
        <x:v>2</x:v>
      </x:c>
      <x:c r="I536" s="36" t="n">
        <x:v>9070</x:v>
      </x:c>
      <x:c r="J536" s="35" t="n">
        <x:v>12</x:v>
      </x:c>
      <x:c r="K536" s="35" t="n">
        <x:v>9</x:v>
      </x:c>
      <x:c r="L536" s="35" t="n">
        <x:v>6</x:v>
      </x:c>
      <x:c r="M536" s="35" t="n">
        <x:v>13</x:v>
      </x:c>
      <x:c r="N536" s="35" t="str">
        <x:v>No</x:v>
      </x:c>
      <x:c r="O536" s="35" t="n">
        <x:v>4</x:v>
      </x:c>
      <x:c r="P536" s="35" t="n">
        <x:v>3</x:v>
      </x:c>
      <x:c r="Q536" s="35" t="n">
        <x:v>3</x:v>
      </x:c>
      <x:c r="R536" s="35" t="n">
        <x:v>4</x:v>
      </x:c>
      <x:c r="S536" s="35" t="n">
        <x:v>3</x:v>
      </x:c>
      <x:c r="T536" s="35" t="n">
        <x:v>5</x:v>
      </x:c>
      <x:c r="U536" s="35" t="n">
        <x:v>1</x:v>
      </x:c>
      <x:c r="V536" s="35" t="n">
        <x:v>1</x:v>
      </x:c>
      <x:c r="W536" s="35" t="n">
        <x:v>11</x:v>
      </x:c>
      <x:c r="X536" s="35" t="n">
        <x:v>50</x:v>
      </x:c>
      <x:c r="Y536" s="35" t="n">
        <x:v>4</x:v>
      </x:c>
      <x:c r="Z536" s="35" t="n">
        <x:v>100</x:v>
      </x:c>
      <x:c r="AA536" s="35" t="n">
        <x:v>6</x:v>
      </x:c>
      <x:c r="AB536" s="35" t="n">
        <x:v>5</x:v>
      </x:c>
      <x:c r="AC536" s="35" t="n">
        <x:v>5</x:v>
      </x:c>
      <x:c r="AD536" s="35" t="n">
        <x:v>73</x:v>
      </x:c>
      <x:c r="AE536" s="35" t="n">
        <x:v>85</x:v>
      </x:c>
      <x:c r="AF536" s="35" t="n">
        <x:v>79</x:v>
      </x:c>
      <x:c r="AG536" s="35" t="n">
        <x:v>100</x:v>
      </x:c>
      <x:c r="AH536" s="35" t="n">
        <x:v>8</x:v>
      </x:c>
      <x:c r="AI536" s="37" t="n">
        <x:v>97.8</x:v>
      </x:c>
      <x:c r="AJ536" s="37" t="n">
        <x:v>90</x:v>
      </x:c>
      <x:c r="AK536" s="35" t="str">
        <x:v>No</x:v>
      </x:c>
      <x:c r="AL536" s="38" t="n">
        <x:f>IF(AA536=0,0,AB536/AA536)</x:f>
        <x:v>0.8333333333333334</x:v>
      </x:c>
      <x:c r="AM536" s="38" t="n">
        <x:f>IF(AB536=0,0,AC536/AB536)</x:f>
        <x:v>1</x:v>
      </x:c>
      <x:c r="AN536" s="37" t="n">
        <x:f>ROUND((AD536*0.20+AE536*0.20+AF536*0.25+AG536*0.15+MIN(100,AC536*12)*0.20),1)</x:f>
        <x:v>78.4</x:v>
      </x:c>
      <x:c r="AO536" s="37" t="n">
        <x:f>ROUND(MAX(0,MIN(100,(X536*0.35)+(W536/45*100*0.20)+((5-O536)/4*100*0.15)+((5-P536)/4*100*0.10)+((6-Y536)/5*100*0.10)+((100-Z536)*0.10))),1)</x:f>
        <x:v>35.1</x:v>
      </x:c>
      <x:c r="AP536" s="37" t="str">
        <x:f>IF(AO536&gt;=70,"High",IF(AO536&gt;=40,"Moderate","Low"))</x:f>
        <x:v>Low</x:v>
      </x:c>
      <x:c r="AQ536" s="37" t="n">
        <x:f>ROUND(MAX(0,MIN(100,(O536/4*100*0.25)+(P536/4*100*0.20)+(Q536/4*100*0.15)+(Y536/5*100*0.20)+(100-AO536)*0.20)),1)</x:f>
        <x:v>80.2</x:v>
      </x:c>
      <x:c r="AR536" s="37" t="n">
        <x:f>ROUND((AI536*0.20+AJ536*0.15+AN536*0.18+AG536*0.12+Z536*0.15+AQ536*0.20),1)</x:f>
        <x:v>90.2</x:v>
      </x:c>
      <x:c r="AS536" s="39" t="n">
        <x:f>ROUND((AC536*AF536*120)+(AH536*350)+(MAX(0,AI536-75)*220)+(MAX(0,AQ536-60)*100),0)</x:f>
        <x:v>57236</x:v>
      </x:c>
    </x:row>
    <x:row r="537">
      <x:c r="A537" s="35" t="n">
        <x:v>536</x:v>
      </x:c>
      <x:c r="B537" s="35" t="n">
        <x:v>31</x:v>
      </x:c>
      <x:c r="C537" s="35" t="str">
        <x:v>Female</x:v>
      </x:c>
      <x:c r="D537" s="35" t="str">
        <x:v>Sales</x:v>
      </x:c>
      <x:c r="E537" s="35" t="str">
        <x:v>Sales Executive</x:v>
      </x:c>
      <x:c r="F537" s="35" t="str">
        <x:v>Medical</x:v>
      </x:c>
      <x:c r="G537" s="35" t="str">
        <x:v>Single</x:v>
      </x:c>
      <x:c r="H537" s="35" t="n">
        <x:v>1</x:v>
      </x:c>
      <x:c r="I537" s="36" t="n">
        <x:v>6420</x:v>
      </x:c>
      <x:c r="J537" s="35" t="n">
        <x:v>7</x:v>
      </x:c>
      <x:c r="K537" s="35" t="n">
        <x:v>5</x:v>
      </x:c>
      <x:c r="L537" s="35" t="n">
        <x:v>4</x:v>
      </x:c>
      <x:c r="M537" s="35" t="n">
        <x:v>5</x:v>
      </x:c>
      <x:c r="N537" s="35" t="str">
        <x:v>No</x:v>
      </x:c>
      <x:c r="O537" s="35" t="n">
        <x:v>4</x:v>
      </x:c>
      <x:c r="P537" s="35" t="n">
        <x:v>4</x:v>
      </x:c>
      <x:c r="Q537" s="35" t="n">
        <x:v>4</x:v>
      </x:c>
      <x:c r="R537" s="35" t="n">
        <x:v>2</x:v>
      </x:c>
      <x:c r="S537" s="35" t="n">
        <x:v>3</x:v>
      </x:c>
      <x:c r="T537" s="35" t="n">
        <x:v>1</x:v>
      </x:c>
      <x:c r="U537" s="35" t="n">
        <x:v>0</x:v>
      </x:c>
      <x:c r="V537" s="35" t="n">
        <x:v>10</x:v>
      </x:c>
      <x:c r="W537" s="35" t="n">
        <x:v>3</x:v>
      </x:c>
      <x:c r="X537" s="35" t="n">
        <x:v>56</x:v>
      </x:c>
      <x:c r="Y537" s="35" t="n">
        <x:v>5</x:v>
      </x:c>
      <x:c r="Z537" s="35" t="n">
        <x:v>97</x:v>
      </x:c>
      <x:c r="AA537" s="35" t="n">
        <x:v>2</x:v>
      </x:c>
      <x:c r="AB537" s="35" t="n">
        <x:v>1</x:v>
      </x:c>
      <x:c r="AC537" s="35" t="n">
        <x:v>1</x:v>
      </x:c>
      <x:c r="AD537" s="35" t="n">
        <x:v>73</x:v>
      </x:c>
      <x:c r="AE537" s="35" t="n">
        <x:v>63</x:v>
      </x:c>
      <x:c r="AF537" s="35" t="n">
        <x:v>73</x:v>
      </x:c>
      <x:c r="AG537" s="35" t="n">
        <x:v>100</x:v>
      </x:c>
      <x:c r="AH537" s="35" t="n">
        <x:v>5</x:v>
      </x:c>
      <x:c r="AI537" s="37" t="n">
        <x:v>100</x:v>
      </x:c>
      <x:c r="AJ537" s="37" t="n">
        <x:v>85.4</x:v>
      </x:c>
      <x:c r="AK537" s="35" t="str">
        <x:v>No</x:v>
      </x:c>
      <x:c r="AL537" s="38" t="n">
        <x:f>IF(AA537=0,0,AB537/AA537)</x:f>
        <x:v>0.5</x:v>
      </x:c>
      <x:c r="AM537" s="38" t="n">
        <x:f>IF(AB537=0,0,AC537/AB537)</x:f>
        <x:v>1</x:v>
      </x:c>
      <x:c r="AN537" s="37" t="n">
        <x:f>ROUND((AD537*0.20+AE537*0.20+AF537*0.25+AG537*0.15+MIN(100,AC537*12)*0.20),1)</x:f>
        <x:v>62.9</x:v>
      </x:c>
      <x:c r="AO537" s="37" t="n">
        <x:f>ROUND(MAX(0,MIN(100,(X537*0.35)+(W537/45*100*0.20)+((5-O537)/4*100*0.15)+((5-P537)/4*100*0.10)+((6-Y537)/5*100*0.10)+((100-Z537)*0.10))),1)</x:f>
        <x:v>29.5</x:v>
      </x:c>
      <x:c r="AP537" s="37" t="str">
        <x:f>IF(AO537&gt;=70,"High",IF(AO537&gt;=40,"Moderate","Low"))</x:f>
        <x:v>Low</x:v>
      </x:c>
      <x:c r="AQ537" s="37" t="n">
        <x:f>ROUND(MAX(0,MIN(100,(O537/4*100*0.25)+(P537/4*100*0.20)+(Q537/4*100*0.15)+(Y537/5*100*0.20)+(100-AO537)*0.20)),1)</x:f>
        <x:v>94.1</x:v>
      </x:c>
      <x:c r="AR537" s="37" t="n">
        <x:f>ROUND((AI537*0.20+AJ537*0.15+AN537*0.18+AG537*0.12+Z537*0.15+AQ537*0.20),1)</x:f>
        <x:v>89.5</x:v>
      </x:c>
      <x:c r="AS537" s="39" t="n">
        <x:f>ROUND((AC537*AF537*120)+(AH537*350)+(MAX(0,AI537-75)*220)+(MAX(0,AQ537-60)*100),0)</x:f>
        <x:v>19420</x:v>
      </x:c>
    </x:row>
    <x:row r="538">
      <x:c r="A538" s="35" t="n">
        <x:v>537</x:v>
      </x:c>
      <x:c r="B538" s="35" t="n">
        <x:v>32</x:v>
      </x:c>
      <x:c r="C538" s="35" t="str">
        <x:v>Female</x:v>
      </x:c>
      <x:c r="D538" s="35" t="str">
        <x:v>Information Technology</x:v>
      </x:c>
      <x:c r="E538" s="35" t="str">
        <x:v>IT Support</x:v>
      </x:c>
      <x:c r="F538" s="35" t="str">
        <x:v>Computer Science</x:v>
      </x:c>
      <x:c r="G538" s="35" t="str">
        <x:v>Married</x:v>
      </x:c>
      <x:c r="H538" s="35" t="n">
        <x:v>1</x:v>
      </x:c>
      <x:c r="I538" s="36" t="n">
        <x:v>4000</x:v>
      </x:c>
      <x:c r="J538" s="35" t="n">
        <x:v>9</x:v>
      </x:c>
      <x:c r="K538" s="35" t="n">
        <x:v>6</x:v>
      </x:c>
      <x:c r="L538" s="35" t="n">
        <x:v>3</x:v>
      </x:c>
      <x:c r="M538" s="35" t="n">
        <x:v>3</x:v>
      </x:c>
      <x:c r="N538" s="35" t="str">
        <x:v>No</x:v>
      </x:c>
      <x:c r="O538" s="35" t="n">
        <x:v>4</x:v>
      </x:c>
      <x:c r="P538" s="35" t="n">
        <x:v>3</x:v>
      </x:c>
      <x:c r="Q538" s="35" t="n">
        <x:v>4</x:v>
      </x:c>
      <x:c r="R538" s="35" t="n">
        <x:v>2</x:v>
      </x:c>
      <x:c r="S538" s="35" t="n">
        <x:v>3</x:v>
      </x:c>
      <x:c r="T538" s="35" t="n">
        <x:v>4</x:v>
      </x:c>
      <x:c r="U538" s="35" t="n">
        <x:v>1</x:v>
      </x:c>
      <x:c r="V538" s="35" t="n">
        <x:v>5</x:v>
      </x:c>
      <x:c r="W538" s="35" t="n">
        <x:v>3</x:v>
      </x:c>
      <x:c r="X538" s="35" t="n">
        <x:v>63</x:v>
      </x:c>
      <x:c r="Y538" s="35" t="n">
        <x:v>5</x:v>
      </x:c>
      <x:c r="Z538" s="35" t="n">
        <x:v>100</x:v>
      </x:c>
      <x:c r="AA538" s="35" t="n">
        <x:v>7</x:v>
      </x:c>
      <x:c r="AB538" s="35" t="n">
        <x:v>5</x:v>
      </x:c>
      <x:c r="AC538" s="35" t="n">
        <x:v>4</x:v>
      </x:c>
      <x:c r="AD538" s="35" t="n">
        <x:v>67</x:v>
      </x:c>
      <x:c r="AE538" s="35" t="n">
        <x:v>69</x:v>
      </x:c>
      <x:c r="AF538" s="35" t="n">
        <x:v>77</x:v>
      </x:c>
      <x:c r="AG538" s="35" t="n">
        <x:v>79</x:v>
      </x:c>
      <x:c r="AH538" s="35" t="n">
        <x:v>4</x:v>
      </x:c>
      <x:c r="AI538" s="37" t="n">
        <x:v>95.3</x:v>
      </x:c>
      <x:c r="AJ538" s="37" t="n">
        <x:v>99.4</x:v>
      </x:c>
      <x:c r="AK538" s="35" t="str">
        <x:v>No</x:v>
      </x:c>
      <x:c r="AL538" s="38" t="n">
        <x:f>IF(AA538=0,0,AB538/AA538)</x:f>
        <x:v>0.7142857142857143</x:v>
      </x:c>
      <x:c r="AM538" s="38" t="n">
        <x:f>IF(AB538=0,0,AC538/AB538)</x:f>
        <x:v>0.8</x:v>
      </x:c>
      <x:c r="AN538" s="37" t="n">
        <x:f>ROUND((AD538*0.20+AE538*0.20+AF538*0.25+AG538*0.15+MIN(100,AC538*12)*0.20),1)</x:f>
        <x:v>67.9</x:v>
      </x:c>
      <x:c r="AO538" s="37" t="n">
        <x:f>ROUND(MAX(0,MIN(100,(X538*0.35)+(W538/45*100*0.20)+((5-O538)/4*100*0.15)+((5-P538)/4*100*0.10)+((6-Y538)/5*100*0.10)+((100-Z538)*0.10))),1)</x:f>
        <x:v>34.1</x:v>
      </x:c>
      <x:c r="AP538" s="37" t="str">
        <x:f>IF(AO538&gt;=70,"High",IF(AO538&gt;=40,"Moderate","Low"))</x:f>
        <x:v>Low</x:v>
      </x:c>
      <x:c r="AQ538" s="37" t="n">
        <x:f>ROUND(MAX(0,MIN(100,(O538/4*100*0.25)+(P538/4*100*0.20)+(Q538/4*100*0.15)+(Y538/5*100*0.20)+(100-AO538)*0.20)),1)</x:f>
        <x:v>88.2</x:v>
      </x:c>
      <x:c r="AR538" s="37" t="n">
        <x:f>ROUND((AI538*0.20+AJ538*0.15+AN538*0.18+AG538*0.12+Z538*0.15+AQ538*0.20),1)</x:f>
        <x:v>88.3</x:v>
      </x:c>
      <x:c r="AS538" s="39" t="n">
        <x:f>ROUND((AC538*AF538*120)+(AH538*350)+(MAX(0,AI538-75)*220)+(MAX(0,AQ538-60)*100),0)</x:f>
        <x:v>45646</x:v>
      </x:c>
    </x:row>
    <x:row r="539">
      <x:c r="A539" s="35" t="n">
        <x:v>538</x:v>
      </x:c>
      <x:c r="B539" s="35" t="n">
        <x:v>35</x:v>
      </x:c>
      <x:c r="C539" s="35" t="str">
        <x:v>Female</x:v>
      </x:c>
      <x:c r="D539" s="35" t="str">
        <x:v>Sales</x:v>
      </x:c>
      <x:c r="E539" s="35" t="str">
        <x:v>Sales Executive</x:v>
      </x:c>
      <x:c r="F539" s="35" t="str">
        <x:v>Technical Degree</x:v>
      </x:c>
      <x:c r="G539" s="35" t="str">
        <x:v>Single</x:v>
      </x:c>
      <x:c r="H539" s="35" t="n">
        <x:v>2</x:v>
      </x:c>
      <x:c r="I539" s="36" t="n">
        <x:v>11020</x:v>
      </x:c>
      <x:c r="J539" s="35" t="n">
        <x:v>12</x:v>
      </x:c>
      <x:c r="K539" s="35" t="n">
        <x:v>4</x:v>
      </x:c>
      <x:c r="L539" s="35" t="n">
        <x:v>3</x:v>
      </x:c>
      <x:c r="M539" s="35" t="n">
        <x:v>7</x:v>
      </x:c>
      <x:c r="N539" s="35" t="str">
        <x:v>No</x:v>
      </x:c>
      <x:c r="O539" s="35" t="n">
        <x:v>3</x:v>
      </x:c>
      <x:c r="P539" s="35" t="n">
        <x:v>3</x:v>
      </x:c>
      <x:c r="Q539" s="35" t="n">
        <x:v>3</x:v>
      </x:c>
      <x:c r="R539" s="35" t="n">
        <x:v>3</x:v>
      </x:c>
      <x:c r="S539" s="35" t="n">
        <x:v>4</x:v>
      </x:c>
      <x:c r="T539" s="35" t="n">
        <x:v>2</x:v>
      </x:c>
      <x:c r="U539" s="35" t="n">
        <x:v>0</x:v>
      </x:c>
      <x:c r="V539" s="35" t="n">
        <x:v>4</x:v>
      </x:c>
      <x:c r="W539" s="35" t="n">
        <x:v>6</x:v>
      </x:c>
      <x:c r="X539" s="35" t="n">
        <x:v>57</x:v>
      </x:c>
      <x:c r="Y539" s="35" t="n">
        <x:v>5</x:v>
      </x:c>
      <x:c r="Z539" s="35" t="n">
        <x:v>97</x:v>
      </x:c>
      <x:c r="AA539" s="35" t="n">
        <x:v>9</x:v>
      </x:c>
      <x:c r="AB539" s="35" t="n">
        <x:v>5</x:v>
      </x:c>
      <x:c r="AC539" s="35" t="n">
        <x:v>4</x:v>
      </x:c>
      <x:c r="AD539" s="35" t="n">
        <x:v>87</x:v>
      </x:c>
      <x:c r="AE539" s="35" t="n">
        <x:v>82</x:v>
      </x:c>
      <x:c r="AF539" s="35" t="n">
        <x:v>79</x:v>
      </x:c>
      <x:c r="AG539" s="35" t="n">
        <x:v>80</x:v>
      </x:c>
      <x:c r="AH539" s="35" t="n">
        <x:v>11</x:v>
      </x:c>
      <x:c r="AI539" s="37" t="n">
        <x:v>100</x:v>
      </x:c>
      <x:c r="AJ539" s="37" t="n">
        <x:v>100</x:v>
      </x:c>
      <x:c r="AK539" s="35" t="str">
        <x:v>No</x:v>
      </x:c>
      <x:c r="AL539" s="38" t="n">
        <x:f>IF(AA539=0,0,AB539/AA539)</x:f>
        <x:v>0.5555555555555556</x:v>
      </x:c>
      <x:c r="AM539" s="38" t="n">
        <x:f>IF(AB539=0,0,AC539/AB539)</x:f>
        <x:v>0.8</x:v>
      </x:c>
      <x:c r="AN539" s="37" t="n">
        <x:f>ROUND((AD539*0.20+AE539*0.20+AF539*0.25+AG539*0.15+MIN(100,AC539*12)*0.20),1)</x:f>
        <x:v>75.2</x:v>
      </x:c>
      <x:c r="AO539" s="37" t="n">
        <x:f>ROUND(MAX(0,MIN(100,(X539*0.35)+(W539/45*100*0.20)+((5-O539)/4*100*0.15)+((5-P539)/4*100*0.10)+((6-Y539)/5*100*0.10)+((100-Z539)*0.10))),1)</x:f>
        <x:v>37.4</x:v>
      </x:c>
      <x:c r="AP539" s="37" t="str">
        <x:f>IF(AO539&gt;=70,"High",IF(AO539&gt;=40,"Moderate","Low"))</x:f>
        <x:v>Low</x:v>
      </x:c>
      <x:c r="AQ539" s="37" t="n">
        <x:f>ROUND(MAX(0,MIN(100,(O539/4*100*0.25)+(P539/4*100*0.20)+(Q539/4*100*0.15)+(Y539/5*100*0.20)+(100-AO539)*0.20)),1)</x:f>
        <x:v>77.5</x:v>
      </x:c>
      <x:c r="AR539" s="37" t="n">
        <x:f>ROUND((AI539*0.20+AJ539*0.15+AN539*0.18+AG539*0.12+Z539*0.15+AQ539*0.20),1)</x:f>
        <x:v>88.2</x:v>
      </x:c>
      <x:c r="AS539" s="39" t="n">
        <x:f>ROUND((AC539*AF539*120)+(AH539*350)+(MAX(0,AI539-75)*220)+(MAX(0,AQ539-60)*100),0)</x:f>
        <x:v>49020</x:v>
      </x:c>
    </x:row>
    <x:row r="540">
      <x:c r="A540" s="35" t="n">
        <x:v>539</x:v>
      </x:c>
      <x:c r="B540" s="35" t="n">
        <x:v>22</x:v>
      </x:c>
      <x:c r="C540" s="35" t="str">
        <x:v>Female</x:v>
      </x:c>
      <x:c r="D540" s="35" t="str">
        <x:v>Research &amp; Development</x:v>
      </x:c>
      <x:c r="E540" s="35" t="str">
        <x:v>R&amp;D Manager</x:v>
      </x:c>
      <x:c r="F540" s="35" t="str">
        <x:v>Technical Degree</x:v>
      </x:c>
      <x:c r="G540" s="35" t="str">
        <x:v>Single</x:v>
      </x:c>
      <x:c r="H540" s="35" t="n">
        <x:v>1</x:v>
      </x:c>
      <x:c r="I540" s="36" t="n">
        <x:v>5560</x:v>
      </x:c>
      <x:c r="J540" s="35" t="n">
        <x:v>0</x:v>
      </x:c>
      <x:c r="K540" s="35" t="n">
        <x:v>0</x:v>
      </x:c>
      <x:c r="L540" s="35" t="n">
        <x:v>0</x:v>
      </x:c>
      <x:c r="M540" s="35" t="n">
        <x:v>22</x:v>
      </x:c>
      <x:c r="N540" s="35" t="str">
        <x:v>No</x:v>
      </x:c>
      <x:c r="O540" s="35" t="n">
        <x:v>3</x:v>
      </x:c>
      <x:c r="P540" s="35" t="n">
        <x:v>3</x:v>
      </x:c>
      <x:c r="Q540" s="35" t="n">
        <x:v>4</x:v>
      </x:c>
      <x:c r="R540" s="35" t="n">
        <x:v>2</x:v>
      </x:c>
      <x:c r="S540" s="35" t="n">
        <x:v>3</x:v>
      </x:c>
      <x:c r="T540" s="35" t="n">
        <x:v>4</x:v>
      </x:c>
      <x:c r="U540" s="35" t="n">
        <x:v>0</x:v>
      </x:c>
      <x:c r="V540" s="35" t="n">
        <x:v>9</x:v>
      </x:c>
      <x:c r="W540" s="35" t="n">
        <x:v>18</x:v>
      </x:c>
      <x:c r="X540" s="35" t="n">
        <x:v>52</x:v>
      </x:c>
      <x:c r="Y540" s="35" t="n">
        <x:v>5</x:v>
      </x:c>
      <x:c r="Z540" s="35" t="n">
        <x:v>100</x:v>
      </x:c>
      <x:c r="AA540" s="35" t="n">
        <x:v>7</x:v>
      </x:c>
      <x:c r="AB540" s="35" t="n">
        <x:v>5</x:v>
      </x:c>
      <x:c r="AC540" s="35" t="n">
        <x:v>4</x:v>
      </x:c>
      <x:c r="AD540" s="35" t="n">
        <x:v>100</x:v>
      </x:c>
      <x:c r="AE540" s="35" t="n">
        <x:v>64</x:v>
      </x:c>
      <x:c r="AF540" s="35" t="n">
        <x:v>79</x:v>
      </x:c>
      <x:c r="AG540" s="35" t="n">
        <x:v>84</x:v>
      </x:c>
      <x:c r="AH540" s="35" t="n">
        <x:v>7</x:v>
      </x:c>
      <x:c r="AI540" s="37" t="n">
        <x:v>92.9</x:v>
      </x:c>
      <x:c r="AJ540" s="37" t="n">
        <x:v>90.6</x:v>
      </x:c>
      <x:c r="AK540" s="35" t="str">
        <x:v>No</x:v>
      </x:c>
      <x:c r="AL540" s="38" t="n">
        <x:f>IF(AA540=0,0,AB540/AA540)</x:f>
        <x:v>0.7142857142857143</x:v>
      </x:c>
      <x:c r="AM540" s="38" t="n">
        <x:f>IF(AB540=0,0,AC540/AB540)</x:f>
        <x:v>0.8</x:v>
      </x:c>
      <x:c r="AN540" s="37" t="n">
        <x:f>ROUND((AD540*0.20+AE540*0.20+AF540*0.25+AG540*0.15+MIN(100,AC540*12)*0.20),1)</x:f>
        <x:v>74.8</x:v>
      </x:c>
      <x:c r="AO540" s="37" t="n">
        <x:f>ROUND(MAX(0,MIN(100,(X540*0.35)+(W540/45*100*0.20)+((5-O540)/4*100*0.15)+((5-P540)/4*100*0.10)+((6-Y540)/5*100*0.10)+((100-Z540)*0.10))),1)</x:f>
        <x:v>40.7</x:v>
      </x:c>
      <x:c r="AP540" s="37" t="str">
        <x:f>IF(AO540&gt;=70,"High",IF(AO540&gt;=40,"Moderate","Low"))</x:f>
        <x:v>Moderate</x:v>
      </x:c>
      <x:c r="AQ540" s="37" t="n">
        <x:f>ROUND(MAX(0,MIN(100,(O540/4*100*0.25)+(P540/4*100*0.20)+(Q540/4*100*0.15)+(Y540/5*100*0.20)+(100-AO540)*0.20)),1)</x:f>
        <x:v>80.6</x:v>
      </x:c>
      <x:c r="AR540" s="37" t="n">
        <x:f>ROUND((AI540*0.20+AJ540*0.15+AN540*0.18+AG540*0.12+Z540*0.15+AQ540*0.20),1)</x:f>
        <x:v>86.8</x:v>
      </x:c>
      <x:c r="AS540" s="39" t="n">
        <x:f>ROUND((AC540*AF540*120)+(AH540*350)+(MAX(0,AI540-75)*220)+(MAX(0,AQ540-60)*100),0)</x:f>
        <x:v>46368</x:v>
      </x:c>
    </x:row>
    <x:row r="541">
      <x:c r="A541" s="35" t="n">
        <x:v>540</x:v>
      </x:c>
      <x:c r="B541" s="35" t="n">
        <x:v>43</x:v>
      </x:c>
      <x:c r="C541" s="35" t="str">
        <x:v>Male</x:v>
      </x:c>
      <x:c r="D541" s="35" t="str">
        <x:v>Information Technology</x:v>
      </x:c>
      <x:c r="E541" s="35" t="str">
        <x:v>Software Engineer</x:v>
      </x:c>
      <x:c r="F541" s="35" t="str">
        <x:v>Computer Science</x:v>
      </x:c>
      <x:c r="G541" s="35" t="str">
        <x:v>Married</x:v>
      </x:c>
      <x:c r="H541" s="35" t="n">
        <x:v>3</x:v>
      </x:c>
      <x:c r="I541" s="36" t="n">
        <x:v>16140</x:v>
      </x:c>
      <x:c r="J541" s="35" t="n">
        <x:v>15</x:v>
      </x:c>
      <x:c r="K541" s="35" t="n">
        <x:v>8</x:v>
      </x:c>
      <x:c r="L541" s="35" t="n">
        <x:v>5</x:v>
      </x:c>
      <x:c r="M541" s="35" t="n">
        <x:v>1</x:v>
      </x:c>
      <x:c r="N541" s="35" t="str">
        <x:v>Yes</x:v>
      </x:c>
      <x:c r="O541" s="35" t="n">
        <x:v>3</x:v>
      </x:c>
      <x:c r="P541" s="35" t="n">
        <x:v>2</x:v>
      </x:c>
      <x:c r="Q541" s="35" t="n">
        <x:v>2</x:v>
      </x:c>
      <x:c r="R541" s="35" t="n">
        <x:v>2</x:v>
      </x:c>
      <x:c r="S541" s="35" t="n">
        <x:v>3</x:v>
      </x:c>
      <x:c r="T541" s="35" t="n">
        <x:v>1</x:v>
      </x:c>
      <x:c r="U541" s="35" t="n">
        <x:v>1</x:v>
      </x:c>
      <x:c r="V541" s="35" t="n">
        <x:v>4</x:v>
      </x:c>
      <x:c r="W541" s="35" t="n">
        <x:v>15</x:v>
      </x:c>
      <x:c r="X541" s="35" t="n">
        <x:v>82</x:v>
      </x:c>
      <x:c r="Y541" s="35" t="n">
        <x:v>4</x:v>
      </x:c>
      <x:c r="Z541" s="35" t="n">
        <x:v>78</x:v>
      </x:c>
      <x:c r="AA541" s="35" t="n">
        <x:v>1</x:v>
      </x:c>
      <x:c r="AB541" s="35" t="n">
        <x:v>1</x:v>
      </x:c>
      <x:c r="AC541" s="35" t="n">
        <x:v>1</x:v>
      </x:c>
      <x:c r="AD541" s="35" t="n">
        <x:v>78</x:v>
      </x:c>
      <x:c r="AE541" s="35" t="n">
        <x:v>84</x:v>
      </x:c>
      <x:c r="AF541" s="35" t="n">
        <x:v>68</x:v>
      </x:c>
      <x:c r="AG541" s="35" t="n">
        <x:v>87</x:v>
      </x:c>
      <x:c r="AH541" s="35" t="n">
        <x:v>4</x:v>
      </x:c>
      <x:c r="AI541" s="37" t="n">
        <x:v>89</x:v>
      </x:c>
      <x:c r="AJ541" s="37" t="n">
        <x:v>83.1</x:v>
      </x:c>
      <x:c r="AK541" s="35" t="str">
        <x:v>No</x:v>
      </x:c>
      <x:c r="AL541" s="38" t="n">
        <x:f>IF(AA541=0,0,AB541/AA541)</x:f>
        <x:v>1</x:v>
      </x:c>
      <x:c r="AM541" s="38" t="n">
        <x:f>IF(AB541=0,0,AC541/AB541)</x:f>
        <x:v>1</x:v>
      </x:c>
      <x:c r="AN541" s="37" t="n">
        <x:f>ROUND((AD541*0.20+AE541*0.20+AF541*0.25+AG541*0.15+MIN(100,AC541*12)*0.20),1)</x:f>
        <x:v>64.9</x:v>
      </x:c>
      <x:c r="AO541" s="37" t="n">
        <x:f>ROUND(MAX(0,MIN(100,(X541*0.35)+(W541/45*100*0.20)+((5-O541)/4*100*0.15)+((5-P541)/4*100*0.10)+((6-Y541)/5*100*0.10)+((100-Z541)*0.10))),1)</x:f>
        <x:v>56.6</x:v>
      </x:c>
      <x:c r="AP541" s="37" t="str">
        <x:f>IF(AO541&gt;=70,"High",IF(AO541&gt;=40,"Moderate","Low"))</x:f>
        <x:v>Moderate</x:v>
      </x:c>
      <x:c r="AQ541" s="37" t="n">
        <x:f>ROUND(MAX(0,MIN(100,(O541/4*100*0.25)+(P541/4*100*0.20)+(Q541/4*100*0.15)+(Y541/5*100*0.20)+(100-AO541)*0.20)),1)</x:f>
        <x:v>60.9</x:v>
      </x:c>
      <x:c r="AR541" s="37" t="n">
        <x:f>ROUND((AI541*0.20+AJ541*0.15+AN541*0.18+AG541*0.12+Z541*0.15+AQ541*0.20),1)</x:f>
        <x:v>76.3</x:v>
      </x:c>
      <x:c r="AS541" s="39" t="n">
        <x:f>ROUND((AC541*AF541*120)+(AH541*350)+(MAX(0,AI541-75)*220)+(MAX(0,AQ541-60)*100),0)</x:f>
        <x:v>12730</x:v>
      </x:c>
    </x:row>
    <x:row r="542">
      <x:c r="A542" s="35" t="n">
        <x:v>541</x:v>
      </x:c>
      <x:c r="B542" s="35" t="n">
        <x:v>42</x:v>
      </x:c>
      <x:c r="C542" s="35" t="str">
        <x:v>Male</x:v>
      </x:c>
      <x:c r="D542" s="35" t="str">
        <x:v>Research &amp; Development</x:v>
      </x:c>
      <x:c r="E542" s="35" t="str">
        <x:v>R&amp;D Manager</x:v>
      </x:c>
      <x:c r="F542" s="35" t="str">
        <x:v>Human Resources</x:v>
      </x:c>
      <x:c r="G542" s="35" t="str">
        <x:v>Married</x:v>
      </x:c>
      <x:c r="H542" s="35" t="n">
        <x:v>4</x:v>
      </x:c>
      <x:c r="I542" s="36" t="n">
        <x:v>22380</x:v>
      </x:c>
      <x:c r="J542" s="35" t="n">
        <x:v>17</x:v>
      </x:c>
      <x:c r="K542" s="35" t="n">
        <x:v>9</x:v>
      </x:c>
      <x:c r="L542" s="35" t="n">
        <x:v>6</x:v>
      </x:c>
      <x:c r="M542" s="35" t="n">
        <x:v>7</x:v>
      </x:c>
      <x:c r="N542" s="35" t="str">
        <x:v>No</x:v>
      </x:c>
      <x:c r="O542" s="35" t="n">
        <x:v>3</x:v>
      </x:c>
      <x:c r="P542" s="35" t="n">
        <x:v>3</x:v>
      </x:c>
      <x:c r="Q542" s="35" t="n">
        <x:v>2</x:v>
      </x:c>
      <x:c r="R542" s="35" t="n">
        <x:v>4</x:v>
      </x:c>
      <x:c r="S542" s="35" t="n">
        <x:v>4</x:v>
      </x:c>
      <x:c r="T542" s="35" t="n">
        <x:v>3</x:v>
      </x:c>
      <x:c r="U542" s="35" t="n">
        <x:v>2</x:v>
      </x:c>
      <x:c r="V542" s="35" t="n">
        <x:v>8</x:v>
      </x:c>
      <x:c r="W542" s="35" t="n">
        <x:v>0</x:v>
      </x:c>
      <x:c r="X542" s="35" t="n">
        <x:v>57</x:v>
      </x:c>
      <x:c r="Y542" s="35" t="n">
        <x:v>5</x:v>
      </x:c>
      <x:c r="Z542" s="35" t="n">
        <x:v>100</x:v>
      </x:c>
      <x:c r="AA542" s="35" t="n">
        <x:v>1</x:v>
      </x:c>
      <x:c r="AB542" s="35" t="n">
        <x:v>1</x:v>
      </x:c>
      <x:c r="AC542" s="35" t="n">
        <x:v>1</x:v>
      </x:c>
      <x:c r="AD542" s="35" t="n">
        <x:v>74</x:v>
      </x:c>
      <x:c r="AE542" s="35" t="n">
        <x:v>82</x:v>
      </x:c>
      <x:c r="AF542" s="35" t="n">
        <x:v>100</x:v>
      </x:c>
      <x:c r="AG542" s="35" t="n">
        <x:v>100</x:v>
      </x:c>
      <x:c r="AH542" s="35" t="n">
        <x:v>10</x:v>
      </x:c>
      <x:c r="AI542" s="37" t="n">
        <x:v>97.9</x:v>
      </x:c>
      <x:c r="AJ542" s="37" t="n">
        <x:v>97</x:v>
      </x:c>
      <x:c r="AK542" s="35" t="str">
        <x:v>No</x:v>
      </x:c>
      <x:c r="AL542" s="38" t="n">
        <x:f>IF(AA542=0,0,AB542/AA542)</x:f>
        <x:v>1</x:v>
      </x:c>
      <x:c r="AM542" s="38" t="n">
        <x:f>IF(AB542=0,0,AC542/AB542)</x:f>
        <x:v>1</x:v>
      </x:c>
      <x:c r="AN542" s="37" t="n">
        <x:f>ROUND((AD542*0.20+AE542*0.20+AF542*0.25+AG542*0.15+MIN(100,AC542*12)*0.20),1)</x:f>
        <x:v>73.6</x:v>
      </x:c>
      <x:c r="AO542" s="37" t="n">
        <x:f>ROUND(MAX(0,MIN(100,(X542*0.35)+(W542/45*100*0.20)+((5-O542)/4*100*0.15)+((5-P542)/4*100*0.10)+((6-Y542)/5*100*0.10)+((100-Z542)*0.10))),1)</x:f>
        <x:v>34.5</x:v>
      </x:c>
      <x:c r="AP542" s="37" t="str">
        <x:f>IF(AO542&gt;=70,"High",IF(AO542&gt;=40,"Moderate","Low"))</x:f>
        <x:v>Low</x:v>
      </x:c>
      <x:c r="AQ542" s="37" t="n">
        <x:f>ROUND(MAX(0,MIN(100,(O542/4*100*0.25)+(P542/4*100*0.20)+(Q542/4*100*0.15)+(Y542/5*100*0.20)+(100-AO542)*0.20)),1)</x:f>
        <x:v>74.4</x:v>
      </x:c>
      <x:c r="AR542" s="37" t="n">
        <x:f>ROUND((AI542*0.20+AJ542*0.15+AN542*0.18+AG542*0.12+Z542*0.15+AQ542*0.20),1)</x:f>
        <x:v>89.3</x:v>
      </x:c>
      <x:c r="AS542" s="39" t="n">
        <x:f>ROUND((AC542*AF542*120)+(AH542*350)+(MAX(0,AI542-75)*220)+(MAX(0,AQ542-60)*100),0)</x:f>
        <x:v>21978</x:v>
      </x:c>
    </x:row>
    <x:row r="543">
      <x:c r="A543" s="35" t="n">
        <x:v>542</x:v>
      </x:c>
      <x:c r="B543" s="35" t="n">
        <x:v>35</x:v>
      </x:c>
      <x:c r="C543" s="35" t="str">
        <x:v>Male</x:v>
      </x:c>
      <x:c r="D543" s="35" t="str">
        <x:v>Research &amp; Development</x:v>
      </x:c>
      <x:c r="E543" s="35" t="str">
        <x:v>Research Scientist</x:v>
      </x:c>
      <x:c r="F543" s="35" t="str">
        <x:v>Business</x:v>
      </x:c>
      <x:c r="G543" s="35" t="str">
        <x:v>Married</x:v>
      </x:c>
      <x:c r="H543" s="35" t="n">
        <x:v>1</x:v>
      </x:c>
      <x:c r="I543" s="36" t="n">
        <x:v>5240</x:v>
      </x:c>
      <x:c r="J543" s="35" t="n">
        <x:v>9</x:v>
      </x:c>
      <x:c r="K543" s="35" t="n">
        <x:v>3</x:v>
      </x:c>
      <x:c r="L543" s="35" t="n">
        <x:v>2</x:v>
      </x:c>
      <x:c r="M543" s="35" t="n">
        <x:v>9</x:v>
      </x:c>
      <x:c r="N543" s="35" t="str">
        <x:v>No</x:v>
      </x:c>
      <x:c r="O543" s="35" t="n">
        <x:v>3</x:v>
      </x:c>
      <x:c r="P543" s="35" t="n">
        <x:v>2</x:v>
      </x:c>
      <x:c r="Q543" s="35" t="n">
        <x:v>3</x:v>
      </x:c>
      <x:c r="R543" s="35" t="n">
        <x:v>1</x:v>
      </x:c>
      <x:c r="S543" s="35" t="n">
        <x:v>3</x:v>
      </x:c>
      <x:c r="T543" s="35" t="n">
        <x:v>3</x:v>
      </x:c>
      <x:c r="U543" s="35" t="n">
        <x:v>0</x:v>
      </x:c>
      <x:c r="V543" s="35" t="n">
        <x:v>5</x:v>
      </x:c>
      <x:c r="W543" s="35" t="n">
        <x:v>7</x:v>
      </x:c>
      <x:c r="X543" s="35" t="n">
        <x:v>76</x:v>
      </x:c>
      <x:c r="Y543" s="35" t="n">
        <x:v>5</x:v>
      </x:c>
      <x:c r="Z543" s="35" t="n">
        <x:v>75</x:v>
      </x:c>
      <x:c r="AA543" s="35" t="n">
        <x:v>6</x:v>
      </x:c>
      <x:c r="AB543" s="35" t="n">
        <x:v>4</x:v>
      </x:c>
      <x:c r="AC543" s="35" t="n">
        <x:v>3</x:v>
      </x:c>
      <x:c r="AD543" s="35" t="n">
        <x:v>62</x:v>
      </x:c>
      <x:c r="AE543" s="35" t="n">
        <x:v>77</x:v>
      </x:c>
      <x:c r="AF543" s="35" t="n">
        <x:v>82</x:v>
      </x:c>
      <x:c r="AG543" s="35" t="n">
        <x:v>84</x:v>
      </x:c>
      <x:c r="AH543" s="35" t="n">
        <x:v>5</x:v>
      </x:c>
      <x:c r="AI543" s="37" t="n">
        <x:v>92</x:v>
      </x:c>
      <x:c r="AJ543" s="37" t="n">
        <x:v>89.2</x:v>
      </x:c>
      <x:c r="AK543" s="35" t="str">
        <x:v>Yes</x:v>
      </x:c>
      <x:c r="AL543" s="38" t="n">
        <x:f>IF(AA543=0,0,AB543/AA543)</x:f>
        <x:v>0.6666666666666666</x:v>
      </x:c>
      <x:c r="AM543" s="38" t="n">
        <x:f>IF(AB543=0,0,AC543/AB543)</x:f>
        <x:v>0.75</x:v>
      </x:c>
      <x:c r="AN543" s="37" t="n">
        <x:f>ROUND((AD543*0.20+AE543*0.20+AF543*0.25+AG543*0.15+MIN(100,AC543*12)*0.20),1)</x:f>
        <x:v>68.1</x:v>
      </x:c>
      <x:c r="AO543" s="37" t="n">
        <x:f>ROUND(MAX(0,MIN(100,(X543*0.35)+(W543/45*100*0.20)+((5-O543)/4*100*0.15)+((5-P543)/4*100*0.10)+((6-Y543)/5*100*0.10)+((100-Z543)*0.10))),1)</x:f>
        <x:v>49.2</x:v>
      </x:c>
      <x:c r="AP543" s="37" t="str">
        <x:f>IF(AO543&gt;=70,"High",IF(AO543&gt;=40,"Moderate","Low"))</x:f>
        <x:v>Moderate</x:v>
      </x:c>
      <x:c r="AQ543" s="37" t="n">
        <x:f>ROUND(MAX(0,MIN(100,(O543/4*100*0.25)+(P543/4*100*0.20)+(Q543/4*100*0.15)+(Y543/5*100*0.20)+(100-AO543)*0.20)),1)</x:f>
        <x:v>70.2</x:v>
      </x:c>
      <x:c r="AR543" s="37" t="n">
        <x:f>ROUND((AI543*0.20+AJ543*0.15+AN543*0.18+AG543*0.12+Z543*0.15+AQ543*0.20),1)</x:f>
        <x:v>79.4</x:v>
      </x:c>
      <x:c r="AS543" s="39" t="n">
        <x:f>ROUND((AC543*AF543*120)+(AH543*350)+(MAX(0,AI543-75)*220)+(MAX(0,AQ543-60)*100),0)</x:f>
        <x:v>36030</x:v>
      </x:c>
    </x:row>
    <x:row r="544">
      <x:c r="A544" s="35" t="n">
        <x:v>543</x:v>
      </x:c>
      <x:c r="B544" s="35" t="n">
        <x:v>35</x:v>
      </x:c>
      <x:c r="C544" s="35" t="str">
        <x:v>Male</x:v>
      </x:c>
      <x:c r="D544" s="35" t="str">
        <x:v>Sales</x:v>
      </x:c>
      <x:c r="E544" s="35" t="str">
        <x:v>Sales Executive</x:v>
      </x:c>
      <x:c r="F544" s="35" t="str">
        <x:v>Human Resources</x:v>
      </x:c>
      <x:c r="G544" s="35" t="str">
        <x:v>Married</x:v>
      </x:c>
      <x:c r="H544" s="35" t="n">
        <x:v>3</x:v>
      </x:c>
      <x:c r="I544" s="36" t="n">
        <x:v>14120</x:v>
      </x:c>
      <x:c r="J544" s="35" t="n">
        <x:v>12</x:v>
      </x:c>
      <x:c r="K544" s="35" t="n">
        <x:v>5</x:v>
      </x:c>
      <x:c r="L544" s="35" t="n">
        <x:v>3</x:v>
      </x:c>
      <x:c r="M544" s="35" t="n">
        <x:v>9</x:v>
      </x:c>
      <x:c r="N544" s="35" t="str">
        <x:v>No</x:v>
      </x:c>
      <x:c r="O544" s="35" t="n">
        <x:v>4</x:v>
      </x:c>
      <x:c r="P544" s="35" t="n">
        <x:v>3</x:v>
      </x:c>
      <x:c r="Q544" s="35" t="n">
        <x:v>3</x:v>
      </x:c>
      <x:c r="R544" s="35" t="n">
        <x:v>2</x:v>
      </x:c>
      <x:c r="S544" s="35" t="n">
        <x:v>3</x:v>
      </x:c>
      <x:c r="T544" s="35" t="n">
        <x:v>2</x:v>
      </x:c>
      <x:c r="U544" s="35" t="n">
        <x:v>1</x:v>
      </x:c>
      <x:c r="V544" s="35" t="n">
        <x:v>3</x:v>
      </x:c>
      <x:c r="W544" s="35" t="n">
        <x:v>4</x:v>
      </x:c>
      <x:c r="X544" s="35" t="n">
        <x:v>69</x:v>
      </x:c>
      <x:c r="Y544" s="35" t="n">
        <x:v>5</x:v>
      </x:c>
      <x:c r="Z544" s="35" t="n">
        <x:v>96</x:v>
      </x:c>
      <x:c r="AA544" s="35" t="n">
        <x:v>10</x:v>
      </x:c>
      <x:c r="AB544" s="35" t="n">
        <x:v>4</x:v>
      </x:c>
      <x:c r="AC544" s="35" t="n">
        <x:v>3</x:v>
      </x:c>
      <x:c r="AD544" s="35" t="n">
        <x:v>100</x:v>
      </x:c>
      <x:c r="AE544" s="35" t="n">
        <x:v>66</x:v>
      </x:c>
      <x:c r="AF544" s="35" t="n">
        <x:v>75</x:v>
      </x:c>
      <x:c r="AG544" s="35" t="n">
        <x:v>69</x:v>
      </x:c>
      <x:c r="AH544" s="35" t="n">
        <x:v>3</x:v>
      </x:c>
      <x:c r="AI544" s="37" t="n">
        <x:v>87.6</x:v>
      </x:c>
      <x:c r="AJ544" s="37" t="n">
        <x:v>100</x:v>
      </x:c>
      <x:c r="AK544" s="35" t="str">
        <x:v>No</x:v>
      </x:c>
      <x:c r="AL544" s="38" t="n">
        <x:f>IF(AA544=0,0,AB544/AA544)</x:f>
        <x:v>0.4</x:v>
      </x:c>
      <x:c r="AM544" s="38" t="n">
        <x:f>IF(AB544=0,0,AC544/AB544)</x:f>
        <x:v>0.75</x:v>
      </x:c>
      <x:c r="AN544" s="37" t="n">
        <x:f>ROUND((AD544*0.20+AE544*0.20+AF544*0.25+AG544*0.15+MIN(100,AC544*12)*0.20),1)</x:f>
        <x:v>69.5</x:v>
      </x:c>
      <x:c r="AO544" s="37" t="n">
        <x:f>ROUND(MAX(0,MIN(100,(X544*0.35)+(W544/45*100*0.20)+((5-O544)/4*100*0.15)+((5-P544)/4*100*0.10)+((6-Y544)/5*100*0.10)+((100-Z544)*0.10))),1)</x:f>
        <x:v>37.1</x:v>
      </x:c>
      <x:c r="AP544" s="37" t="str">
        <x:f>IF(AO544&gt;=70,"High",IF(AO544&gt;=40,"Moderate","Low"))</x:f>
        <x:v>Low</x:v>
      </x:c>
      <x:c r="AQ544" s="37" t="n">
        <x:f>ROUND(MAX(0,MIN(100,(O544/4*100*0.25)+(P544/4*100*0.20)+(Q544/4*100*0.15)+(Y544/5*100*0.20)+(100-AO544)*0.20)),1)</x:f>
        <x:v>83.8</x:v>
      </x:c>
      <x:c r="AR544" s="37" t="n">
        <x:f>ROUND((AI544*0.20+AJ544*0.15+AN544*0.18+AG544*0.12+Z544*0.15+AQ544*0.20),1)</x:f>
        <x:v>84.5</x:v>
      </x:c>
      <x:c r="AS544" s="39" t="n">
        <x:f>ROUND((AC544*AF544*120)+(AH544*350)+(MAX(0,AI544-75)*220)+(MAX(0,AQ544-60)*100),0)</x:f>
        <x:v>33202</x:v>
      </x:c>
    </x:row>
    <x:row r="545">
      <x:c r="A545" s="35" t="n">
        <x:v>544</x:v>
      </x:c>
      <x:c r="B545" s="35" t="n">
        <x:v>49</x:v>
      </x:c>
      <x:c r="C545" s="35" t="str">
        <x:v>Female</x:v>
      </x:c>
      <x:c r="D545" s="35" t="str">
        <x:v>Information Technology</x:v>
      </x:c>
      <x:c r="E545" s="35" t="str">
        <x:v>Software Engineer</x:v>
      </x:c>
      <x:c r="F545" s="35" t="str">
        <x:v>Marketing</x:v>
      </x:c>
      <x:c r="G545" s="35" t="str">
        <x:v>Married</x:v>
      </x:c>
      <x:c r="H545" s="35" t="n">
        <x:v>5</x:v>
      </x:c>
      <x:c r="I545" s="36" t="n">
        <x:v>27720</x:v>
      </x:c>
      <x:c r="J545" s="35" t="n">
        <x:v>13</x:v>
      </x:c>
      <x:c r="K545" s="35" t="n">
        <x:v>5</x:v>
      </x:c>
      <x:c r="L545" s="35" t="n">
        <x:v>4</x:v>
      </x:c>
      <x:c r="M545" s="35" t="n">
        <x:v>8</x:v>
      </x:c>
      <x:c r="N545" s="35" t="str">
        <x:v>No</x:v>
      </x:c>
      <x:c r="O545" s="35" t="n">
        <x:v>3</x:v>
      </x:c>
      <x:c r="P545" s="35" t="n">
        <x:v>3</x:v>
      </x:c>
      <x:c r="Q545" s="35" t="n">
        <x:v>4</x:v>
      </x:c>
      <x:c r="R545" s="35" t="n">
        <x:v>3</x:v>
      </x:c>
      <x:c r="S545" s="35" t="n">
        <x:v>3</x:v>
      </x:c>
      <x:c r="T545" s="35" t="n">
        <x:v>1</x:v>
      </x:c>
      <x:c r="U545" s="35" t="n">
        <x:v>0</x:v>
      </x:c>
      <x:c r="V545" s="35" t="n">
        <x:v>11</x:v>
      </x:c>
      <x:c r="W545" s="35" t="n">
        <x:v>15</x:v>
      </x:c>
      <x:c r="X545" s="35" t="n">
        <x:v>67</x:v>
      </x:c>
      <x:c r="Y545" s="35" t="n">
        <x:v>5</x:v>
      </x:c>
      <x:c r="Z545" s="35" t="n">
        <x:v>100</x:v>
      </x:c>
      <x:c r="AA545" s="35" t="n">
        <x:v>5</x:v>
      </x:c>
      <x:c r="AB545" s="35" t="n">
        <x:v>4</x:v>
      </x:c>
      <x:c r="AC545" s="35" t="n">
        <x:v>2</x:v>
      </x:c>
      <x:c r="AD545" s="35" t="n">
        <x:v>69</x:v>
      </x:c>
      <x:c r="AE545" s="35" t="n">
        <x:v>81</x:v>
      </x:c>
      <x:c r="AF545" s="35" t="n">
        <x:v>64</x:v>
      </x:c>
      <x:c r="AG545" s="35" t="n">
        <x:v>90</x:v>
      </x:c>
      <x:c r="AH545" s="35" t="n">
        <x:v>7</x:v>
      </x:c>
      <x:c r="AI545" s="37" t="n">
        <x:v>100</x:v>
      </x:c>
      <x:c r="AJ545" s="37" t="n">
        <x:v>93.8</x:v>
      </x:c>
      <x:c r="AK545" s="35" t="str">
        <x:v>No</x:v>
      </x:c>
      <x:c r="AL545" s="38" t="n">
        <x:f>IF(AA545=0,0,AB545/AA545)</x:f>
        <x:v>0.8</x:v>
      </x:c>
      <x:c r="AM545" s="38" t="n">
        <x:f>IF(AB545=0,0,AC545/AB545)</x:f>
        <x:v>0.5</x:v>
      </x:c>
      <x:c r="AN545" s="37" t="n">
        <x:f>ROUND((AD545*0.20+AE545*0.20+AF545*0.25+AG545*0.15+MIN(100,AC545*12)*0.20),1)</x:f>
        <x:v>64.3</x:v>
      </x:c>
      <x:c r="AO545" s="37" t="n">
        <x:f>ROUND(MAX(0,MIN(100,(X545*0.35)+(W545/45*100*0.20)+((5-O545)/4*100*0.15)+((5-P545)/4*100*0.10)+((6-Y545)/5*100*0.10)+((100-Z545)*0.10))),1)</x:f>
        <x:v>44.6</x:v>
      </x:c>
      <x:c r="AP545" s="37" t="str">
        <x:f>IF(AO545&gt;=70,"High",IF(AO545&gt;=40,"Moderate","Low"))</x:f>
        <x:v>Moderate</x:v>
      </x:c>
      <x:c r="AQ545" s="37" t="n">
        <x:f>ROUND(MAX(0,MIN(100,(O545/4*100*0.25)+(P545/4*100*0.20)+(Q545/4*100*0.15)+(Y545/5*100*0.20)+(100-AO545)*0.20)),1)</x:f>
        <x:v>79.8</x:v>
      </x:c>
      <x:c r="AR545" s="37" t="n">
        <x:f>ROUND((AI545*0.20+AJ545*0.15+AN545*0.18+AG545*0.12+Z545*0.15+AQ545*0.20),1)</x:f>
        <x:v>87.4</x:v>
      </x:c>
      <x:c r="AS545" s="39" t="n">
        <x:f>ROUND((AC545*AF545*120)+(AH545*350)+(MAX(0,AI545-75)*220)+(MAX(0,AQ545-60)*100),0)</x:f>
        <x:v>25290</x:v>
      </x:c>
    </x:row>
    <x:row r="546">
      <x:c r="A546" s="35" t="n">
        <x:v>545</x:v>
      </x:c>
      <x:c r="B546" s="35" t="n">
        <x:v>38</x:v>
      </x:c>
      <x:c r="C546" s="35" t="str">
        <x:v>Male</x:v>
      </x:c>
      <x:c r="D546" s="35" t="str">
        <x:v>Operations</x:v>
      </x:c>
      <x:c r="E546" s="35" t="str">
        <x:v>Quality Specialist</x:v>
      </x:c>
      <x:c r="F546" s="35" t="str">
        <x:v>Technical Degree</x:v>
      </x:c>
      <x:c r="G546" s="35" t="str">
        <x:v>Single</x:v>
      </x:c>
      <x:c r="H546" s="35" t="n">
        <x:v>2</x:v>
      </x:c>
      <x:c r="I546" s="36" t="n">
        <x:v>5950</x:v>
      </x:c>
      <x:c r="J546" s="35" t="n">
        <x:v>12</x:v>
      </x:c>
      <x:c r="K546" s="35" t="n">
        <x:v>6</x:v>
      </x:c>
      <x:c r="L546" s="35" t="n">
        <x:v>3</x:v>
      </x:c>
      <x:c r="M546" s="35" t="n">
        <x:v>26</x:v>
      </x:c>
      <x:c r="N546" s="35" t="str">
        <x:v>No</x:v>
      </x:c>
      <x:c r="O546" s="35" t="n">
        <x:v>3</x:v>
      </x:c>
      <x:c r="P546" s="35" t="n">
        <x:v>3</x:v>
      </x:c>
      <x:c r="Q546" s="35" t="n">
        <x:v>2</x:v>
      </x:c>
      <x:c r="R546" s="35" t="n">
        <x:v>3</x:v>
      </x:c>
      <x:c r="S546" s="35" t="n">
        <x:v>3</x:v>
      </x:c>
      <x:c r="T546" s="35" t="n">
        <x:v>3</x:v>
      </x:c>
      <x:c r="U546" s="35" t="n">
        <x:v>0</x:v>
      </x:c>
      <x:c r="V546" s="35" t="n">
        <x:v>4</x:v>
      </x:c>
      <x:c r="W546" s="35" t="n">
        <x:v>2</x:v>
      </x:c>
      <x:c r="X546" s="35" t="n">
        <x:v>67</x:v>
      </x:c>
      <x:c r="Y546" s="35" t="n">
        <x:v>5</x:v>
      </x:c>
      <x:c r="Z546" s="35" t="n">
        <x:v>100</x:v>
      </x:c>
      <x:c r="AA546" s="35" t="n">
        <x:v>3</x:v>
      </x:c>
      <x:c r="AB546" s="35" t="n">
        <x:v>2</x:v>
      </x:c>
      <x:c r="AC546" s="35" t="n">
        <x:v>0</x:v>
      </x:c>
      <x:c r="AD546" s="35" t="n">
        <x:v>34</x:v>
      </x:c>
      <x:c r="AE546" s="35" t="n">
        <x:v>70</x:v>
      </x:c>
      <x:c r="AF546" s="35" t="n">
        <x:v>95</x:v>
      </x:c>
      <x:c r="AG546" s="35" t="n">
        <x:v>96</x:v>
      </x:c>
      <x:c r="AH546" s="35" t="n">
        <x:v>3</x:v>
      </x:c>
      <x:c r="AI546" s="37" t="n">
        <x:v>100</x:v>
      </x:c>
      <x:c r="AJ546" s="37" t="n">
        <x:v>98.6</x:v>
      </x:c>
      <x:c r="AK546" s="35" t="str">
        <x:v>No</x:v>
      </x:c>
      <x:c r="AL546" s="38" t="n">
        <x:f>IF(AA546=0,0,AB546/AA546)</x:f>
        <x:v>0.6666666666666666</x:v>
      </x:c>
      <x:c r="AM546" s="38" t="n">
        <x:f>IF(AB546=0,0,AC546/AB546)</x:f>
        <x:v>0</x:v>
      </x:c>
      <x:c r="AN546" s="37" t="n">
        <x:f>ROUND((AD546*0.20+AE546*0.20+AF546*0.25+AG546*0.15+MIN(100,AC546*12)*0.20),1)</x:f>
        <x:v>59</x:v>
      </x:c>
      <x:c r="AO546" s="37" t="n">
        <x:f>ROUND(MAX(0,MIN(100,(X546*0.35)+(W546/45*100*0.20)+((5-O546)/4*100*0.15)+((5-P546)/4*100*0.10)+((6-Y546)/5*100*0.10)+((100-Z546)*0.10))),1)</x:f>
        <x:v>38.8</x:v>
      </x:c>
      <x:c r="AP546" s="37" t="str">
        <x:f>IF(AO546&gt;=70,"High",IF(AO546&gt;=40,"Moderate","Low"))</x:f>
        <x:v>Low</x:v>
      </x:c>
      <x:c r="AQ546" s="37" t="n">
        <x:f>ROUND(MAX(0,MIN(100,(O546/4*100*0.25)+(P546/4*100*0.20)+(Q546/4*100*0.15)+(Y546/5*100*0.20)+(100-AO546)*0.20)),1)</x:f>
        <x:v>73.5</x:v>
      </x:c>
      <x:c r="AR546" s="37" t="n">
        <x:f>ROUND((AI546*0.20+AJ546*0.15+AN546*0.18+AG546*0.12+Z546*0.15+AQ546*0.20),1)</x:f>
        <x:v>86.6</x:v>
      </x:c>
      <x:c r="AS546" s="39" t="n">
        <x:f>ROUND((AC546*AF546*120)+(AH546*350)+(MAX(0,AI546-75)*220)+(MAX(0,AQ546-60)*100),0)</x:f>
        <x:v>7900</x:v>
      </x:c>
    </x:row>
    <x:row r="547">
      <x:c r="A547" s="35" t="n">
        <x:v>546</x:v>
      </x:c>
      <x:c r="B547" s="35" t="n">
        <x:v>29</x:v>
      </x:c>
      <x:c r="C547" s="35" t="str">
        <x:v>Male</x:v>
      </x:c>
      <x:c r="D547" s="35" t="str">
        <x:v>Operations</x:v>
      </x:c>
      <x:c r="E547" s="35" t="str">
        <x:v>Quality Specialist</x:v>
      </x:c>
      <x:c r="F547" s="35" t="str">
        <x:v>Medical</x:v>
      </x:c>
      <x:c r="G547" s="35" t="str">
        <x:v>Married</x:v>
      </x:c>
      <x:c r="H547" s="35" t="n">
        <x:v>1</x:v>
      </x:c>
      <x:c r="I547" s="36" t="n">
        <x:v>5930</x:v>
      </x:c>
      <x:c r="J547" s="35" t="n">
        <x:v>4</x:v>
      </x:c>
      <x:c r="K547" s="35" t="n">
        <x:v>2</x:v>
      </x:c>
      <x:c r="L547" s="35" t="n">
        <x:v>1</x:v>
      </x:c>
      <x:c r="M547" s="35" t="n">
        <x:v>4</x:v>
      </x:c>
      <x:c r="N547" s="35" t="str">
        <x:v>No</x:v>
      </x:c>
      <x:c r="O547" s="35" t="n">
        <x:v>3</x:v>
      </x:c>
      <x:c r="P547" s="35" t="n">
        <x:v>3</x:v>
      </x:c>
      <x:c r="Q547" s="35" t="n">
        <x:v>3</x:v>
      </x:c>
      <x:c r="R547" s="35" t="n">
        <x:v>3</x:v>
      </x:c>
      <x:c r="S547" s="35" t="n">
        <x:v>3</x:v>
      </x:c>
      <x:c r="T547" s="35" t="n">
        <x:v>2</x:v>
      </x:c>
      <x:c r="U547" s="35" t="n">
        <x:v>2</x:v>
      </x:c>
      <x:c r="V547" s="35" t="n">
        <x:v>4</x:v>
      </x:c>
      <x:c r="W547" s="35" t="n">
        <x:v>3</x:v>
      </x:c>
      <x:c r="X547" s="35" t="n">
        <x:v>67</x:v>
      </x:c>
      <x:c r="Y547" s="35" t="n">
        <x:v>4</x:v>
      </x:c>
      <x:c r="Z547" s="35" t="n">
        <x:v>96</x:v>
      </x:c>
      <x:c r="AA547" s="35" t="n">
        <x:v>3</x:v>
      </x:c>
      <x:c r="AB547" s="35" t="n">
        <x:v>3</x:v>
      </x:c>
      <x:c r="AC547" s="35" t="n">
        <x:v>2</x:v>
      </x:c>
      <x:c r="AD547" s="35" t="n">
        <x:v>61</x:v>
      </x:c>
      <x:c r="AE547" s="35" t="n">
        <x:v>79</x:v>
      </x:c>
      <x:c r="AF547" s="35" t="n">
        <x:v>86</x:v>
      </x:c>
      <x:c r="AG547" s="35" t="n">
        <x:v>88</x:v>
      </x:c>
      <x:c r="AH547" s="35" t="n">
        <x:v>6</x:v>
      </x:c>
      <x:c r="AI547" s="37" t="n">
        <x:v>100</x:v>
      </x:c>
      <x:c r="AJ547" s="37" t="n">
        <x:v>86.3</x:v>
      </x:c>
      <x:c r="AK547" s="35" t="str">
        <x:v>No</x:v>
      </x:c>
      <x:c r="AL547" s="38" t="n">
        <x:f>IF(AA547=0,0,AB547/AA547)</x:f>
        <x:v>1</x:v>
      </x:c>
      <x:c r="AM547" s="38" t="n">
        <x:f>IF(AB547=0,0,AC547/AB547)</x:f>
        <x:v>0.6666666666666666</x:v>
      </x:c>
      <x:c r="AN547" s="37" t="n">
        <x:f>ROUND((AD547*0.20+AE547*0.20+AF547*0.25+AG547*0.15+MIN(100,AC547*12)*0.20),1)</x:f>
        <x:v>67.5</x:v>
      </x:c>
      <x:c r="AO547" s="37" t="n">
        <x:f>ROUND(MAX(0,MIN(100,(X547*0.35)+(W547/45*100*0.20)+((5-O547)/4*100*0.15)+((5-P547)/4*100*0.10)+((6-Y547)/5*100*0.10)+((100-Z547)*0.10))),1)</x:f>
        <x:v>41.7</x:v>
      </x:c>
      <x:c r="AP547" s="37" t="str">
        <x:f>IF(AO547&gt;=70,"High",IF(AO547&gt;=40,"Moderate","Low"))</x:f>
        <x:v>Moderate</x:v>
      </x:c>
      <x:c r="AQ547" s="37" t="n">
        <x:f>ROUND(MAX(0,MIN(100,(O547/4*100*0.25)+(P547/4*100*0.20)+(Q547/4*100*0.15)+(Y547/5*100*0.20)+(100-AO547)*0.20)),1)</x:f>
        <x:v>72.7</x:v>
      </x:c>
      <x:c r="AR547" s="37" t="n">
        <x:f>ROUND((AI547*0.20+AJ547*0.15+AN547*0.18+AG547*0.12+Z547*0.15+AQ547*0.20),1)</x:f>
        <x:v>84.6</x:v>
      </x:c>
      <x:c r="AS547" s="39" t="n">
        <x:f>ROUND((AC547*AF547*120)+(AH547*350)+(MAX(0,AI547-75)*220)+(MAX(0,AQ547-60)*100),0)</x:f>
        <x:v>29510</x:v>
      </x:c>
    </x:row>
    <x:row r="548">
      <x:c r="A548" s="35" t="n">
        <x:v>547</x:v>
      </x:c>
      <x:c r="B548" s="35" t="n">
        <x:v>43</x:v>
      </x:c>
      <x:c r="C548" s="35" t="str">
        <x:v>Male</x:v>
      </x:c>
      <x:c r="D548" s="35" t="str">
        <x:v>Marketing</x:v>
      </x:c>
      <x:c r="E548" s="35" t="str">
        <x:v>Marketing Specialist</x:v>
      </x:c>
      <x:c r="F548" s="35" t="str">
        <x:v>Human Resources</x:v>
      </x:c>
      <x:c r="G548" s="35" t="str">
        <x:v>Married</x:v>
      </x:c>
      <x:c r="H548" s="35" t="n">
        <x:v>3</x:v>
      </x:c>
      <x:c r="I548" s="36" t="n">
        <x:v>15220</x:v>
      </x:c>
      <x:c r="J548" s="35" t="n">
        <x:v>17</x:v>
      </x:c>
      <x:c r="K548" s="35" t="n">
        <x:v>9</x:v>
      </x:c>
      <x:c r="L548" s="35" t="n">
        <x:v>3</x:v>
      </x:c>
      <x:c r="M548" s="35" t="n">
        <x:v>14</x:v>
      </x:c>
      <x:c r="N548" s="35" t="str">
        <x:v>No</x:v>
      </x:c>
      <x:c r="O548" s="35" t="n">
        <x:v>4</x:v>
      </x:c>
      <x:c r="P548" s="35" t="n">
        <x:v>3</x:v>
      </x:c>
      <x:c r="Q548" s="35" t="n">
        <x:v>3</x:v>
      </x:c>
      <x:c r="R548" s="35" t="n">
        <x:v>4</x:v>
      </x:c>
      <x:c r="S548" s="35" t="n">
        <x:v>3</x:v>
      </x:c>
      <x:c r="T548" s="35" t="n">
        <x:v>3</x:v>
      </x:c>
      <x:c r="U548" s="35" t="n">
        <x:v>1</x:v>
      </x:c>
      <x:c r="V548" s="35" t="n">
        <x:v>5</x:v>
      </x:c>
      <x:c r="W548" s="35" t="n">
        <x:v>9</x:v>
      </x:c>
      <x:c r="X548" s="35" t="n">
        <x:v>50</x:v>
      </x:c>
      <x:c r="Y548" s="35" t="n">
        <x:v>5</x:v>
      </x:c>
      <x:c r="Z548" s="35" t="n">
        <x:v>100</x:v>
      </x:c>
      <x:c r="AA548" s="35" t="n">
        <x:v>13</x:v>
      </x:c>
      <x:c r="AB548" s="35" t="n">
        <x:v>10</x:v>
      </x:c>
      <x:c r="AC548" s="35" t="n">
        <x:v>7</x:v>
      </x:c>
      <x:c r="AD548" s="35" t="n">
        <x:v>67</x:v>
      </x:c>
      <x:c r="AE548" s="35" t="n">
        <x:v>100</x:v>
      </x:c>
      <x:c r="AF548" s="35" t="n">
        <x:v>100</x:v>
      </x:c>
      <x:c r="AG548" s="35" t="n">
        <x:v>100</x:v>
      </x:c>
      <x:c r="AH548" s="35" t="n">
        <x:v>10</x:v>
      </x:c>
      <x:c r="AI548" s="37" t="n">
        <x:v>93.8</x:v>
      </x:c>
      <x:c r="AJ548" s="37" t="n">
        <x:v>100</x:v>
      </x:c>
      <x:c r="AK548" s="35" t="str">
        <x:v>No</x:v>
      </x:c>
      <x:c r="AL548" s="38" t="n">
        <x:f>IF(AA548=0,0,AB548/AA548)</x:f>
        <x:v>0.7692307692307693</x:v>
      </x:c>
      <x:c r="AM548" s="38" t="n">
        <x:f>IF(AB548=0,0,AC548/AB548)</x:f>
        <x:v>0.7</x:v>
      </x:c>
      <x:c r="AN548" s="37" t="n">
        <x:f>ROUND((AD548*0.20+AE548*0.20+AF548*0.25+AG548*0.15+MIN(100,AC548*12)*0.20),1)</x:f>
        <x:v>90.2</x:v>
      </x:c>
      <x:c r="AO548" s="37" t="n">
        <x:f>ROUND(MAX(0,MIN(100,(X548*0.35)+(W548/45*100*0.20)+((5-O548)/4*100*0.15)+((5-P548)/4*100*0.10)+((6-Y548)/5*100*0.10)+((100-Z548)*0.10))),1)</x:f>
        <x:v>32.3</x:v>
      </x:c>
      <x:c r="AP548" s="37" t="str">
        <x:f>IF(AO548&gt;=70,"High",IF(AO548&gt;=40,"Moderate","Low"))</x:f>
        <x:v>Low</x:v>
      </x:c>
      <x:c r="AQ548" s="37" t="n">
        <x:f>ROUND(MAX(0,MIN(100,(O548/4*100*0.25)+(P548/4*100*0.20)+(Q548/4*100*0.15)+(Y548/5*100*0.20)+(100-AO548)*0.20)),1)</x:f>
        <x:v>84.8</x:v>
      </x:c>
      <x:c r="AR548" s="37" t="n">
        <x:f>ROUND((AI548*0.20+AJ548*0.15+AN548*0.18+AG548*0.12+Z548*0.15+AQ548*0.20),1)</x:f>
        <x:v>94</x:v>
      </x:c>
      <x:c r="AS548" s="39" t="n">
        <x:f>ROUND((AC548*AF548*120)+(AH548*350)+(MAX(0,AI548-75)*220)+(MAX(0,AQ548-60)*100),0)</x:f>
        <x:v>94116</x:v>
      </x:c>
    </x:row>
    <x:row r="549">
      <x:c r="A549" s="35" t="n">
        <x:v>548</x:v>
      </x:c>
      <x:c r="B549" s="35" t="n">
        <x:v>21</x:v>
      </x:c>
      <x:c r="C549" s="35" t="str">
        <x:v>Male</x:v>
      </x:c>
      <x:c r="D549" s="35" t="str">
        <x:v>Sales</x:v>
      </x:c>
      <x:c r="E549" s="35" t="str">
        <x:v>Sales Executive</x:v>
      </x:c>
      <x:c r="F549" s="35" t="str">
        <x:v>Human Resources</x:v>
      </x:c>
      <x:c r="G549" s="35" t="str">
        <x:v>Married</x:v>
      </x:c>
      <x:c r="H549" s="35" t="n">
        <x:v>1</x:v>
      </x:c>
      <x:c r="I549" s="36" t="n">
        <x:v>4000</x:v>
      </x:c>
      <x:c r="J549" s="35" t="n">
        <x:v>0</x:v>
      </x:c>
      <x:c r="K549" s="35" t="n">
        <x:v>0</x:v>
      </x:c>
      <x:c r="L549" s="35" t="n">
        <x:v>0</x:v>
      </x:c>
      <x:c r="M549" s="35" t="n">
        <x:v>23</x:v>
      </x:c>
      <x:c r="N549" s="35" t="str">
        <x:v>No</x:v>
      </x:c>
      <x:c r="O549" s="35" t="n">
        <x:v>2</x:v>
      </x:c>
      <x:c r="P549" s="35" t="n">
        <x:v>3</x:v>
      </x:c>
      <x:c r="Q549" s="35" t="n">
        <x:v>2</x:v>
      </x:c>
      <x:c r="R549" s="35" t="n">
        <x:v>4</x:v>
      </x:c>
      <x:c r="S549" s="35" t="n">
        <x:v>3</x:v>
      </x:c>
      <x:c r="T549" s="35" t="n">
        <x:v>4</x:v>
      </x:c>
      <x:c r="U549" s="35" t="n">
        <x:v>3</x:v>
      </x:c>
      <x:c r="V549" s="35" t="n">
        <x:v>9</x:v>
      </x:c>
      <x:c r="W549" s="35" t="n">
        <x:v>4</x:v>
      </x:c>
      <x:c r="X549" s="35" t="n">
        <x:v>68</x:v>
      </x:c>
      <x:c r="Y549" s="35" t="n">
        <x:v>4</x:v>
      </x:c>
      <x:c r="Z549" s="35" t="n">
        <x:v>100</x:v>
      </x:c>
      <x:c r="AA549" s="35" t="n">
        <x:v>6</x:v>
      </x:c>
      <x:c r="AB549" s="35" t="n">
        <x:v>5</x:v>
      </x:c>
      <x:c r="AC549" s="35" t="n">
        <x:v>5</x:v>
      </x:c>
      <x:c r="AD549" s="35" t="n">
        <x:v>82</x:v>
      </x:c>
      <x:c r="AE549" s="35" t="n">
        <x:v>100</x:v>
      </x:c>
      <x:c r="AF549" s="35" t="n">
        <x:v>100</x:v>
      </x:c>
      <x:c r="AG549" s="35" t="n">
        <x:v>100</x:v>
      </x:c>
      <x:c r="AH549" s="35" t="n">
        <x:v>7</x:v>
      </x:c>
      <x:c r="AI549" s="37" t="n">
        <x:v>98.2</x:v>
      </x:c>
      <x:c r="AJ549" s="37" t="n">
        <x:v>100</x:v>
      </x:c>
      <x:c r="AK549" s="35" t="str">
        <x:v>No</x:v>
      </x:c>
      <x:c r="AL549" s="38" t="n">
        <x:f>IF(AA549=0,0,AB549/AA549)</x:f>
        <x:v>0.8333333333333334</x:v>
      </x:c>
      <x:c r="AM549" s="38" t="n">
        <x:f>IF(AB549=0,0,AC549/AB549)</x:f>
        <x:v>1</x:v>
      </x:c>
      <x:c r="AN549" s="37" t="n">
        <x:f>ROUND((AD549*0.20+AE549*0.20+AF549*0.25+AG549*0.15+MIN(100,AC549*12)*0.20),1)</x:f>
        <x:v>88.4</x:v>
      </x:c>
      <x:c r="AO549" s="37" t="n">
        <x:f>ROUND(MAX(0,MIN(100,(X549*0.35)+(W549/45*100*0.20)+((5-O549)/4*100*0.15)+((5-P549)/4*100*0.10)+((6-Y549)/5*100*0.10)+((100-Z549)*0.10))),1)</x:f>
        <x:v>45.8</x:v>
      </x:c>
      <x:c r="AP549" s="37" t="str">
        <x:f>IF(AO549&gt;=70,"High",IF(AO549&gt;=40,"Moderate","Low"))</x:f>
        <x:v>Moderate</x:v>
      </x:c>
      <x:c r="AQ549" s="37" t="n">
        <x:f>ROUND(MAX(0,MIN(100,(O549/4*100*0.25)+(P549/4*100*0.20)+(Q549/4*100*0.15)+(Y549/5*100*0.20)+(100-AO549)*0.20)),1)</x:f>
        <x:v>61.8</x:v>
      </x:c>
      <x:c r="AR549" s="37" t="n">
        <x:f>ROUND((AI549*0.20+AJ549*0.15+AN549*0.18+AG549*0.12+Z549*0.15+AQ549*0.20),1)</x:f>
        <x:v>89.9</x:v>
      </x:c>
      <x:c r="AS549" s="39" t="n">
        <x:f>ROUND((AC549*AF549*120)+(AH549*350)+(MAX(0,AI549-75)*220)+(MAX(0,AQ549-60)*100),0)</x:f>
        <x:v>67734</x:v>
      </x:c>
    </x:row>
    <x:row r="550">
      <x:c r="A550" s="35" t="n">
        <x:v>549</x:v>
      </x:c>
      <x:c r="B550" s="35" t="n">
        <x:v>30</x:v>
      </x:c>
      <x:c r="C550" s="35" t="str">
        <x:v>Female</x:v>
      </x:c>
      <x:c r="D550" s="35" t="str">
        <x:v>Sales</x:v>
      </x:c>
      <x:c r="E550" s="35" t="str">
        <x:v>Sales Executive</x:v>
      </x:c>
      <x:c r="F550" s="35" t="str">
        <x:v>Technical Degree</x:v>
      </x:c>
      <x:c r="G550" s="35" t="str">
        <x:v>Married</x:v>
      </x:c>
      <x:c r="H550" s="35" t="n">
        <x:v>1</x:v>
      </x:c>
      <x:c r="I550" s="36" t="n">
        <x:v>5630</x:v>
      </x:c>
      <x:c r="J550" s="35" t="n">
        <x:v>6</x:v>
      </x:c>
      <x:c r="K550" s="35" t="n">
        <x:v>2</x:v>
      </x:c>
      <x:c r="L550" s="35" t="n">
        <x:v>1</x:v>
      </x:c>
      <x:c r="M550" s="35" t="n">
        <x:v>4</x:v>
      </x:c>
      <x:c r="N550" s="35" t="str">
        <x:v>No</x:v>
      </x:c>
      <x:c r="O550" s="35" t="n">
        <x:v>3</x:v>
      </x:c>
      <x:c r="P550" s="35" t="n">
        <x:v>3</x:v>
      </x:c>
      <x:c r="Q550" s="35" t="n">
        <x:v>4</x:v>
      </x:c>
      <x:c r="R550" s="35" t="n">
        <x:v>3</x:v>
      </x:c>
      <x:c r="S550" s="35" t="n">
        <x:v>4</x:v>
      </x:c>
      <x:c r="T550" s="35" t="n">
        <x:v>5</x:v>
      </x:c>
      <x:c r="U550" s="35" t="n">
        <x:v>1</x:v>
      </x:c>
      <x:c r="V550" s="35" t="n">
        <x:v>12</x:v>
      </x:c>
      <x:c r="W550" s="35" t="n">
        <x:v>13</x:v>
      </x:c>
      <x:c r="X550" s="35" t="n">
        <x:v>57</x:v>
      </x:c>
      <x:c r="Y550" s="35" t="n">
        <x:v>5</x:v>
      </x:c>
      <x:c r="Z550" s="35" t="n">
        <x:v>100</x:v>
      </x:c>
      <x:c r="AA550" s="35" t="n">
        <x:v>2</x:v>
      </x:c>
      <x:c r="AB550" s="35" t="n">
        <x:v>2</x:v>
      </x:c>
      <x:c r="AC550" s="35" t="n">
        <x:v>2</x:v>
      </x:c>
      <x:c r="AD550" s="35" t="n">
        <x:v>67</x:v>
      </x:c>
      <x:c r="AE550" s="35" t="n">
        <x:v>71</x:v>
      </x:c>
      <x:c r="AF550" s="35" t="n">
        <x:v>68</x:v>
      </x:c>
      <x:c r="AG550" s="35" t="n">
        <x:v>90</x:v>
      </x:c>
      <x:c r="AH550" s="35" t="n">
        <x:v>7</x:v>
      </x:c>
      <x:c r="AI550" s="37" t="n">
        <x:v>100</x:v>
      </x:c>
      <x:c r="AJ550" s="37" t="n">
        <x:v>97.7</x:v>
      </x:c>
      <x:c r="AK550" s="35" t="str">
        <x:v>No</x:v>
      </x:c>
      <x:c r="AL550" s="38" t="n">
        <x:f>IF(AA550=0,0,AB550/AA550)</x:f>
        <x:v>1</x:v>
      </x:c>
      <x:c r="AM550" s="38" t="n">
        <x:f>IF(AB550=0,0,AC550/AB550)</x:f>
        <x:v>1</x:v>
      </x:c>
      <x:c r="AN550" s="37" t="n">
        <x:f>ROUND((AD550*0.20+AE550*0.20+AF550*0.25+AG550*0.15+MIN(100,AC550*12)*0.20),1)</x:f>
        <x:v>62.9</x:v>
      </x:c>
      <x:c r="AO550" s="37" t="n">
        <x:f>ROUND(MAX(0,MIN(100,(X550*0.35)+(W550/45*100*0.20)+((5-O550)/4*100*0.15)+((5-P550)/4*100*0.10)+((6-Y550)/5*100*0.10)+((100-Z550)*0.10))),1)</x:f>
        <x:v>40.2</x:v>
      </x:c>
      <x:c r="AP550" s="37" t="str">
        <x:f>IF(AO550&gt;=70,"High",IF(AO550&gt;=40,"Moderate","Low"))</x:f>
        <x:v>Moderate</x:v>
      </x:c>
      <x:c r="AQ550" s="37" t="n">
        <x:f>ROUND(MAX(0,MIN(100,(O550/4*100*0.25)+(P550/4*100*0.20)+(Q550/4*100*0.15)+(Y550/5*100*0.20)+(100-AO550)*0.20)),1)</x:f>
        <x:v>80.7</x:v>
      </x:c>
      <x:c r="AR550" s="37" t="n">
        <x:f>ROUND((AI550*0.20+AJ550*0.15+AN550*0.18+AG550*0.12+Z550*0.15+AQ550*0.20),1)</x:f>
        <x:v>87.9</x:v>
      </x:c>
      <x:c r="AS550" s="39" t="n">
        <x:f>ROUND((AC550*AF550*120)+(AH550*350)+(MAX(0,AI550-75)*220)+(MAX(0,AQ550-60)*100),0)</x:f>
        <x:v>26340</x:v>
      </x:c>
    </x:row>
    <x:row r="551">
      <x:c r="A551" s="35" t="n">
        <x:v>550</x:v>
      </x:c>
      <x:c r="B551" s="35" t="n">
        <x:v>43</x:v>
      </x:c>
      <x:c r="C551" s="35" t="str">
        <x:v>Male</x:v>
      </x:c>
      <x:c r="D551" s="35" t="str">
        <x:v>Research &amp; Development</x:v>
      </x:c>
      <x:c r="E551" s="35" t="str">
        <x:v>Data Scientist</x:v>
      </x:c>
      <x:c r="F551" s="35" t="str">
        <x:v>Computer Science</x:v>
      </x:c>
      <x:c r="G551" s="35" t="str">
        <x:v>Married</x:v>
      </x:c>
      <x:c r="H551" s="35" t="n">
        <x:v>3</x:v>
      </x:c>
      <x:c r="I551" s="36" t="n">
        <x:v>15400</x:v>
      </x:c>
      <x:c r="J551" s="35" t="n">
        <x:v>13</x:v>
      </x:c>
      <x:c r="K551" s="35" t="n">
        <x:v>8</x:v>
      </x:c>
      <x:c r="L551" s="35" t="n">
        <x:v>3</x:v>
      </x:c>
      <x:c r="M551" s="35" t="n">
        <x:v>29</x:v>
      </x:c>
      <x:c r="N551" s="35" t="str">
        <x:v>Yes</x:v>
      </x:c>
      <x:c r="O551" s="35" t="n">
        <x:v>3</x:v>
      </x:c>
      <x:c r="P551" s="35" t="n">
        <x:v>3</x:v>
      </x:c>
      <x:c r="Q551" s="35" t="n">
        <x:v>2</x:v>
      </x:c>
      <x:c r="R551" s="35" t="n">
        <x:v>2</x:v>
      </x:c>
      <x:c r="S551" s="35" t="n">
        <x:v>3</x:v>
      </x:c>
      <x:c r="T551" s="35" t="n">
        <x:v>3</x:v>
      </x:c>
      <x:c r="U551" s="35" t="n">
        <x:v>1</x:v>
      </x:c>
      <x:c r="V551" s="35" t="n">
        <x:v>12</x:v>
      </x:c>
      <x:c r="W551" s="35" t="n">
        <x:v>28</x:v>
      </x:c>
      <x:c r="X551" s="35" t="n">
        <x:v>66</x:v>
      </x:c>
      <x:c r="Y551" s="35" t="n">
        <x:v>3</x:v>
      </x:c>
      <x:c r="Z551" s="35" t="n">
        <x:v>92</x:v>
      </x:c>
      <x:c r="AA551" s="35" t="n">
        <x:v>5</x:v>
      </x:c>
      <x:c r="AB551" s="35" t="n">
        <x:v>4</x:v>
      </x:c>
      <x:c r="AC551" s="35" t="n">
        <x:v>3</x:v>
      </x:c>
      <x:c r="AD551" s="35" t="n">
        <x:v>82</x:v>
      </x:c>
      <x:c r="AE551" s="35" t="n">
        <x:v>83</x:v>
      </x:c>
      <x:c r="AF551" s="35" t="n">
        <x:v>81</x:v>
      </x:c>
      <x:c r="AG551" s="35" t="n">
        <x:v>100</x:v>
      </x:c>
      <x:c r="AH551" s="35" t="n">
        <x:v>8</x:v>
      </x:c>
      <x:c r="AI551" s="37" t="n">
        <x:v>100</x:v>
      </x:c>
      <x:c r="AJ551" s="37" t="n">
        <x:v>80</x:v>
      </x:c>
      <x:c r="AK551" s="35" t="str">
        <x:v>No</x:v>
      </x:c>
      <x:c r="AL551" s="38" t="n">
        <x:f>IF(AA551=0,0,AB551/AA551)</x:f>
        <x:v>0.8</x:v>
      </x:c>
      <x:c r="AM551" s="38" t="n">
        <x:f>IF(AB551=0,0,AC551/AB551)</x:f>
        <x:v>0.75</x:v>
      </x:c>
      <x:c r="AN551" s="37" t="n">
        <x:f>ROUND((AD551*0.20+AE551*0.20+AF551*0.25+AG551*0.15+MIN(100,AC551*12)*0.20),1)</x:f>
        <x:v>75.5</x:v>
      </x:c>
      <x:c r="AO551" s="37" t="n">
        <x:f>ROUND(MAX(0,MIN(100,(X551*0.35)+(W551/45*100*0.20)+((5-O551)/4*100*0.15)+((5-P551)/4*100*0.10)+((6-Y551)/5*100*0.10)+((100-Z551)*0.10))),1)</x:f>
        <x:v>54.8</x:v>
      </x:c>
      <x:c r="AP551" s="37" t="str">
        <x:f>IF(AO551&gt;=70,"High",IF(AO551&gt;=40,"Moderate","Low"))</x:f>
        <x:v>Moderate</x:v>
      </x:c>
      <x:c r="AQ551" s="37" t="n">
        <x:f>ROUND(MAX(0,MIN(100,(O551/4*100*0.25)+(P551/4*100*0.20)+(Q551/4*100*0.15)+(Y551/5*100*0.20)+(100-AO551)*0.20)),1)</x:f>
        <x:v>62.3</x:v>
      </x:c>
      <x:c r="AR551" s="37" t="n">
        <x:f>ROUND((AI551*0.20+AJ551*0.15+AN551*0.18+AG551*0.12+Z551*0.15+AQ551*0.20),1)</x:f>
        <x:v>83.9</x:v>
      </x:c>
      <x:c r="AS551" s="39" t="n">
        <x:f>ROUND((AC551*AF551*120)+(AH551*350)+(MAX(0,AI551-75)*220)+(MAX(0,AQ551-60)*100),0)</x:f>
        <x:v>37690</x:v>
      </x:c>
    </x:row>
    <x:row r="552">
      <x:c r="A552" s="35" t="n">
        <x:v>551</x:v>
      </x:c>
      <x:c r="B552" s="35" t="n">
        <x:v>21</x:v>
      </x:c>
      <x:c r="C552" s="35" t="str">
        <x:v>Female</x:v>
      </x:c>
      <x:c r="D552" s="35" t="str">
        <x:v>Research &amp; Development</x:v>
      </x:c>
      <x:c r="E552" s="35" t="str">
        <x:v>Research Scientist</x:v>
      </x:c>
      <x:c r="F552" s="35" t="str">
        <x:v>Business</x:v>
      </x:c>
      <x:c r="G552" s="35" t="str">
        <x:v>Divorced</x:v>
      </x:c>
      <x:c r="H552" s="35" t="n">
        <x:v>2</x:v>
      </x:c>
      <x:c r="I552" s="36" t="n">
        <x:v>8830</x:v>
      </x:c>
      <x:c r="J552" s="35" t="n">
        <x:v>0</x:v>
      </x:c>
      <x:c r="K552" s="35" t="n">
        <x:v>0</x:v>
      </x:c>
      <x:c r="L552" s="35" t="n">
        <x:v>0</x:v>
      </x:c>
      <x:c r="M552" s="35" t="n">
        <x:v>8</x:v>
      </x:c>
      <x:c r="N552" s="35" t="str">
        <x:v>Yes</x:v>
      </x:c>
      <x:c r="O552" s="35" t="n">
        <x:v>2</x:v>
      </x:c>
      <x:c r="P552" s="35" t="n">
        <x:v>3</x:v>
      </x:c>
      <x:c r="Q552" s="35" t="n">
        <x:v>3</x:v>
      </x:c>
      <x:c r="R552" s="35" t="n">
        <x:v>2</x:v>
      </x:c>
      <x:c r="S552" s="35" t="n">
        <x:v>3</x:v>
      </x:c>
      <x:c r="T552" s="35" t="n">
        <x:v>4</x:v>
      </x:c>
      <x:c r="U552" s="35" t="n">
        <x:v>0</x:v>
      </x:c>
      <x:c r="V552" s="35" t="n">
        <x:v>8</x:v>
      </x:c>
      <x:c r="W552" s="35" t="n">
        <x:v>16</x:v>
      </x:c>
      <x:c r="X552" s="35" t="n">
        <x:v>97</x:v>
      </x:c>
      <x:c r="Y552" s="35" t="n">
        <x:v>4</x:v>
      </x:c>
      <x:c r="Z552" s="35" t="n">
        <x:v>93</x:v>
      </x:c>
      <x:c r="AA552" s="35" t="n">
        <x:v>3</x:v>
      </x:c>
      <x:c r="AB552" s="35" t="n">
        <x:v>3</x:v>
      </x:c>
      <x:c r="AC552" s="35" t="n">
        <x:v>3</x:v>
      </x:c>
      <x:c r="AD552" s="35" t="n">
        <x:v>64</x:v>
      </x:c>
      <x:c r="AE552" s="35" t="n">
        <x:v>94</x:v>
      </x:c>
      <x:c r="AF552" s="35" t="n">
        <x:v>69</x:v>
      </x:c>
      <x:c r="AG552" s="35" t="n">
        <x:v>82</x:v>
      </x:c>
      <x:c r="AH552" s="35" t="n">
        <x:v>6</x:v>
      </x:c>
      <x:c r="AI552" s="37" t="n">
        <x:v>97.8</x:v>
      </x:c>
      <x:c r="AJ552" s="37" t="n">
        <x:v>85.6</x:v>
      </x:c>
      <x:c r="AK552" s="35" t="str">
        <x:v>Yes</x:v>
      </x:c>
      <x:c r="AL552" s="38" t="n">
        <x:f>IF(AA552=0,0,AB552/AA552)</x:f>
        <x:v>1</x:v>
      </x:c>
      <x:c r="AM552" s="38" t="n">
        <x:f>IF(AB552=0,0,AC552/AB552)</x:f>
        <x:v>1</x:v>
      </x:c>
      <x:c r="AN552" s="37" t="n">
        <x:f>ROUND((AD552*0.20+AE552*0.20+AF552*0.25+AG552*0.15+MIN(100,AC552*12)*0.20),1)</x:f>
        <x:v>68.4</x:v>
      </x:c>
      <x:c r="AO552" s="37" t="n">
        <x:f>ROUND(MAX(0,MIN(100,(X552*0.35)+(W552/45*100*0.20)+((5-O552)/4*100*0.15)+((5-P552)/4*100*0.10)+((6-Y552)/5*100*0.10)+((100-Z552)*0.10))),1)</x:f>
        <x:v>62</x:v>
      </x:c>
      <x:c r="AP552" s="37" t="str">
        <x:f>IF(AO552&gt;=70,"High",IF(AO552&gt;=40,"Moderate","Low"))</x:f>
        <x:v>Moderate</x:v>
      </x:c>
      <x:c r="AQ552" s="37" t="n">
        <x:f>ROUND(MAX(0,MIN(100,(O552/4*100*0.25)+(P552/4*100*0.20)+(Q552/4*100*0.15)+(Y552/5*100*0.20)+(100-AO552)*0.20)),1)</x:f>
        <x:v>62.4</x:v>
      </x:c>
      <x:c r="AR552" s="37" t="n">
        <x:f>ROUND((AI552*0.20+AJ552*0.15+AN552*0.18+AG552*0.12+Z552*0.15+AQ552*0.20),1)</x:f>
        <x:v>81</x:v>
      </x:c>
      <x:c r="AS552" s="39" t="n">
        <x:f>ROUND((AC552*AF552*120)+(AH552*350)+(MAX(0,AI552-75)*220)+(MAX(0,AQ552-60)*100),0)</x:f>
        <x:v>32196</x:v>
      </x:c>
    </x:row>
    <x:row r="553">
      <x:c r="A553" s="35" t="n">
        <x:v>552</x:v>
      </x:c>
      <x:c r="B553" s="35" t="n">
        <x:v>32</x:v>
      </x:c>
      <x:c r="C553" s="35" t="str">
        <x:v>Female</x:v>
      </x:c>
      <x:c r="D553" s="35" t="str">
        <x:v>Human Resources</x:v>
      </x:c>
      <x:c r="E553" s="35" t="str">
        <x:v>HR Specialist</x:v>
      </x:c>
      <x:c r="F553" s="35" t="str">
        <x:v>Business</x:v>
      </x:c>
      <x:c r="G553" s="35" t="str">
        <x:v>Single</x:v>
      </x:c>
      <x:c r="H553" s="35" t="n">
        <x:v>3</x:v>
      </x:c>
      <x:c r="I553" s="36" t="n">
        <x:v>14660</x:v>
      </x:c>
      <x:c r="J553" s="35" t="n">
        <x:v>9</x:v>
      </x:c>
      <x:c r="K553" s="35" t="n">
        <x:v>5</x:v>
      </x:c>
      <x:c r="L553" s="35" t="n">
        <x:v>2</x:v>
      </x:c>
      <x:c r="M553" s="35" t="n">
        <x:v>10</x:v>
      </x:c>
      <x:c r="N553" s="35" t="str">
        <x:v>No</x:v>
      </x:c>
      <x:c r="O553" s="35" t="n">
        <x:v>2</x:v>
      </x:c>
      <x:c r="P553" s="35" t="n">
        <x:v>2</x:v>
      </x:c>
      <x:c r="Q553" s="35" t="n">
        <x:v>3</x:v>
      </x:c>
      <x:c r="R553" s="35" t="n">
        <x:v>3</x:v>
      </x:c>
      <x:c r="S553" s="35" t="n">
        <x:v>4</x:v>
      </x:c>
      <x:c r="T553" s="35" t="n">
        <x:v>2</x:v>
      </x:c>
      <x:c r="U553" s="35" t="n">
        <x:v>0</x:v>
      </x:c>
      <x:c r="V553" s="35" t="n">
        <x:v>7</x:v>
      </x:c>
      <x:c r="W553" s="35" t="n">
        <x:v>3</x:v>
      </x:c>
      <x:c r="X553" s="35" t="n">
        <x:v>75</x:v>
      </x:c>
      <x:c r="Y553" s="35" t="n">
        <x:v>3</x:v>
      </x:c>
      <x:c r="Z553" s="35" t="n">
        <x:v>83</x:v>
      </x:c>
      <x:c r="AA553" s="35" t="n">
        <x:v>3</x:v>
      </x:c>
      <x:c r="AB553" s="35" t="n">
        <x:v>3</x:v>
      </x:c>
      <x:c r="AC553" s="35" t="n">
        <x:v>2</x:v>
      </x:c>
      <x:c r="AD553" s="35" t="n">
        <x:v>52</x:v>
      </x:c>
      <x:c r="AE553" s="35" t="n">
        <x:v>98</x:v>
      </x:c>
      <x:c r="AF553" s="35" t="n">
        <x:v>71</x:v>
      </x:c>
      <x:c r="AG553" s="35" t="n">
        <x:v>81</x:v>
      </x:c>
      <x:c r="AH553" s="35" t="n">
        <x:v>12</x:v>
      </x:c>
      <x:c r="AI553" s="37" t="n">
        <x:v>100</x:v>
      </x:c>
      <x:c r="AJ553" s="37" t="n">
        <x:v>95.5</x:v>
      </x:c>
      <x:c r="AK553" s="35" t="str">
        <x:v>No</x:v>
      </x:c>
      <x:c r="AL553" s="38" t="n">
        <x:f>IF(AA553=0,0,AB553/AA553)</x:f>
        <x:v>1</x:v>
      </x:c>
      <x:c r="AM553" s="38" t="n">
        <x:f>IF(AB553=0,0,AC553/AB553)</x:f>
        <x:v>0.6666666666666666</x:v>
      </x:c>
      <x:c r="AN553" s="37" t="n">
        <x:f>ROUND((AD553*0.20+AE553*0.20+AF553*0.25+AG553*0.15+MIN(100,AC553*12)*0.20),1)</x:f>
        <x:v>64.7</x:v>
      </x:c>
      <x:c r="AO553" s="37" t="n">
        <x:f>ROUND(MAX(0,MIN(100,(X553*0.35)+(W553/45*100*0.20)+((5-O553)/4*100*0.15)+((5-P553)/4*100*0.10)+((6-Y553)/5*100*0.10)+((100-Z553)*0.10))),1)</x:f>
        <x:v>54</x:v>
      </x:c>
      <x:c r="AP553" s="37" t="str">
        <x:f>IF(AO553&gt;=70,"High",IF(AO553&gt;=40,"Moderate","Low"))</x:f>
        <x:v>Moderate</x:v>
      </x:c>
      <x:c r="AQ553" s="37" t="n">
        <x:f>ROUND(MAX(0,MIN(100,(O553/4*100*0.25)+(P553/4*100*0.20)+(Q553/4*100*0.15)+(Y553/5*100*0.20)+(100-AO553)*0.20)),1)</x:f>
        <x:v>55</x:v>
      </x:c>
      <x:c r="AR553" s="37" t="n">
        <x:f>ROUND((AI553*0.20+AJ553*0.15+AN553*0.18+AG553*0.12+Z553*0.15+AQ553*0.20),1)</x:f>
        <x:v>79.1</x:v>
      </x:c>
      <x:c r="AS553" s="39" t="n">
        <x:f>ROUND((AC553*AF553*120)+(AH553*350)+(MAX(0,AI553-75)*220)+(MAX(0,AQ553-60)*100),0)</x:f>
        <x:v>26740</x:v>
      </x:c>
    </x:row>
    <x:row r="554">
      <x:c r="A554" s="35" t="n">
        <x:v>553</x:v>
      </x:c>
      <x:c r="B554" s="35" t="n">
        <x:v>45</x:v>
      </x:c>
      <x:c r="C554" s="35" t="str">
        <x:v>Female</x:v>
      </x:c>
      <x:c r="D554" s="35" t="str">
        <x:v>Finance</x:v>
      </x:c>
      <x:c r="E554" s="35" t="str">
        <x:v>Finance Manager</x:v>
      </x:c>
      <x:c r="F554" s="35" t="str">
        <x:v>Computer Science</x:v>
      </x:c>
      <x:c r="G554" s="35" t="str">
        <x:v>Married</x:v>
      </x:c>
      <x:c r="H554" s="35" t="n">
        <x:v>3</x:v>
      </x:c>
      <x:c r="I554" s="36" t="n">
        <x:v>11220</x:v>
      </x:c>
      <x:c r="J554" s="35" t="n">
        <x:v>16</x:v>
      </x:c>
      <x:c r="K554" s="35" t="n">
        <x:v>11</x:v>
      </x:c>
      <x:c r="L554" s="35" t="n">
        <x:v>8</x:v>
      </x:c>
      <x:c r="M554" s="35" t="n">
        <x:v>24</x:v>
      </x:c>
      <x:c r="N554" s="35" t="str">
        <x:v>Yes</x:v>
      </x:c>
      <x:c r="O554" s="35" t="n">
        <x:v>2</x:v>
      </x:c>
      <x:c r="P554" s="35" t="n">
        <x:v>3</x:v>
      </x:c>
      <x:c r="Q554" s="35" t="n">
        <x:v>4</x:v>
      </x:c>
      <x:c r="R554" s="35" t="n">
        <x:v>2</x:v>
      </x:c>
      <x:c r="S554" s="35" t="n">
        <x:v>4</x:v>
      </x:c>
      <x:c r="T554" s="35" t="n">
        <x:v>1</x:v>
      </x:c>
      <x:c r="U554" s="35" t="n">
        <x:v>1</x:v>
      </x:c>
      <x:c r="V554" s="35" t="n">
        <x:v>7</x:v>
      </x:c>
      <x:c r="W554" s="35" t="n">
        <x:v>29</x:v>
      </x:c>
      <x:c r="X554" s="35" t="n">
        <x:v>85</x:v>
      </x:c>
      <x:c r="Y554" s="35" t="n">
        <x:v>4</x:v>
      </x:c>
      <x:c r="Z554" s="35" t="n">
        <x:v>95</x:v>
      </x:c>
      <x:c r="AA554" s="35" t="n">
        <x:v>7</x:v>
      </x:c>
      <x:c r="AB554" s="35" t="n">
        <x:v>3</x:v>
      </x:c>
      <x:c r="AC554" s="35" t="n">
        <x:v>1</x:v>
      </x:c>
      <x:c r="AD554" s="35" t="n">
        <x:v>71</x:v>
      </x:c>
      <x:c r="AE554" s="35" t="n">
        <x:v>92</x:v>
      </x:c>
      <x:c r="AF554" s="35" t="n">
        <x:v>53</x:v>
      </x:c>
      <x:c r="AG554" s="35" t="n">
        <x:v>70</x:v>
      </x:c>
      <x:c r="AH554" s="35" t="n">
        <x:v>5</x:v>
      </x:c>
      <x:c r="AI554" s="37" t="n">
        <x:v>99.5</x:v>
      </x:c>
      <x:c r="AJ554" s="37" t="n">
        <x:v>98.4</x:v>
      </x:c>
      <x:c r="AK554" s="35" t="str">
        <x:v>No</x:v>
      </x:c>
      <x:c r="AL554" s="38" t="n">
        <x:f>IF(AA554=0,0,AB554/AA554)</x:f>
        <x:v>0.42857142857142855</x:v>
      </x:c>
      <x:c r="AM554" s="38" t="n">
        <x:f>IF(AB554=0,0,AC554/AB554)</x:f>
        <x:v>0.3333333333333333</x:v>
      </x:c>
      <x:c r="AN554" s="37" t="n">
        <x:f>ROUND((AD554*0.20+AE554*0.20+AF554*0.25+AG554*0.15+MIN(100,AC554*12)*0.20),1)</x:f>
        <x:v>58.8</x:v>
      </x:c>
      <x:c r="AO554" s="37" t="n">
        <x:f>ROUND(MAX(0,MIN(100,(X554*0.35)+(W554/45*100*0.20)+((5-O554)/4*100*0.15)+((5-P554)/4*100*0.10)+((6-Y554)/5*100*0.10)+((100-Z554)*0.10))),1)</x:f>
        <x:v>63.4</x:v>
      </x:c>
      <x:c r="AP554" s="37" t="str">
        <x:f>IF(AO554&gt;=70,"High",IF(AO554&gt;=40,"Moderate","Low"))</x:f>
        <x:v>Moderate</x:v>
      </x:c>
      <x:c r="AQ554" s="37" t="n">
        <x:f>ROUND(MAX(0,MIN(100,(O554/4*100*0.25)+(P554/4*100*0.20)+(Q554/4*100*0.15)+(Y554/5*100*0.20)+(100-AO554)*0.20)),1)</x:f>
        <x:v>65.8</x:v>
      </x:c>
      <x:c r="AR554" s="37" t="n">
        <x:f>ROUND((AI554*0.20+AJ554*0.15+AN554*0.18+AG554*0.12+Z554*0.15+AQ554*0.20),1)</x:f>
        <x:v>81.1</x:v>
      </x:c>
      <x:c r="AS554" s="39" t="n">
        <x:f>ROUND((AC554*AF554*120)+(AH554*350)+(MAX(0,AI554-75)*220)+(MAX(0,AQ554-60)*100),0)</x:f>
        <x:v>14080</x:v>
      </x:c>
    </x:row>
    <x:row r="555">
      <x:c r="A555" s="35" t="n">
        <x:v>554</x:v>
      </x:c>
      <x:c r="B555" s="35" t="n">
        <x:v>28</x:v>
      </x:c>
      <x:c r="C555" s="35" t="str">
        <x:v>Female</x:v>
      </x:c>
      <x:c r="D555" s="35" t="str">
        <x:v>Research &amp; Development</x:v>
      </x:c>
      <x:c r="E555" s="35" t="str">
        <x:v>Data Scientist</x:v>
      </x:c>
      <x:c r="F555" s="35" t="str">
        <x:v>Life Sciences</x:v>
      </x:c>
      <x:c r="G555" s="35" t="str">
        <x:v>Divorced</x:v>
      </x:c>
      <x:c r="H555" s="35" t="n">
        <x:v>1</x:v>
      </x:c>
      <x:c r="I555" s="36" t="n">
        <x:v>4000</x:v>
      </x:c>
      <x:c r="J555" s="35" t="n">
        <x:v>4</x:v>
      </x:c>
      <x:c r="K555" s="35" t="n">
        <x:v>2</x:v>
      </x:c>
      <x:c r="L555" s="35" t="n">
        <x:v>1</x:v>
      </x:c>
      <x:c r="M555" s="35" t="n">
        <x:v>10</x:v>
      </x:c>
      <x:c r="N555" s="35" t="str">
        <x:v>Yes</x:v>
      </x:c>
      <x:c r="O555" s="35" t="n">
        <x:v>2</x:v>
      </x:c>
      <x:c r="P555" s="35" t="n">
        <x:v>2</x:v>
      </x:c>
      <x:c r="Q555" s="35" t="n">
        <x:v>3</x:v>
      </x:c>
      <x:c r="R555" s="35" t="n">
        <x:v>3</x:v>
      </x:c>
      <x:c r="S555" s="35" t="n">
        <x:v>3</x:v>
      </x:c>
      <x:c r="T555" s="35" t="n">
        <x:v>1</x:v>
      </x:c>
      <x:c r="U555" s="35" t="n">
        <x:v>0</x:v>
      </x:c>
      <x:c r="V555" s="35" t="n">
        <x:v>4</x:v>
      </x:c>
      <x:c r="W555" s="35" t="n">
        <x:v>29</x:v>
      </x:c>
      <x:c r="X555" s="35" t="n">
        <x:v>50</x:v>
      </x:c>
      <x:c r="Y555" s="35" t="n">
        <x:v>4</x:v>
      </x:c>
      <x:c r="Z555" s="35" t="n">
        <x:v>100</x:v>
      </x:c>
      <x:c r="AA555" s="35" t="n">
        <x:v>4</x:v>
      </x:c>
      <x:c r="AB555" s="35" t="n">
        <x:v>3</x:v>
      </x:c>
      <x:c r="AC555" s="35" t="n">
        <x:v>2</x:v>
      </x:c>
      <x:c r="AD555" s="35" t="n">
        <x:v>86</x:v>
      </x:c>
      <x:c r="AE555" s="35" t="n">
        <x:v>84</x:v>
      </x:c>
      <x:c r="AF555" s="35" t="n">
        <x:v>68</x:v>
      </x:c>
      <x:c r="AG555" s="35" t="n">
        <x:v>96</x:v>
      </x:c>
      <x:c r="AH555" s="35" t="n">
        <x:v>7</x:v>
      </x:c>
      <x:c r="AI555" s="37" t="n">
        <x:v>100</x:v>
      </x:c>
      <x:c r="AJ555" s="37" t="n">
        <x:v>81.4</x:v>
      </x:c>
      <x:c r="AK555" s="35" t="str">
        <x:v>No</x:v>
      </x:c>
      <x:c r="AL555" s="38" t="n">
        <x:f>IF(AA555=0,0,AB555/AA555)</x:f>
        <x:v>0.75</x:v>
      </x:c>
      <x:c r="AM555" s="38" t="n">
        <x:f>IF(AB555=0,0,AC555/AB555)</x:f>
        <x:v>0.6666666666666666</x:v>
      </x:c>
      <x:c r="AN555" s="37" t="n">
        <x:f>ROUND((AD555*0.20+AE555*0.20+AF555*0.25+AG555*0.15+MIN(100,AC555*12)*0.20),1)</x:f>
        <x:v>70.2</x:v>
      </x:c>
      <x:c r="AO555" s="37" t="n">
        <x:f>ROUND(MAX(0,MIN(100,(X555*0.35)+(W555/45*100*0.20)+((5-O555)/4*100*0.15)+((5-P555)/4*100*0.10)+((6-Y555)/5*100*0.10)+((100-Z555)*0.10))),1)</x:f>
        <x:v>53.1</x:v>
      </x:c>
      <x:c r="AP555" s="37" t="str">
        <x:f>IF(AO555&gt;=70,"High",IF(AO555&gt;=40,"Moderate","Low"))</x:f>
        <x:v>Moderate</x:v>
      </x:c>
      <x:c r="AQ555" s="37" t="n">
        <x:f>ROUND(MAX(0,MIN(100,(O555/4*100*0.25)+(P555/4*100*0.20)+(Q555/4*100*0.15)+(Y555/5*100*0.20)+(100-AO555)*0.20)),1)</x:f>
        <x:v>59.1</x:v>
      </x:c>
      <x:c r="AR555" s="37" t="n">
        <x:f>ROUND((AI555*0.20+AJ555*0.15+AN555*0.18+AG555*0.12+Z555*0.15+AQ555*0.20),1)</x:f>
        <x:v>83.2</x:v>
      </x:c>
      <x:c r="AS555" s="39" t="n">
        <x:f>ROUND((AC555*AF555*120)+(AH555*350)+(MAX(0,AI555-75)*220)+(MAX(0,AQ555-60)*100),0)</x:f>
        <x:v>24270</x:v>
      </x:c>
    </x:row>
    <x:row r="556">
      <x:c r="A556" s="35" t="n">
        <x:v>555</x:v>
      </x:c>
      <x:c r="B556" s="35" t="n">
        <x:v>33</x:v>
      </x:c>
      <x:c r="C556" s="35" t="str">
        <x:v>Female</x:v>
      </x:c>
      <x:c r="D556" s="35" t="str">
        <x:v>Sales</x:v>
      </x:c>
      <x:c r="E556" s="35" t="str">
        <x:v>Sales Executive</x:v>
      </x:c>
      <x:c r="F556" s="35" t="str">
        <x:v>Human Resources</x:v>
      </x:c>
      <x:c r="G556" s="35" t="str">
        <x:v>Divorced</x:v>
      </x:c>
      <x:c r="H556" s="35" t="n">
        <x:v>2</x:v>
      </x:c>
      <x:c r="I556" s="36" t="n">
        <x:v>9450</x:v>
      </x:c>
      <x:c r="J556" s="35" t="n">
        <x:v>6</x:v>
      </x:c>
      <x:c r="K556" s="35" t="n">
        <x:v>4</x:v>
      </x:c>
      <x:c r="L556" s="35" t="n">
        <x:v>2</x:v>
      </x:c>
      <x:c r="M556" s="35" t="n">
        <x:v>6</x:v>
      </x:c>
      <x:c r="N556" s="35" t="str">
        <x:v>No</x:v>
      </x:c>
      <x:c r="O556" s="35" t="n">
        <x:v>3</x:v>
      </x:c>
      <x:c r="P556" s="35" t="n">
        <x:v>2</x:v>
      </x:c>
      <x:c r="Q556" s="35" t="n">
        <x:v>3</x:v>
      </x:c>
      <x:c r="R556" s="35" t="n">
        <x:v>3</x:v>
      </x:c>
      <x:c r="S556" s="35" t="n">
        <x:v>3</x:v>
      </x:c>
      <x:c r="T556" s="35" t="n">
        <x:v>3</x:v>
      </x:c>
      <x:c r="U556" s="35" t="n">
        <x:v>1</x:v>
      </x:c>
      <x:c r="V556" s="35" t="n">
        <x:v>7</x:v>
      </x:c>
      <x:c r="W556" s="35" t="n">
        <x:v>4</x:v>
      </x:c>
      <x:c r="X556" s="35" t="n">
        <x:v>62</x:v>
      </x:c>
      <x:c r="Y556" s="35" t="n">
        <x:v>5</x:v>
      </x:c>
      <x:c r="Z556" s="35" t="n">
        <x:v>100</x:v>
      </x:c>
      <x:c r="AA556" s="35" t="n">
        <x:v>9</x:v>
      </x:c>
      <x:c r="AB556" s="35" t="n">
        <x:v>8</x:v>
      </x:c>
      <x:c r="AC556" s="35" t="n">
        <x:v>7</x:v>
      </x:c>
      <x:c r="AD556" s="35" t="n">
        <x:v>68</x:v>
      </x:c>
      <x:c r="AE556" s="35" t="n">
        <x:v>94</x:v>
      </x:c>
      <x:c r="AF556" s="35" t="n">
        <x:v>66</x:v>
      </x:c>
      <x:c r="AG556" s="35" t="n">
        <x:v>87</x:v>
      </x:c>
      <x:c r="AH556" s="35" t="n">
        <x:v>10</x:v>
      </x:c>
      <x:c r="AI556" s="37" t="n">
        <x:v>96.1</x:v>
      </x:c>
      <x:c r="AJ556" s="37" t="n">
        <x:v>93.1</x:v>
      </x:c>
      <x:c r="AK556" s="35" t="str">
        <x:v>No</x:v>
      </x:c>
      <x:c r="AL556" s="38" t="n">
        <x:f>IF(AA556=0,0,AB556/AA556)</x:f>
        <x:v>0.8888888888888888</x:v>
      </x:c>
      <x:c r="AM556" s="38" t="n">
        <x:f>IF(AB556=0,0,AC556/AB556)</x:f>
        <x:v>0.875</x:v>
      </x:c>
      <x:c r="AN556" s="37" t="n">
        <x:f>ROUND((AD556*0.20+AE556*0.20+AF556*0.25+AG556*0.15+MIN(100,AC556*12)*0.20),1)</x:f>
        <x:v>78.8</x:v>
      </x:c>
      <x:c r="AO556" s="37" t="n">
        <x:f>ROUND(MAX(0,MIN(100,(X556*0.35)+(W556/45*100*0.20)+((5-O556)/4*100*0.15)+((5-P556)/4*100*0.10)+((6-Y556)/5*100*0.10)+((100-Z556)*0.10))),1)</x:f>
        <x:v>40.5</x:v>
      </x:c>
      <x:c r="AP556" s="37" t="str">
        <x:f>IF(AO556&gt;=70,"High",IF(AO556&gt;=40,"Moderate","Low"))</x:f>
        <x:v>Moderate</x:v>
      </x:c>
      <x:c r="AQ556" s="37" t="n">
        <x:f>ROUND(MAX(0,MIN(100,(O556/4*100*0.25)+(P556/4*100*0.20)+(Q556/4*100*0.15)+(Y556/5*100*0.20)+(100-AO556)*0.20)),1)</x:f>
        <x:v>71.9</x:v>
      </x:c>
      <x:c r="AR556" s="37" t="n">
        <x:f>ROUND((AI556*0.20+AJ556*0.15+AN556*0.18+AG556*0.12+Z556*0.15+AQ556*0.20),1)</x:f>
        <x:v>87.2</x:v>
      </x:c>
      <x:c r="AS556" s="39" t="n">
        <x:f>ROUND((AC556*AF556*120)+(AH556*350)+(MAX(0,AI556-75)*220)+(MAX(0,AQ556-60)*100),0)</x:f>
        <x:v>64772</x:v>
      </x:c>
    </x:row>
    <x:row r="557">
      <x:c r="A557" s="35" t="n">
        <x:v>556</x:v>
      </x:c>
      <x:c r="B557" s="35" t="n">
        <x:v>36</x:v>
      </x:c>
      <x:c r="C557" s="35" t="str">
        <x:v>Female</x:v>
      </x:c>
      <x:c r="D557" s="35" t="str">
        <x:v>Sales</x:v>
      </x:c>
      <x:c r="E557" s="35" t="str">
        <x:v>Sales Representative</x:v>
      </x:c>
      <x:c r="F557" s="35" t="str">
        <x:v>Life Sciences</x:v>
      </x:c>
      <x:c r="G557" s="35" t="str">
        <x:v>Divorced</x:v>
      </x:c>
      <x:c r="H557" s="35" t="n">
        <x:v>1</x:v>
      </x:c>
      <x:c r="I557" s="36" t="n">
        <x:v>4890</x:v>
      </x:c>
      <x:c r="J557" s="35" t="n">
        <x:v>13</x:v>
      </x:c>
      <x:c r="K557" s="35" t="n">
        <x:v>6</x:v>
      </x:c>
      <x:c r="L557" s="35" t="n">
        <x:v>4</x:v>
      </x:c>
      <x:c r="M557" s="35" t="n">
        <x:v>11</x:v>
      </x:c>
      <x:c r="N557" s="35" t="str">
        <x:v>Yes</x:v>
      </x:c>
      <x:c r="O557" s="35" t="n">
        <x:v>2</x:v>
      </x:c>
      <x:c r="P557" s="35" t="n">
        <x:v>2</x:v>
      </x:c>
      <x:c r="Q557" s="35" t="n">
        <x:v>2</x:v>
      </x:c>
      <x:c r="R557" s="35" t="n">
        <x:v>3</x:v>
      </x:c>
      <x:c r="S557" s="35" t="n">
        <x:v>3</x:v>
      </x:c>
      <x:c r="T557" s="35" t="n">
        <x:v>2</x:v>
      </x:c>
      <x:c r="U557" s="35" t="n">
        <x:v>1</x:v>
      </x:c>
      <x:c r="V557" s="35" t="n">
        <x:v>6</x:v>
      </x:c>
      <x:c r="W557" s="35" t="n">
        <x:v>25</x:v>
      </x:c>
      <x:c r="X557" s="35" t="n">
        <x:v>95</x:v>
      </x:c>
      <x:c r="Y557" s="35" t="n">
        <x:v>2</x:v>
      </x:c>
      <x:c r="Z557" s="35" t="n">
        <x:v>91</x:v>
      </x:c>
      <x:c r="AA557" s="35" t="n">
        <x:v>5</x:v>
      </x:c>
      <x:c r="AB557" s="35" t="n">
        <x:v>3</x:v>
      </x:c>
      <x:c r="AC557" s="35" t="n">
        <x:v>3</x:v>
      </x:c>
      <x:c r="AD557" s="35" t="n">
        <x:v>78</x:v>
      </x:c>
      <x:c r="AE557" s="35" t="n">
        <x:v>75</x:v>
      </x:c>
      <x:c r="AF557" s="35" t="n">
        <x:v>57</x:v>
      </x:c>
      <x:c r="AG557" s="35" t="n">
        <x:v>92</x:v>
      </x:c>
      <x:c r="AH557" s="35" t="n">
        <x:v>11</x:v>
      </x:c>
      <x:c r="AI557" s="37" t="n">
        <x:v>96.5</x:v>
      </x:c>
      <x:c r="AJ557" s="37" t="n">
        <x:v>81</x:v>
      </x:c>
      <x:c r="AK557" s="35" t="str">
        <x:v>No</x:v>
      </x:c>
      <x:c r="AL557" s="38" t="n">
        <x:f>IF(AA557=0,0,AB557/AA557)</x:f>
        <x:v>0.6</x:v>
      </x:c>
      <x:c r="AM557" s="38" t="n">
        <x:f>IF(AB557=0,0,AC557/AB557)</x:f>
        <x:v>1</x:v>
      </x:c>
      <x:c r="AN557" s="37" t="n">
        <x:f>ROUND((AD557*0.20+AE557*0.20+AF557*0.25+AG557*0.15+MIN(100,AC557*12)*0.20),1)</x:f>
        <x:v>65.9</x:v>
      </x:c>
      <x:c r="AO557" s="37" t="n">
        <x:f>ROUND(MAX(0,MIN(100,(X557*0.35)+(W557/45*100*0.20)+((5-O557)/4*100*0.15)+((5-P557)/4*100*0.10)+((6-Y557)/5*100*0.10)+((100-Z557)*0.10))),1)</x:f>
        <x:v>72</x:v>
      </x:c>
      <x:c r="AP557" s="37" t="str">
        <x:f>IF(AO557&gt;=70,"High",IF(AO557&gt;=40,"Moderate","Low"))</x:f>
        <x:v>High</x:v>
      </x:c>
      <x:c r="AQ557" s="37" t="n">
        <x:f>ROUND(MAX(0,MIN(100,(O557/4*100*0.25)+(P557/4*100*0.20)+(Q557/4*100*0.15)+(Y557/5*100*0.20)+(100-AO557)*0.20)),1)</x:f>
        <x:v>43.6</x:v>
      </x:c>
      <x:c r="AR557" s="37" t="n">
        <x:f>ROUND((AI557*0.20+AJ557*0.15+AN557*0.18+AG557*0.12+Z557*0.15+AQ557*0.20),1)</x:f>
        <x:v>76.7</x:v>
      </x:c>
      <x:c r="AS557" s="39" t="n">
        <x:f>ROUND((AC557*AF557*120)+(AH557*350)+(MAX(0,AI557-75)*220)+(MAX(0,AQ557-60)*100),0)</x:f>
        <x:v>29100</x:v>
      </x:c>
    </x:row>
    <x:row r="558">
      <x:c r="A558" s="35" t="n">
        <x:v>557</x:v>
      </x:c>
      <x:c r="B558" s="35" t="n">
        <x:v>46</x:v>
      </x:c>
      <x:c r="C558" s="35" t="str">
        <x:v>Male</x:v>
      </x:c>
      <x:c r="D558" s="35" t="str">
        <x:v>Finance</x:v>
      </x:c>
      <x:c r="E558" s="35" t="str">
        <x:v>Financial Analyst</x:v>
      </x:c>
      <x:c r="F558" s="35" t="str">
        <x:v>Marketing</x:v>
      </x:c>
      <x:c r="G558" s="35" t="str">
        <x:v>Divorced</x:v>
      </x:c>
      <x:c r="H558" s="35" t="n">
        <x:v>2</x:v>
      </x:c>
      <x:c r="I558" s="36" t="n">
        <x:v>7940</x:v>
      </x:c>
      <x:c r="J558" s="35" t="n">
        <x:v>16</x:v>
      </x:c>
      <x:c r="K558" s="35" t="n">
        <x:v>5</x:v>
      </x:c>
      <x:c r="L558" s="35" t="n">
        <x:v>2</x:v>
      </x:c>
      <x:c r="M558" s="35" t="n">
        <x:v>4</x:v>
      </x:c>
      <x:c r="N558" s="35" t="str">
        <x:v>Yes</x:v>
      </x:c>
      <x:c r="O558" s="35" t="n">
        <x:v>1</x:v>
      </x:c>
      <x:c r="P558" s="35" t="n">
        <x:v>4</x:v>
      </x:c>
      <x:c r="Q558" s="35" t="n">
        <x:v>3</x:v>
      </x:c>
      <x:c r="R558" s="35" t="n">
        <x:v>4</x:v>
      </x:c>
      <x:c r="S558" s="35" t="n">
        <x:v>3</x:v>
      </x:c>
      <x:c r="T558" s="35" t="n">
        <x:v>5</x:v>
      </x:c>
      <x:c r="U558" s="35" t="n">
        <x:v>0</x:v>
      </x:c>
      <x:c r="V558" s="35" t="n">
        <x:v>3</x:v>
      </x:c>
      <x:c r="W558" s="35" t="n">
        <x:v>19</x:v>
      </x:c>
      <x:c r="X558" s="35" t="n">
        <x:v>76</x:v>
      </x:c>
      <x:c r="Y558" s="35" t="n">
        <x:v>4</x:v>
      </x:c>
      <x:c r="Z558" s="35" t="n">
        <x:v>100</x:v>
      </x:c>
      <x:c r="AA558" s="35" t="n">
        <x:v>3</x:v>
      </x:c>
      <x:c r="AB558" s="35" t="n">
        <x:v>2</x:v>
      </x:c>
      <x:c r="AC558" s="35" t="n">
        <x:v>2</x:v>
      </x:c>
      <x:c r="AD558" s="35" t="n">
        <x:v>79</x:v>
      </x:c>
      <x:c r="AE558" s="35" t="n">
        <x:v>83</x:v>
      </x:c>
      <x:c r="AF558" s="35" t="n">
        <x:v>56</x:v>
      </x:c>
      <x:c r="AG558" s="35" t="n">
        <x:v>95</x:v>
      </x:c>
      <x:c r="AH558" s="35" t="n">
        <x:v>6</x:v>
      </x:c>
      <x:c r="AI558" s="37" t="n">
        <x:v>98.9</x:v>
      </x:c>
      <x:c r="AJ558" s="37" t="n">
        <x:v>94.3</x:v>
      </x:c>
      <x:c r="AK558" s="35" t="str">
        <x:v>No</x:v>
      </x:c>
      <x:c r="AL558" s="38" t="n">
        <x:f>IF(AA558=0,0,AB558/AA558)</x:f>
        <x:v>0.6666666666666666</x:v>
      </x:c>
      <x:c r="AM558" s="38" t="n">
        <x:f>IF(AB558=0,0,AC558/AB558)</x:f>
        <x:v>1</x:v>
      </x:c>
      <x:c r="AN558" s="37" t="n">
        <x:f>ROUND((AD558*0.20+AE558*0.20+AF558*0.25+AG558*0.15+MIN(100,AC558*12)*0.20),1)</x:f>
        <x:v>65.5</x:v>
      </x:c>
      <x:c r="AO558" s="37" t="n">
        <x:f>ROUND(MAX(0,MIN(100,(X558*0.35)+(W558/45*100*0.20)+((5-O558)/4*100*0.15)+((5-P558)/4*100*0.10)+((6-Y558)/5*100*0.10)+((100-Z558)*0.10))),1)</x:f>
        <x:v>56.5</x:v>
      </x:c>
      <x:c r="AP558" s="37" t="str">
        <x:f>IF(AO558&gt;=70,"High",IF(AO558&gt;=40,"Moderate","Low"))</x:f>
        <x:v>Moderate</x:v>
      </x:c>
      <x:c r="AQ558" s="37" t="n">
        <x:f>ROUND(MAX(0,MIN(100,(O558/4*100*0.25)+(P558/4*100*0.20)+(Q558/4*100*0.15)+(Y558/5*100*0.20)+(100-AO558)*0.20)),1)</x:f>
        <x:v>62.2</x:v>
      </x:c>
      <x:c r="AR558" s="37" t="n">
        <x:f>ROUND((AI558*0.20+AJ558*0.15+AN558*0.18+AG558*0.12+Z558*0.15+AQ558*0.20),1)</x:f>
        <x:v>84.6</x:v>
      </x:c>
      <x:c r="AS558" s="39" t="n">
        <x:f>ROUND((AC558*AF558*120)+(AH558*350)+(MAX(0,AI558-75)*220)+(MAX(0,AQ558-60)*100),0)</x:f>
        <x:v>21018</x:v>
      </x:c>
    </x:row>
    <x:row r="559">
      <x:c r="A559" s="35" t="n">
        <x:v>558</x:v>
      </x:c>
      <x:c r="B559" s="35" t="n">
        <x:v>32</x:v>
      </x:c>
      <x:c r="C559" s="35" t="str">
        <x:v>Male</x:v>
      </x:c>
      <x:c r="D559" s="35" t="str">
        <x:v>Finance</x:v>
      </x:c>
      <x:c r="E559" s="35" t="str">
        <x:v>Accountant</x:v>
      </x:c>
      <x:c r="F559" s="35" t="str">
        <x:v>Human Resources</x:v>
      </x:c>
      <x:c r="G559" s="35" t="str">
        <x:v>Divorced</x:v>
      </x:c>
      <x:c r="H559" s="35" t="n">
        <x:v>2</x:v>
      </x:c>
      <x:c r="I559" s="36" t="n">
        <x:v>8390</x:v>
      </x:c>
      <x:c r="J559" s="35" t="n">
        <x:v>9</x:v>
      </x:c>
      <x:c r="K559" s="35" t="n">
        <x:v>6</x:v>
      </x:c>
      <x:c r="L559" s="35" t="n">
        <x:v>3</x:v>
      </x:c>
      <x:c r="M559" s="35" t="n">
        <x:v>16</x:v>
      </x:c>
      <x:c r="N559" s="35" t="str">
        <x:v>No</x:v>
      </x:c>
      <x:c r="O559" s="35" t="n">
        <x:v>3</x:v>
      </x:c>
      <x:c r="P559" s="35" t="n">
        <x:v>3</x:v>
      </x:c>
      <x:c r="Q559" s="35" t="n">
        <x:v>2</x:v>
      </x:c>
      <x:c r="R559" s="35" t="n">
        <x:v>3</x:v>
      </x:c>
      <x:c r="S559" s="35" t="n">
        <x:v>3</x:v>
      </x:c>
      <x:c r="T559" s="35" t="n">
        <x:v>5</x:v>
      </x:c>
      <x:c r="U559" s="35" t="n">
        <x:v>0</x:v>
      </x:c>
      <x:c r="V559" s="35" t="n">
        <x:v>5</x:v>
      </x:c>
      <x:c r="W559" s="35" t="n">
        <x:v>9</x:v>
      </x:c>
      <x:c r="X559" s="35" t="n">
        <x:v>36</x:v>
      </x:c>
      <x:c r="Y559" s="35" t="n">
        <x:v>5</x:v>
      </x:c>
      <x:c r="Z559" s="35" t="n">
        <x:v>100</x:v>
      </x:c>
      <x:c r="AA559" s="35" t="n">
        <x:v>7</x:v>
      </x:c>
      <x:c r="AB559" s="35" t="n">
        <x:v>5</x:v>
      </x:c>
      <x:c r="AC559" s="35" t="n">
        <x:v>4</x:v>
      </x:c>
      <x:c r="AD559" s="35" t="n">
        <x:v>80</x:v>
      </x:c>
      <x:c r="AE559" s="35" t="n">
        <x:v>90</x:v>
      </x:c>
      <x:c r="AF559" s="35" t="n">
        <x:v>88</x:v>
      </x:c>
      <x:c r="AG559" s="35" t="n">
        <x:v>85</x:v>
      </x:c>
      <x:c r="AH559" s="35" t="n">
        <x:v>7</x:v>
      </x:c>
      <x:c r="AI559" s="37" t="n">
        <x:v>89.2</x:v>
      </x:c>
      <x:c r="AJ559" s="37" t="n">
        <x:v>100</x:v>
      </x:c>
      <x:c r="AK559" s="35" t="str">
        <x:v>No</x:v>
      </x:c>
      <x:c r="AL559" s="38" t="n">
        <x:f>IF(AA559=0,0,AB559/AA559)</x:f>
        <x:v>0.7142857142857143</x:v>
      </x:c>
      <x:c r="AM559" s="38" t="n">
        <x:f>IF(AB559=0,0,AC559/AB559)</x:f>
        <x:v>0.8</x:v>
      </x:c>
      <x:c r="AN559" s="37" t="n">
        <x:f>ROUND((AD559*0.20+AE559*0.20+AF559*0.25+AG559*0.15+MIN(100,AC559*12)*0.20),1)</x:f>
        <x:v>78.4</x:v>
      </x:c>
      <x:c r="AO559" s="37" t="n">
        <x:f>ROUND(MAX(0,MIN(100,(X559*0.35)+(W559/45*100*0.20)+((5-O559)/4*100*0.15)+((5-P559)/4*100*0.10)+((6-Y559)/5*100*0.10)+((100-Z559)*0.10))),1)</x:f>
        <x:v>31.1</x:v>
      </x:c>
      <x:c r="AP559" s="37" t="str">
        <x:f>IF(AO559&gt;=70,"High",IF(AO559&gt;=40,"Moderate","Low"))</x:f>
        <x:v>Low</x:v>
      </x:c>
      <x:c r="AQ559" s="37" t="n">
        <x:f>ROUND(MAX(0,MIN(100,(O559/4*100*0.25)+(P559/4*100*0.20)+(Q559/4*100*0.15)+(Y559/5*100*0.20)+(100-AO559)*0.20)),1)</x:f>
        <x:v>75</x:v>
      </x:c>
      <x:c r="AR559" s="37" t="n">
        <x:f>ROUND((AI559*0.20+AJ559*0.15+AN559*0.18+AG559*0.12+Z559*0.15+AQ559*0.20),1)</x:f>
        <x:v>87.2</x:v>
      </x:c>
      <x:c r="AS559" s="39" t="n">
        <x:f>ROUND((AC559*AF559*120)+(AH559*350)+(MAX(0,AI559-75)*220)+(MAX(0,AQ559-60)*100),0)</x:f>
        <x:v>49314</x:v>
      </x:c>
    </x:row>
    <x:row r="560">
      <x:c r="A560" s="35" t="n">
        <x:v>559</x:v>
      </x:c>
      <x:c r="B560" s="35" t="n">
        <x:v>28</x:v>
      </x:c>
      <x:c r="C560" s="35" t="str">
        <x:v>Female</x:v>
      </x:c>
      <x:c r="D560" s="35" t="str">
        <x:v>Finance</x:v>
      </x:c>
      <x:c r="E560" s="35" t="str">
        <x:v>Accountant</x:v>
      </x:c>
      <x:c r="F560" s="35" t="str">
        <x:v>Business</x:v>
      </x:c>
      <x:c r="G560" s="35" t="str">
        <x:v>Married</x:v>
      </x:c>
      <x:c r="H560" s="35" t="n">
        <x:v>1</x:v>
      </x:c>
      <x:c r="I560" s="36" t="n">
        <x:v>4590</x:v>
      </x:c>
      <x:c r="J560" s="35" t="n">
        <x:v>4</x:v>
      </x:c>
      <x:c r="K560" s="35" t="n">
        <x:v>2</x:v>
      </x:c>
      <x:c r="L560" s="35" t="n">
        <x:v>1</x:v>
      </x:c>
      <x:c r="M560" s="35" t="n">
        <x:v>6</x:v>
      </x:c>
      <x:c r="N560" s="35" t="str">
        <x:v>Yes</x:v>
      </x:c>
      <x:c r="O560" s="35" t="n">
        <x:v>2</x:v>
      </x:c>
      <x:c r="P560" s="35" t="n">
        <x:v>3</x:v>
      </x:c>
      <x:c r="Q560" s="35" t="n">
        <x:v>3</x:v>
      </x:c>
      <x:c r="R560" s="35" t="n">
        <x:v>3</x:v>
      </x:c>
      <x:c r="S560" s="35" t="n">
        <x:v>3</x:v>
      </x:c>
      <x:c r="T560" s="35" t="n">
        <x:v>3</x:v>
      </x:c>
      <x:c r="U560" s="35" t="n">
        <x:v>1</x:v>
      </x:c>
      <x:c r="V560" s="35" t="n">
        <x:v>9</x:v>
      </x:c>
      <x:c r="W560" s="35" t="n">
        <x:v>11</x:v>
      </x:c>
      <x:c r="X560" s="35" t="n">
        <x:v>97</x:v>
      </x:c>
      <x:c r="Y560" s="35" t="n">
        <x:v>3</x:v>
      </x:c>
      <x:c r="Z560" s="35" t="n">
        <x:v>90</x:v>
      </x:c>
      <x:c r="AA560" s="35" t="n">
        <x:v>6</x:v>
      </x:c>
      <x:c r="AB560" s="35" t="n">
        <x:v>4</x:v>
      </x:c>
      <x:c r="AC560" s="35" t="n">
        <x:v>4</x:v>
      </x:c>
      <x:c r="AD560" s="35" t="n">
        <x:v>96</x:v>
      </x:c>
      <x:c r="AE560" s="35" t="n">
        <x:v>80</x:v>
      </x:c>
      <x:c r="AF560" s="35" t="n">
        <x:v>79</x:v>
      </x:c>
      <x:c r="AG560" s="35" t="n">
        <x:v>75</x:v>
      </x:c>
      <x:c r="AH560" s="35" t="n">
        <x:v>5</x:v>
      </x:c>
      <x:c r="AI560" s="37" t="n">
        <x:v>100</x:v>
      </x:c>
      <x:c r="AJ560" s="37" t="n">
        <x:v>98.7</x:v>
      </x:c>
      <x:c r="AK560" s="35" t="str">
        <x:v>No</x:v>
      </x:c>
      <x:c r="AL560" s="38" t="n">
        <x:f>IF(AA560=0,0,AB560/AA560)</x:f>
        <x:v>0.6666666666666666</x:v>
      </x:c>
      <x:c r="AM560" s="38" t="n">
        <x:f>IF(AB560=0,0,AC560/AB560)</x:f>
        <x:v>1</x:v>
      </x:c>
      <x:c r="AN560" s="37" t="n">
        <x:f>ROUND((AD560*0.20+AE560*0.20+AF560*0.25+AG560*0.15+MIN(100,AC560*12)*0.20),1)</x:f>
        <x:v>75.8</x:v>
      </x:c>
      <x:c r="AO560" s="37" t="n">
        <x:f>ROUND(MAX(0,MIN(100,(X560*0.35)+(W560/45*100*0.20)+((5-O560)/4*100*0.15)+((5-P560)/4*100*0.10)+((6-Y560)/5*100*0.10)+((100-Z560)*0.10))),1)</x:f>
        <x:v>62.1</x:v>
      </x:c>
      <x:c r="AP560" s="37" t="str">
        <x:f>IF(AO560&gt;=70,"High",IF(AO560&gt;=40,"Moderate","Low"))</x:f>
        <x:v>Moderate</x:v>
      </x:c>
      <x:c r="AQ560" s="37" t="n">
        <x:f>ROUND(MAX(0,MIN(100,(O560/4*100*0.25)+(P560/4*100*0.20)+(Q560/4*100*0.15)+(Y560/5*100*0.20)+(100-AO560)*0.20)),1)</x:f>
        <x:v>58.3</x:v>
      </x:c>
      <x:c r="AR560" s="37" t="n">
        <x:f>ROUND((AI560*0.20+AJ560*0.15+AN560*0.18+AG560*0.12+Z560*0.15+AQ560*0.20),1)</x:f>
        <x:v>82.6</x:v>
      </x:c>
      <x:c r="AS560" s="39" t="n">
        <x:f>ROUND((AC560*AF560*120)+(AH560*350)+(MAX(0,AI560-75)*220)+(MAX(0,AQ560-60)*100),0)</x:f>
        <x:v>45170</x:v>
      </x:c>
    </x:row>
    <x:row r="561">
      <x:c r="A561" s="35" t="n">
        <x:v>560</x:v>
      </x:c>
      <x:c r="B561" s="35" t="n">
        <x:v>24</x:v>
      </x:c>
      <x:c r="C561" s="35" t="str">
        <x:v>Male</x:v>
      </x:c>
      <x:c r="D561" s="35" t="str">
        <x:v>Finance</x:v>
      </x:c>
      <x:c r="E561" s="35" t="str">
        <x:v>Accountant</x:v>
      </x:c>
      <x:c r="F561" s="35" t="str">
        <x:v>Technical Degree</x:v>
      </x:c>
      <x:c r="G561" s="35" t="str">
        <x:v>Single</x:v>
      </x:c>
      <x:c r="H561" s="35" t="n">
        <x:v>1</x:v>
      </x:c>
      <x:c r="I561" s="36" t="n">
        <x:v>4630</x:v>
      </x:c>
      <x:c r="J561" s="35" t="n">
        <x:v>2</x:v>
      </x:c>
      <x:c r="K561" s="35" t="n">
        <x:v>2</x:v>
      </x:c>
      <x:c r="L561" s="35" t="n">
        <x:v>1</x:v>
      </x:c>
      <x:c r="M561" s="35" t="n">
        <x:v>15</x:v>
      </x:c>
      <x:c r="N561" s="35" t="str">
        <x:v>No</x:v>
      </x:c>
      <x:c r="O561" s="35" t="n">
        <x:v>2</x:v>
      </x:c>
      <x:c r="P561" s="35" t="n">
        <x:v>3</x:v>
      </x:c>
      <x:c r="Q561" s="35" t="n">
        <x:v>2</x:v>
      </x:c>
      <x:c r="R561" s="35" t="n">
        <x:v>2</x:v>
      </x:c>
      <x:c r="S561" s="35" t="n">
        <x:v>3</x:v>
      </x:c>
      <x:c r="T561" s="35" t="n">
        <x:v>1</x:v>
      </x:c>
      <x:c r="U561" s="35" t="n">
        <x:v>1</x:v>
      </x:c>
      <x:c r="V561" s="35" t="n">
        <x:v>5</x:v>
      </x:c>
      <x:c r="W561" s="35" t="n">
        <x:v>0</x:v>
      </x:c>
      <x:c r="X561" s="35" t="n">
        <x:v>57</x:v>
      </x:c>
      <x:c r="Y561" s="35" t="n">
        <x:v>5</x:v>
      </x:c>
      <x:c r="Z561" s="35" t="n">
        <x:v>100</x:v>
      </x:c>
      <x:c r="AA561" s="35" t="n">
        <x:v>15</x:v>
      </x:c>
      <x:c r="AB561" s="35" t="n">
        <x:v>12</x:v>
      </x:c>
      <x:c r="AC561" s="35" t="n">
        <x:v>11</x:v>
      </x:c>
      <x:c r="AD561" s="35" t="n">
        <x:v>89</x:v>
      </x:c>
      <x:c r="AE561" s="35" t="n">
        <x:v>92</x:v>
      </x:c>
      <x:c r="AF561" s="35" t="n">
        <x:v>91</x:v>
      </x:c>
      <x:c r="AG561" s="35" t="n">
        <x:v>82</x:v>
      </x:c>
      <x:c r="AH561" s="35" t="n">
        <x:v>12</x:v>
      </x:c>
      <x:c r="AI561" s="37" t="n">
        <x:v>93.5</x:v>
      </x:c>
      <x:c r="AJ561" s="37" t="n">
        <x:v>95.5</x:v>
      </x:c>
      <x:c r="AK561" s="35" t="str">
        <x:v>Yes</x:v>
      </x:c>
      <x:c r="AL561" s="38" t="n">
        <x:f>IF(AA561=0,0,AB561/AA561)</x:f>
        <x:v>0.8</x:v>
      </x:c>
      <x:c r="AM561" s="38" t="n">
        <x:f>IF(AB561=0,0,AC561/AB561)</x:f>
        <x:v>0.9166666666666666</x:v>
      </x:c>
      <x:c r="AN561" s="37" t="n">
        <x:f>ROUND((AD561*0.20+AE561*0.20+AF561*0.25+AG561*0.15+MIN(100,AC561*12)*0.20),1)</x:f>
        <x:v>91.3</x:v>
      </x:c>
      <x:c r="AO561" s="37" t="n">
        <x:f>ROUND(MAX(0,MIN(100,(X561*0.35)+(W561/45*100*0.20)+((5-O561)/4*100*0.15)+((5-P561)/4*100*0.10)+((6-Y561)/5*100*0.10)+((100-Z561)*0.10))),1)</x:f>
        <x:v>38.2</x:v>
      </x:c>
      <x:c r="AP561" s="37" t="str">
        <x:f>IF(AO561&gt;=70,"High",IF(AO561&gt;=40,"Moderate","Low"))</x:f>
        <x:v>Low</x:v>
      </x:c>
      <x:c r="AQ561" s="37" t="n">
        <x:f>ROUND(MAX(0,MIN(100,(O561/4*100*0.25)+(P561/4*100*0.20)+(Q561/4*100*0.15)+(Y561/5*100*0.20)+(100-AO561)*0.20)),1)</x:f>
        <x:v>67.4</x:v>
      </x:c>
      <x:c r="AR561" s="37" t="n">
        <x:f>ROUND((AI561*0.20+AJ561*0.15+AN561*0.18+AG561*0.12+Z561*0.15+AQ561*0.20),1)</x:f>
        <x:v>87.8</x:v>
      </x:c>
      <x:c r="AS561" s="39" t="n">
        <x:f>ROUND((AC561*AF561*120)+(AH561*350)+(MAX(0,AI561-75)*220)+(MAX(0,AQ561-60)*100),0)</x:f>
        <x:v>129130</x:v>
      </x:c>
    </x:row>
    <x:row r="562">
      <x:c r="A562" s="35" t="n">
        <x:v>561</x:v>
      </x:c>
      <x:c r="B562" s="35" t="n">
        <x:v>37</x:v>
      </x:c>
      <x:c r="C562" s="35" t="str">
        <x:v>Male</x:v>
      </x:c>
      <x:c r="D562" s="35" t="str">
        <x:v>Marketing</x:v>
      </x:c>
      <x:c r="E562" s="35" t="str">
        <x:v>Digital Marketing Analyst</x:v>
      </x:c>
      <x:c r="F562" s="35" t="str">
        <x:v>Technical Degree</x:v>
      </x:c>
      <x:c r="G562" s="35" t="str">
        <x:v>Single</x:v>
      </x:c>
      <x:c r="H562" s="35" t="n">
        <x:v>2</x:v>
      </x:c>
      <x:c r="I562" s="36" t="n">
        <x:v>10810</x:v>
      </x:c>
      <x:c r="J562" s="35" t="n">
        <x:v>9</x:v>
      </x:c>
      <x:c r="K562" s="35" t="n">
        <x:v>5</x:v>
      </x:c>
      <x:c r="L562" s="35" t="n">
        <x:v>2</x:v>
      </x:c>
      <x:c r="M562" s="35" t="n">
        <x:v>5</x:v>
      </x:c>
      <x:c r="N562" s="35" t="str">
        <x:v>No</x:v>
      </x:c>
      <x:c r="O562" s="35" t="n">
        <x:v>2</x:v>
      </x:c>
      <x:c r="P562" s="35" t="n">
        <x:v>3</x:v>
      </x:c>
      <x:c r="Q562" s="35" t="n">
        <x:v>3</x:v>
      </x:c>
      <x:c r="R562" s="35" t="n">
        <x:v>4</x:v>
      </x:c>
      <x:c r="S562" s="35" t="n">
        <x:v>3</x:v>
      </x:c>
      <x:c r="T562" s="35" t="n">
        <x:v>1</x:v>
      </x:c>
      <x:c r="U562" s="35" t="n">
        <x:v>1</x:v>
      </x:c>
      <x:c r="V562" s="35" t="n">
        <x:v>5</x:v>
      </x:c>
      <x:c r="W562" s="35" t="n">
        <x:v>22</x:v>
      </x:c>
      <x:c r="X562" s="35" t="n">
        <x:v>74</x:v>
      </x:c>
      <x:c r="Y562" s="35" t="n">
        <x:v>4</x:v>
      </x:c>
      <x:c r="Z562" s="35" t="n">
        <x:v>100</x:v>
      </x:c>
      <x:c r="AA562" s="35" t="n">
        <x:v>6</x:v>
      </x:c>
      <x:c r="AB562" s="35" t="n">
        <x:v>3</x:v>
      </x:c>
      <x:c r="AC562" s="35" t="n">
        <x:v>3</x:v>
      </x:c>
      <x:c r="AD562" s="35" t="n">
        <x:v>78</x:v>
      </x:c>
      <x:c r="AE562" s="35" t="n">
        <x:v>78</x:v>
      </x:c>
      <x:c r="AF562" s="35" t="n">
        <x:v>85</x:v>
      </x:c>
      <x:c r="AG562" s="35" t="n">
        <x:v>90</x:v>
      </x:c>
      <x:c r="AH562" s="35" t="n">
        <x:v>7</x:v>
      </x:c>
      <x:c r="AI562" s="37" t="n">
        <x:v>97.2</x:v>
      </x:c>
      <x:c r="AJ562" s="37" t="n">
        <x:v>96.6</x:v>
      </x:c>
      <x:c r="AK562" s="35" t="str">
        <x:v>No</x:v>
      </x:c>
      <x:c r="AL562" s="38" t="n">
        <x:f>IF(AA562=0,0,AB562/AA562)</x:f>
        <x:v>0.5</x:v>
      </x:c>
      <x:c r="AM562" s="38" t="n">
        <x:f>IF(AB562=0,0,AC562/AB562)</x:f>
        <x:v>1</x:v>
      </x:c>
      <x:c r="AN562" s="37" t="n">
        <x:f>ROUND((AD562*0.20+AE562*0.20+AF562*0.25+AG562*0.15+MIN(100,AC562*12)*0.20),1)</x:f>
        <x:v>73.2</x:v>
      </x:c>
      <x:c r="AO562" s="37" t="n">
        <x:f>ROUND(MAX(0,MIN(100,(X562*0.35)+(W562/45*100*0.20)+((5-O562)/4*100*0.15)+((5-P562)/4*100*0.10)+((6-Y562)/5*100*0.10)+((100-Z562)*0.10))),1)</x:f>
        <x:v>55.9</x:v>
      </x:c>
      <x:c r="AP562" s="37" t="str">
        <x:f>IF(AO562&gt;=70,"High",IF(AO562&gt;=40,"Moderate","Low"))</x:f>
        <x:v>Moderate</x:v>
      </x:c>
      <x:c r="AQ562" s="37" t="n">
        <x:f>ROUND(MAX(0,MIN(100,(O562/4*100*0.25)+(P562/4*100*0.20)+(Q562/4*100*0.15)+(Y562/5*100*0.20)+(100-AO562)*0.20)),1)</x:f>
        <x:v>63.6</x:v>
      </x:c>
      <x:c r="AR562" s="37" t="n">
        <x:f>ROUND((AI562*0.20+AJ562*0.15+AN562*0.18+AG562*0.12+Z562*0.15+AQ562*0.20),1)</x:f>
        <x:v>85.6</x:v>
      </x:c>
      <x:c r="AS562" s="39" t="n">
        <x:f>ROUND((AC562*AF562*120)+(AH562*350)+(MAX(0,AI562-75)*220)+(MAX(0,AQ562-60)*100),0)</x:f>
        <x:v>38294</x:v>
      </x:c>
    </x:row>
    <x:row r="563">
      <x:c r="A563" s="35" t="n">
        <x:v>562</x:v>
      </x:c>
      <x:c r="B563" s="35" t="n">
        <x:v>27</x:v>
      </x:c>
      <x:c r="C563" s="35" t="str">
        <x:v>Male</x:v>
      </x:c>
      <x:c r="D563" s="35" t="str">
        <x:v>Marketing</x:v>
      </x:c>
      <x:c r="E563" s="35" t="str">
        <x:v>Marketing Manager</x:v>
      </x:c>
      <x:c r="F563" s="35" t="str">
        <x:v>Life Sciences</x:v>
      </x:c>
      <x:c r="G563" s="35" t="str">
        <x:v>Single</x:v>
      </x:c>
      <x:c r="H563" s="35" t="n">
        <x:v>1</x:v>
      </x:c>
      <x:c r="I563" s="36" t="n">
        <x:v>6610</x:v>
      </x:c>
      <x:c r="J563" s="35" t="n">
        <x:v>4</x:v>
      </x:c>
      <x:c r="K563" s="35" t="n">
        <x:v>2</x:v>
      </x:c>
      <x:c r="L563" s="35" t="n">
        <x:v>1</x:v>
      </x:c>
      <x:c r="M563" s="35" t="n">
        <x:v>2</x:v>
      </x:c>
      <x:c r="N563" s="35" t="str">
        <x:v>Yes</x:v>
      </x:c>
      <x:c r="O563" s="35" t="n">
        <x:v>3</x:v>
      </x:c>
      <x:c r="P563" s="35" t="n">
        <x:v>3</x:v>
      </x:c>
      <x:c r="Q563" s="35" t="n">
        <x:v>2</x:v>
      </x:c>
      <x:c r="R563" s="35" t="n">
        <x:v>3</x:v>
      </x:c>
      <x:c r="S563" s="35" t="n">
        <x:v>3</x:v>
      </x:c>
      <x:c r="T563" s="35" t="n">
        <x:v>4</x:v>
      </x:c>
      <x:c r="U563" s="35" t="n">
        <x:v>2</x:v>
      </x:c>
      <x:c r="V563" s="35" t="n">
        <x:v>9</x:v>
      </x:c>
      <x:c r="W563" s="35" t="n">
        <x:v>9</x:v>
      </x:c>
      <x:c r="X563" s="35" t="n">
        <x:v>65</x:v>
      </x:c>
      <x:c r="Y563" s="35" t="n">
        <x:v>5</x:v>
      </x:c>
      <x:c r="Z563" s="35" t="n">
        <x:v>100</x:v>
      </x:c>
      <x:c r="AA563" s="35" t="n">
        <x:v>10</x:v>
      </x:c>
      <x:c r="AB563" s="35" t="n">
        <x:v>10</x:v>
      </x:c>
      <x:c r="AC563" s="35" t="n">
        <x:v>8</x:v>
      </x:c>
      <x:c r="AD563" s="35" t="n">
        <x:v>75</x:v>
      </x:c>
      <x:c r="AE563" s="35" t="n">
        <x:v>99</x:v>
      </x:c>
      <x:c r="AF563" s="35" t="n">
        <x:v>93</x:v>
      </x:c>
      <x:c r="AG563" s="35" t="n">
        <x:v>86</x:v>
      </x:c>
      <x:c r="AH563" s="35" t="n">
        <x:v>12</x:v>
      </x:c>
      <x:c r="AI563" s="37" t="n">
        <x:v>87</x:v>
      </x:c>
      <x:c r="AJ563" s="37" t="n">
        <x:v>94.3</x:v>
      </x:c>
      <x:c r="AK563" s="35" t="str">
        <x:v>No</x:v>
      </x:c>
      <x:c r="AL563" s="38" t="n">
        <x:f>IF(AA563=0,0,AB563/AA563)</x:f>
        <x:v>1</x:v>
      </x:c>
      <x:c r="AM563" s="38" t="n">
        <x:f>IF(AB563=0,0,AC563/AB563)</x:f>
        <x:v>0.8</x:v>
      </x:c>
      <x:c r="AN563" s="37" t="n">
        <x:f>ROUND((AD563*0.20+AE563*0.20+AF563*0.25+AG563*0.15+MIN(100,AC563*12)*0.20),1)</x:f>
        <x:v>90.2</x:v>
      </x:c>
      <x:c r="AO563" s="37" t="n">
        <x:f>ROUND(MAX(0,MIN(100,(X563*0.35)+(W563/45*100*0.20)+((5-O563)/4*100*0.15)+((5-P563)/4*100*0.10)+((6-Y563)/5*100*0.10)+((100-Z563)*0.10))),1)</x:f>
        <x:v>41.3</x:v>
      </x:c>
      <x:c r="AP563" s="37" t="str">
        <x:f>IF(AO563&gt;=70,"High",IF(AO563&gt;=40,"Moderate","Low"))</x:f>
        <x:v>Moderate</x:v>
      </x:c>
      <x:c r="AQ563" s="37" t="n">
        <x:f>ROUND(MAX(0,MIN(100,(O563/4*100*0.25)+(P563/4*100*0.20)+(Q563/4*100*0.15)+(Y563/5*100*0.20)+(100-AO563)*0.20)),1)</x:f>
        <x:v>73</x:v>
      </x:c>
      <x:c r="AR563" s="37" t="n">
        <x:f>ROUND((AI563*0.20+AJ563*0.15+AN563*0.18+AG563*0.12+Z563*0.15+AQ563*0.20),1)</x:f>
        <x:v>87.7</x:v>
      </x:c>
      <x:c r="AS563" s="39" t="n">
        <x:f>ROUND((AC563*AF563*120)+(AH563*350)+(MAX(0,AI563-75)*220)+(MAX(0,AQ563-60)*100),0)</x:f>
        <x:v>97420</x:v>
      </x:c>
    </x:row>
    <x:row r="564">
      <x:c r="A564" s="35" t="n">
        <x:v>563</x:v>
      </x:c>
      <x:c r="B564" s="35" t="n">
        <x:v>43</x:v>
      </x:c>
      <x:c r="C564" s="35" t="str">
        <x:v>Male</x:v>
      </x:c>
      <x:c r="D564" s="35" t="str">
        <x:v>Research &amp; Development</x:v>
      </x:c>
      <x:c r="E564" s="35" t="str">
        <x:v>R&amp;D Manager</x:v>
      </x:c>
      <x:c r="F564" s="35" t="str">
        <x:v>Human Resources</x:v>
      </x:c>
      <x:c r="G564" s="35" t="str">
        <x:v>Married</x:v>
      </x:c>
      <x:c r="H564" s="35" t="n">
        <x:v>3</x:v>
      </x:c>
      <x:c r="I564" s="36" t="n">
        <x:v>17100</x:v>
      </x:c>
      <x:c r="J564" s="35" t="n">
        <x:v>11</x:v>
      </x:c>
      <x:c r="K564" s="35" t="n">
        <x:v>9</x:v>
      </x:c>
      <x:c r="L564" s="35" t="n">
        <x:v>5</x:v>
      </x:c>
      <x:c r="M564" s="35" t="n">
        <x:v>14</x:v>
      </x:c>
      <x:c r="N564" s="35" t="str">
        <x:v>No</x:v>
      </x:c>
      <x:c r="O564" s="35" t="n">
        <x:v>3</x:v>
      </x:c>
      <x:c r="P564" s="35" t="n">
        <x:v>2</x:v>
      </x:c>
      <x:c r="Q564" s="35" t="n">
        <x:v>2</x:v>
      </x:c>
      <x:c r="R564" s="35" t="n">
        <x:v>4</x:v>
      </x:c>
      <x:c r="S564" s="35" t="n">
        <x:v>3</x:v>
      </x:c>
      <x:c r="T564" s="35" t="n">
        <x:v>2</x:v>
      </x:c>
      <x:c r="U564" s="35" t="n">
        <x:v>0</x:v>
      </x:c>
      <x:c r="V564" s="35" t="n">
        <x:v>2</x:v>
      </x:c>
      <x:c r="W564" s="35" t="n">
        <x:v>0</x:v>
      </x:c>
      <x:c r="X564" s="35" t="n">
        <x:v>69</x:v>
      </x:c>
      <x:c r="Y564" s="35" t="n">
        <x:v>5</x:v>
      </x:c>
      <x:c r="Z564" s="35" t="n">
        <x:v>100</x:v>
      </x:c>
      <x:c r="AA564" s="35" t="n">
        <x:v>4</x:v>
      </x:c>
      <x:c r="AB564" s="35" t="n">
        <x:v>2</x:v>
      </x:c>
      <x:c r="AC564" s="35" t="n">
        <x:v>2</x:v>
      </x:c>
      <x:c r="AD564" s="35" t="n">
        <x:v>87</x:v>
      </x:c>
      <x:c r="AE564" s="35" t="n">
        <x:v>81</x:v>
      </x:c>
      <x:c r="AF564" s="35" t="n">
        <x:v>79</x:v>
      </x:c>
      <x:c r="AG564" s="35" t="n">
        <x:v>100</x:v>
      </x:c>
      <x:c r="AH564" s="35" t="n">
        <x:v>7</x:v>
      </x:c>
      <x:c r="AI564" s="37" t="n">
        <x:v>100</x:v>
      </x:c>
      <x:c r="AJ564" s="37" t="n">
        <x:v>92.4</x:v>
      </x:c>
      <x:c r="AK564" s="35" t="str">
        <x:v>No</x:v>
      </x:c>
      <x:c r="AL564" s="38" t="n">
        <x:f>IF(AA564=0,0,AB564/AA564)</x:f>
        <x:v>0.5</x:v>
      </x:c>
      <x:c r="AM564" s="38" t="n">
        <x:f>IF(AB564=0,0,AC564/AB564)</x:f>
        <x:v>1</x:v>
      </x:c>
      <x:c r="AN564" s="37" t="n">
        <x:f>ROUND((AD564*0.20+AE564*0.20+AF564*0.25+AG564*0.15+MIN(100,AC564*12)*0.20),1)</x:f>
        <x:v>73.1</x:v>
      </x:c>
      <x:c r="AO564" s="37" t="n">
        <x:f>ROUND(MAX(0,MIN(100,(X564*0.35)+(W564/45*100*0.20)+((5-O564)/4*100*0.15)+((5-P564)/4*100*0.10)+((6-Y564)/5*100*0.10)+((100-Z564)*0.10))),1)</x:f>
        <x:v>41.2</x:v>
      </x:c>
      <x:c r="AP564" s="37" t="str">
        <x:f>IF(AO564&gt;=70,"High",IF(AO564&gt;=40,"Moderate","Low"))</x:f>
        <x:v>Moderate</x:v>
      </x:c>
      <x:c r="AQ564" s="37" t="n">
        <x:f>ROUND(MAX(0,MIN(100,(O564/4*100*0.25)+(P564/4*100*0.20)+(Q564/4*100*0.15)+(Y564/5*100*0.20)+(100-AO564)*0.20)),1)</x:f>
        <x:v>68</x:v>
      </x:c>
      <x:c r="AR564" s="37" t="n">
        <x:f>ROUND((AI564*0.20+AJ564*0.15+AN564*0.18+AG564*0.12+Z564*0.15+AQ564*0.20),1)</x:f>
        <x:v>87.6</x:v>
      </x:c>
      <x:c r="AS564" s="39" t="n">
        <x:f>ROUND((AC564*AF564*120)+(AH564*350)+(MAX(0,AI564-75)*220)+(MAX(0,AQ564-60)*100),0)</x:f>
        <x:v>27710</x:v>
      </x:c>
    </x:row>
    <x:row r="565">
      <x:c r="A565" s="35" t="n">
        <x:v>564</x:v>
      </x:c>
      <x:c r="B565" s="35" t="n">
        <x:v>32</x:v>
      </x:c>
      <x:c r="C565" s="35" t="str">
        <x:v>Female</x:v>
      </x:c>
      <x:c r="D565" s="35" t="str">
        <x:v>Sales</x:v>
      </x:c>
      <x:c r="E565" s="35" t="str">
        <x:v>Sales Representative</x:v>
      </x:c>
      <x:c r="F565" s="35" t="str">
        <x:v>Business</x:v>
      </x:c>
      <x:c r="G565" s="35" t="str">
        <x:v>Married</x:v>
      </x:c>
      <x:c r="H565" s="35" t="n">
        <x:v>3</x:v>
      </x:c>
      <x:c r="I565" s="36" t="n">
        <x:v>10930</x:v>
      </x:c>
      <x:c r="J565" s="35" t="n">
        <x:v>6</x:v>
      </x:c>
      <x:c r="K565" s="35" t="n">
        <x:v>4</x:v>
      </x:c>
      <x:c r="L565" s="35" t="n">
        <x:v>2</x:v>
      </x:c>
      <x:c r="M565" s="35" t="n">
        <x:v>10</x:v>
      </x:c>
      <x:c r="N565" s="35" t="str">
        <x:v>No</x:v>
      </x:c>
      <x:c r="O565" s="35" t="n">
        <x:v>2</x:v>
      </x:c>
      <x:c r="P565" s="35" t="n">
        <x:v>3</x:v>
      </x:c>
      <x:c r="Q565" s="35" t="n">
        <x:v>3</x:v>
      </x:c>
      <x:c r="R565" s="35" t="n">
        <x:v>2</x:v>
      </x:c>
      <x:c r="S565" s="35" t="n">
        <x:v>3</x:v>
      </x:c>
      <x:c r="T565" s="35" t="n">
        <x:v>3</x:v>
      </x:c>
      <x:c r="U565" s="35" t="n">
        <x:v>0</x:v>
      </x:c>
      <x:c r="V565" s="35" t="n">
        <x:v>5</x:v>
      </x:c>
      <x:c r="W565" s="35" t="n">
        <x:v>8</x:v>
      </x:c>
      <x:c r="X565" s="35" t="n">
        <x:v>82</x:v>
      </x:c>
      <x:c r="Y565" s="35" t="n">
        <x:v>5</x:v>
      </x:c>
      <x:c r="Z565" s="35" t="n">
        <x:v>93</x:v>
      </x:c>
      <x:c r="AA565" s="35" t="n">
        <x:v>5</x:v>
      </x:c>
      <x:c r="AB565" s="35" t="n">
        <x:v>4</x:v>
      </x:c>
      <x:c r="AC565" s="35" t="n">
        <x:v>4</x:v>
      </x:c>
      <x:c r="AD565" s="35" t="n">
        <x:v>49</x:v>
      </x:c>
      <x:c r="AE565" s="35" t="n">
        <x:v>92</x:v>
      </x:c>
      <x:c r="AF565" s="35" t="n">
        <x:v>92</x:v>
      </x:c>
      <x:c r="AG565" s="35" t="n">
        <x:v>88</x:v>
      </x:c>
      <x:c r="AH565" s="35" t="n">
        <x:v>5</x:v>
      </x:c>
      <x:c r="AI565" s="37" t="n">
        <x:v>95.6</x:v>
      </x:c>
      <x:c r="AJ565" s="37" t="n">
        <x:v>89.4</x:v>
      </x:c>
      <x:c r="AK565" s="35" t="str">
        <x:v>No</x:v>
      </x:c>
      <x:c r="AL565" s="38" t="n">
        <x:f>IF(AA565=0,0,AB565/AA565)</x:f>
        <x:v>0.8</x:v>
      </x:c>
      <x:c r="AM565" s="38" t="n">
        <x:f>IF(AB565=0,0,AC565/AB565)</x:f>
        <x:v>1</x:v>
      </x:c>
      <x:c r="AN565" s="37" t="n">
        <x:f>ROUND((AD565*0.20+AE565*0.20+AF565*0.25+AG565*0.15+MIN(100,AC565*12)*0.20),1)</x:f>
        <x:v>74</x:v>
      </x:c>
      <x:c r="AO565" s="37" t="n">
        <x:f>ROUND(MAX(0,MIN(100,(X565*0.35)+(W565/45*100*0.20)+((5-O565)/4*100*0.15)+((5-P565)/4*100*0.10)+((6-Y565)/5*100*0.10)+((100-Z565)*0.10))),1)</x:f>
        <x:v>51.2</x:v>
      </x:c>
      <x:c r="AP565" s="37" t="str">
        <x:f>IF(AO565&gt;=70,"High",IF(AO565&gt;=40,"Moderate","Low"))</x:f>
        <x:v>Moderate</x:v>
      </x:c>
      <x:c r="AQ565" s="37" t="n">
        <x:f>ROUND(MAX(0,MIN(100,(O565/4*100*0.25)+(P565/4*100*0.20)+(Q565/4*100*0.15)+(Y565/5*100*0.20)+(100-AO565)*0.20)),1)</x:f>
        <x:v>68.5</x:v>
      </x:c>
      <x:c r="AR565" s="37" t="n">
        <x:f>ROUND((AI565*0.20+AJ565*0.15+AN565*0.18+AG565*0.12+Z565*0.15+AQ565*0.20),1)</x:f>
        <x:v>84.1</x:v>
      </x:c>
      <x:c r="AS565" s="39" t="n">
        <x:f>ROUND((AC565*AF565*120)+(AH565*350)+(MAX(0,AI565-75)*220)+(MAX(0,AQ565-60)*100),0)</x:f>
        <x:v>51292</x:v>
      </x:c>
    </x:row>
    <x:row r="566">
      <x:c r="A566" s="35" t="n">
        <x:v>565</x:v>
      </x:c>
      <x:c r="B566" s="35" t="n">
        <x:v>50</x:v>
      </x:c>
      <x:c r="C566" s="35" t="str">
        <x:v>Male</x:v>
      </x:c>
      <x:c r="D566" s="35" t="str">
        <x:v>Research &amp; Development</x:v>
      </x:c>
      <x:c r="E566" s="35" t="str">
        <x:v>Laboratory Technician</x:v>
      </x:c>
      <x:c r="F566" s="35" t="str">
        <x:v>Computer Science</x:v>
      </x:c>
      <x:c r="G566" s="35" t="str">
        <x:v>Single</x:v>
      </x:c>
      <x:c r="H566" s="35" t="n">
        <x:v>4</x:v>
      </x:c>
      <x:c r="I566" s="36" t="n">
        <x:v>18600</x:v>
      </x:c>
      <x:c r="J566" s="35" t="n">
        <x:v>16</x:v>
      </x:c>
      <x:c r="K566" s="35" t="n">
        <x:v>5</x:v>
      </x:c>
      <x:c r="L566" s="35" t="n">
        <x:v>2</x:v>
      </x:c>
      <x:c r="M566" s="35" t="n">
        <x:v>14</x:v>
      </x:c>
      <x:c r="N566" s="35" t="str">
        <x:v>No</x:v>
      </x:c>
      <x:c r="O566" s="35" t="n">
        <x:v>4</x:v>
      </x:c>
      <x:c r="P566" s="35" t="n">
        <x:v>2</x:v>
      </x:c>
      <x:c r="Q566" s="35" t="n">
        <x:v>3</x:v>
      </x:c>
      <x:c r="R566" s="35" t="n">
        <x:v>4</x:v>
      </x:c>
      <x:c r="S566" s="35" t="n">
        <x:v>3</x:v>
      </x:c>
      <x:c r="T566" s="35" t="n">
        <x:v>1</x:v>
      </x:c>
      <x:c r="U566" s="35" t="n">
        <x:v>1</x:v>
      </x:c>
      <x:c r="V566" s="35" t="n">
        <x:v>12</x:v>
      </x:c>
      <x:c r="W566" s="35" t="n">
        <x:v>2</x:v>
      </x:c>
      <x:c r="X566" s="35" t="n">
        <x:v>62</x:v>
      </x:c>
      <x:c r="Y566" s="35" t="n">
        <x:v>4</x:v>
      </x:c>
      <x:c r="Z566" s="35" t="n">
        <x:v>100</x:v>
      </x:c>
      <x:c r="AA566" s="35" t="n">
        <x:v>10</x:v>
      </x:c>
      <x:c r="AB566" s="35" t="n">
        <x:v>8</x:v>
      </x:c>
      <x:c r="AC566" s="35" t="n">
        <x:v>8</x:v>
      </x:c>
      <x:c r="AD566" s="35" t="n">
        <x:v>80</x:v>
      </x:c>
      <x:c r="AE566" s="35" t="n">
        <x:v>82</x:v>
      </x:c>
      <x:c r="AF566" s="35" t="n">
        <x:v>100</x:v>
      </x:c>
      <x:c r="AG566" s="35" t="n">
        <x:v>100</x:v>
      </x:c>
      <x:c r="AH566" s="35" t="n">
        <x:v>11</x:v>
      </x:c>
      <x:c r="AI566" s="37" t="n">
        <x:v>93.2</x:v>
      </x:c>
      <x:c r="AJ566" s="37" t="n">
        <x:v>91.2</x:v>
      </x:c>
      <x:c r="AK566" s="35" t="str">
        <x:v>No</x:v>
      </x:c>
      <x:c r="AL566" s="38" t="n">
        <x:f>IF(AA566=0,0,AB566/AA566)</x:f>
        <x:v>0.8</x:v>
      </x:c>
      <x:c r="AM566" s="38" t="n">
        <x:f>IF(AB566=0,0,AC566/AB566)</x:f>
        <x:v>1</x:v>
      </x:c>
      <x:c r="AN566" s="37" t="n">
        <x:f>ROUND((AD566*0.20+AE566*0.20+AF566*0.25+AG566*0.15+MIN(100,AC566*12)*0.20),1)</x:f>
        <x:v>91.6</x:v>
      </x:c>
      <x:c r="AO566" s="37" t="n">
        <x:f>ROUND(MAX(0,MIN(100,(X566*0.35)+(W566/45*100*0.20)+((5-O566)/4*100*0.15)+((5-P566)/4*100*0.10)+((6-Y566)/5*100*0.10)+((100-Z566)*0.10))),1)</x:f>
        <x:v>37.8</x:v>
      </x:c>
      <x:c r="AP566" s="37" t="str">
        <x:f>IF(AO566&gt;=70,"High",IF(AO566&gt;=40,"Moderate","Low"))</x:f>
        <x:v>Low</x:v>
      </x:c>
      <x:c r="AQ566" s="37" t="n">
        <x:f>ROUND(MAX(0,MIN(100,(O566/4*100*0.25)+(P566/4*100*0.20)+(Q566/4*100*0.15)+(Y566/5*100*0.20)+(100-AO566)*0.20)),1)</x:f>
        <x:v>74.7</x:v>
      </x:c>
      <x:c r="AR566" s="37" t="n">
        <x:f>ROUND((AI566*0.20+AJ566*0.15+AN566*0.18+AG566*0.12+Z566*0.15+AQ566*0.20),1)</x:f>
        <x:v>90.7</x:v>
      </x:c>
      <x:c r="AS566" s="39" t="n">
        <x:f>ROUND((AC566*AF566*120)+(AH566*350)+(MAX(0,AI566-75)*220)+(MAX(0,AQ566-60)*100),0)</x:f>
        <x:v>105324</x:v>
      </x:c>
    </x:row>
    <x:row r="567">
      <x:c r="A567" s="35" t="n">
        <x:v>566</x:v>
      </x:c>
      <x:c r="B567" s="35" t="n">
        <x:v>30</x:v>
      </x:c>
      <x:c r="C567" s="35" t="str">
        <x:v>Male</x:v>
      </x:c>
      <x:c r="D567" s="35" t="str">
        <x:v>Information Technology</x:v>
      </x:c>
      <x:c r="E567" s="35" t="str">
        <x:v>Systems Analyst</x:v>
      </x:c>
      <x:c r="F567" s="35" t="str">
        <x:v>Human Resources</x:v>
      </x:c>
      <x:c r="G567" s="35" t="str">
        <x:v>Married</x:v>
      </x:c>
      <x:c r="H567" s="35" t="n">
        <x:v>1</x:v>
      </x:c>
      <x:c r="I567" s="36" t="n">
        <x:v>6100</x:v>
      </x:c>
      <x:c r="J567" s="35" t="n">
        <x:v>8</x:v>
      </x:c>
      <x:c r="K567" s="35" t="n">
        <x:v>4</x:v>
      </x:c>
      <x:c r="L567" s="35" t="n">
        <x:v>1</x:v>
      </x:c>
      <x:c r="M567" s="35" t="n">
        <x:v>15</x:v>
      </x:c>
      <x:c r="N567" s="35" t="str">
        <x:v>No</x:v>
      </x:c>
      <x:c r="O567" s="35" t="n">
        <x:v>4</x:v>
      </x:c>
      <x:c r="P567" s="35" t="n">
        <x:v>4</x:v>
      </x:c>
      <x:c r="Q567" s="35" t="n">
        <x:v>3</x:v>
      </x:c>
      <x:c r="R567" s="35" t="n">
        <x:v>4</x:v>
      </x:c>
      <x:c r="S567" s="35" t="n">
        <x:v>3</x:v>
      </x:c>
      <x:c r="T567" s="35" t="n">
        <x:v>4</x:v>
      </x:c>
      <x:c r="U567" s="35" t="n">
        <x:v>0</x:v>
      </x:c>
      <x:c r="V567" s="35" t="n">
        <x:v>9</x:v>
      </x:c>
      <x:c r="W567" s="35" t="n">
        <x:v>7</x:v>
      </x:c>
      <x:c r="X567" s="35" t="n">
        <x:v>82</x:v>
      </x:c>
      <x:c r="Y567" s="35" t="n">
        <x:v>4</x:v>
      </x:c>
      <x:c r="Z567" s="35" t="n">
        <x:v>100</x:v>
      </x:c>
      <x:c r="AA567" s="35" t="n">
        <x:v>15</x:v>
      </x:c>
      <x:c r="AB567" s="35" t="n">
        <x:v>15</x:v>
      </x:c>
      <x:c r="AC567" s="35" t="n">
        <x:v>11</x:v>
      </x:c>
      <x:c r="AD567" s="35" t="n">
        <x:v>100</x:v>
      </x:c>
      <x:c r="AE567" s="35" t="n">
        <x:v>98</x:v>
      </x:c>
      <x:c r="AF567" s="35" t="n">
        <x:v>100</x:v>
      </x:c>
      <x:c r="AG567" s="35" t="n">
        <x:v>100</x:v>
      </x:c>
      <x:c r="AH567" s="35" t="n">
        <x:v>12</x:v>
      </x:c>
      <x:c r="AI567" s="37" t="n">
        <x:v>99.3</x:v>
      </x:c>
      <x:c r="AJ567" s="37" t="n">
        <x:v>98.7</x:v>
      </x:c>
      <x:c r="AK567" s="35" t="str">
        <x:v>No</x:v>
      </x:c>
      <x:c r="AL567" s="38" t="n">
        <x:f>IF(AA567=0,0,AB567/AA567)</x:f>
        <x:v>1</x:v>
      </x:c>
      <x:c r="AM567" s="38" t="n">
        <x:f>IF(AB567=0,0,AC567/AB567)</x:f>
        <x:v>0.7333333333333333</x:v>
      </x:c>
      <x:c r="AN567" s="37" t="n">
        <x:f>ROUND((AD567*0.20+AE567*0.20+AF567*0.25+AG567*0.15+MIN(100,AC567*12)*0.20),1)</x:f>
        <x:v>99.6</x:v>
      </x:c>
      <x:c r="AO567" s="37" t="n">
        <x:f>ROUND(MAX(0,MIN(100,(X567*0.35)+(W567/45*100*0.20)+((5-O567)/4*100*0.15)+((5-P567)/4*100*0.10)+((6-Y567)/5*100*0.10)+((100-Z567)*0.10))),1)</x:f>
        <x:v>42.1</x:v>
      </x:c>
      <x:c r="AP567" s="37" t="str">
        <x:f>IF(AO567&gt;=70,"High",IF(AO567&gt;=40,"Moderate","Low"))</x:f>
        <x:v>Moderate</x:v>
      </x:c>
      <x:c r="AQ567" s="37" t="n">
        <x:f>ROUND(MAX(0,MIN(100,(O567/4*100*0.25)+(P567/4*100*0.20)+(Q567/4*100*0.15)+(Y567/5*100*0.20)+(100-AO567)*0.20)),1)</x:f>
        <x:v>83.8</x:v>
      </x:c>
      <x:c r="AR567" s="37" t="n">
        <x:f>ROUND((AI567*0.20+AJ567*0.15+AN567*0.18+AG567*0.12+Z567*0.15+AQ567*0.20),1)</x:f>
        <x:v>96.4</x:v>
      </x:c>
      <x:c r="AS567" s="39" t="n">
        <x:f>ROUND((AC567*AF567*120)+(AH567*350)+(MAX(0,AI567-75)*220)+(MAX(0,AQ567-60)*100),0)</x:f>
        <x:v>143926</x:v>
      </x:c>
    </x:row>
    <x:row r="568">
      <x:c r="A568" s="35" t="n">
        <x:v>567</x:v>
      </x:c>
      <x:c r="B568" s="35" t="n">
        <x:v>32</x:v>
      </x:c>
      <x:c r="C568" s="35" t="str">
        <x:v>Female</x:v>
      </x:c>
      <x:c r="D568" s="35" t="str">
        <x:v>Sales</x:v>
      </x:c>
      <x:c r="E568" s="35" t="str">
        <x:v>Sales Representative</x:v>
      </x:c>
      <x:c r="F568" s="35" t="str">
        <x:v>Computer Science</x:v>
      </x:c>
      <x:c r="G568" s="35" t="str">
        <x:v>Married</x:v>
      </x:c>
      <x:c r="H568" s="35" t="n">
        <x:v>2</x:v>
      </x:c>
      <x:c r="I568" s="36" t="n">
        <x:v>7740</x:v>
      </x:c>
      <x:c r="J568" s="35" t="n">
        <x:v>8</x:v>
      </x:c>
      <x:c r="K568" s="35" t="n">
        <x:v>2</x:v>
      </x:c>
      <x:c r="L568" s="35" t="n">
        <x:v>1</x:v>
      </x:c>
      <x:c r="M568" s="35" t="n">
        <x:v>6</x:v>
      </x:c>
      <x:c r="N568" s="35" t="str">
        <x:v>Yes</x:v>
      </x:c>
      <x:c r="O568" s="35" t="n">
        <x:v>3</x:v>
      </x:c>
      <x:c r="P568" s="35" t="n">
        <x:v>2</x:v>
      </x:c>
      <x:c r="Q568" s="35" t="n">
        <x:v>2</x:v>
      </x:c>
      <x:c r="R568" s="35" t="n">
        <x:v>3</x:v>
      </x:c>
      <x:c r="S568" s="35" t="n">
        <x:v>3</x:v>
      </x:c>
      <x:c r="T568" s="35" t="n">
        <x:v>1</x:v>
      </x:c>
      <x:c r="U568" s="35" t="n">
        <x:v>1</x:v>
      </x:c>
      <x:c r="V568" s="35" t="n">
        <x:v>0</x:v>
      </x:c>
      <x:c r="W568" s="35" t="n">
        <x:v>17</x:v>
      </x:c>
      <x:c r="X568" s="35" t="n">
        <x:v>64</x:v>
      </x:c>
      <x:c r="Y568" s="35" t="n">
        <x:v>4</x:v>
      </x:c>
      <x:c r="Z568" s="35" t="n">
        <x:v>100</x:v>
      </x:c>
      <x:c r="AA568" s="35" t="n">
        <x:v>3</x:v>
      </x:c>
      <x:c r="AB568" s="35" t="n">
        <x:v>2</x:v>
      </x:c>
      <x:c r="AC568" s="35" t="n">
        <x:v>1</x:v>
      </x:c>
      <x:c r="AD568" s="35" t="n">
        <x:v>65</x:v>
      </x:c>
      <x:c r="AE568" s="35" t="n">
        <x:v>61</x:v>
      </x:c>
      <x:c r="AF568" s="35" t="n">
        <x:v>75</x:v>
      </x:c>
      <x:c r="AG568" s="35" t="n">
        <x:v>76</x:v>
      </x:c>
      <x:c r="AH568" s="35" t="n">
        <x:v>1</x:v>
      </x:c>
      <x:c r="AI568" s="37" t="n">
        <x:v>100</x:v>
      </x:c>
      <x:c r="AJ568" s="37" t="n">
        <x:v>87.1</x:v>
      </x:c>
      <x:c r="AK568" s="35" t="str">
        <x:v>No</x:v>
      </x:c>
      <x:c r="AL568" s="38" t="n">
        <x:f>IF(AA568=0,0,AB568/AA568)</x:f>
        <x:v>0.6666666666666666</x:v>
      </x:c>
      <x:c r="AM568" s="38" t="n">
        <x:f>IF(AB568=0,0,AC568/AB568)</x:f>
        <x:v>0.5</x:v>
      </x:c>
      <x:c r="AN568" s="37" t="n">
        <x:f>ROUND((AD568*0.20+AE568*0.20+AF568*0.25+AG568*0.15+MIN(100,AC568*12)*0.20),1)</x:f>
        <x:v>57.8</x:v>
      </x:c>
      <x:c r="AO568" s="37" t="n">
        <x:f>ROUND(MAX(0,MIN(100,(X568*0.35)+(W568/45*100*0.20)+((5-O568)/4*100*0.15)+((5-P568)/4*100*0.10)+((6-Y568)/5*100*0.10)+((100-Z568)*0.10))),1)</x:f>
        <x:v>49</x:v>
      </x:c>
      <x:c r="AP568" s="37" t="str">
        <x:f>IF(AO568&gt;=70,"High",IF(AO568&gt;=40,"Moderate","Low"))</x:f>
        <x:v>Moderate</x:v>
      </x:c>
      <x:c r="AQ568" s="37" t="n">
        <x:f>ROUND(MAX(0,MIN(100,(O568/4*100*0.25)+(P568/4*100*0.20)+(Q568/4*100*0.15)+(Y568/5*100*0.20)+(100-AO568)*0.20)),1)</x:f>
        <x:v>62.5</x:v>
      </x:c>
      <x:c r="AR568" s="37" t="n">
        <x:f>ROUND((AI568*0.20+AJ568*0.15+AN568*0.18+AG568*0.12+Z568*0.15+AQ568*0.20),1)</x:f>
        <x:v>80.1</x:v>
      </x:c>
      <x:c r="AS568" s="39" t="n">
        <x:f>ROUND((AC568*AF568*120)+(AH568*350)+(MAX(0,AI568-75)*220)+(MAX(0,AQ568-60)*100),0)</x:f>
        <x:v>15100</x:v>
      </x:c>
    </x:row>
    <x:row r="569">
      <x:c r="A569" s="35" t="n">
        <x:v>568</x:v>
      </x:c>
      <x:c r="B569" s="35" t="n">
        <x:v>37</x:v>
      </x:c>
      <x:c r="C569" s="35" t="str">
        <x:v>Female</x:v>
      </x:c>
      <x:c r="D569" s="35" t="str">
        <x:v>Research &amp; Development</x:v>
      </x:c>
      <x:c r="E569" s="35" t="str">
        <x:v>Laboratory Technician</x:v>
      </x:c>
      <x:c r="F569" s="35" t="str">
        <x:v>Business</x:v>
      </x:c>
      <x:c r="G569" s="35" t="str">
        <x:v>Married</x:v>
      </x:c>
      <x:c r="H569" s="35" t="n">
        <x:v>2</x:v>
      </x:c>
      <x:c r="I569" s="36" t="n">
        <x:v>10090</x:v>
      </x:c>
      <x:c r="J569" s="35" t="n">
        <x:v>12</x:v>
      </x:c>
      <x:c r="K569" s="35" t="n">
        <x:v>7</x:v>
      </x:c>
      <x:c r="L569" s="35" t="n">
        <x:v>2</x:v>
      </x:c>
      <x:c r="M569" s="35" t="n">
        <x:v>13</x:v>
      </x:c>
      <x:c r="N569" s="35" t="str">
        <x:v>No</x:v>
      </x:c>
      <x:c r="O569" s="35" t="n">
        <x:v>2</x:v>
      </x:c>
      <x:c r="P569" s="35" t="n">
        <x:v>4</x:v>
      </x:c>
      <x:c r="Q569" s="35" t="n">
        <x:v>3</x:v>
      </x:c>
      <x:c r="R569" s="35" t="n">
        <x:v>3</x:v>
      </x:c>
      <x:c r="S569" s="35" t="n">
        <x:v>3</x:v>
      </x:c>
      <x:c r="T569" s="35" t="n">
        <x:v>3</x:v>
      </x:c>
      <x:c r="U569" s="35" t="n">
        <x:v>0</x:v>
      </x:c>
      <x:c r="V569" s="35" t="n">
        <x:v>10</x:v>
      </x:c>
      <x:c r="W569" s="35" t="n">
        <x:v>3</x:v>
      </x:c>
      <x:c r="X569" s="35" t="n">
        <x:v>72</x:v>
      </x:c>
      <x:c r="Y569" s="35" t="n">
        <x:v>4</x:v>
      </x:c>
      <x:c r="Z569" s="35" t="n">
        <x:v>96</x:v>
      </x:c>
      <x:c r="AA569" s="35" t="n">
        <x:v>3</x:v>
      </x:c>
      <x:c r="AB569" s="35" t="n">
        <x:v>2</x:v>
      </x:c>
      <x:c r="AC569" s="35" t="n">
        <x:v>2</x:v>
      </x:c>
      <x:c r="AD569" s="35" t="n">
        <x:v>92</x:v>
      </x:c>
      <x:c r="AE569" s="35" t="n">
        <x:v>65</x:v>
      </x:c>
      <x:c r="AF569" s="35" t="n">
        <x:v>63</x:v>
      </x:c>
      <x:c r="AG569" s="35" t="n">
        <x:v>94</x:v>
      </x:c>
      <x:c r="AH569" s="35" t="n">
        <x:v>6</x:v>
      </x:c>
      <x:c r="AI569" s="37" t="n">
        <x:v>91.9</x:v>
      </x:c>
      <x:c r="AJ569" s="37" t="n">
        <x:v>91.6</x:v>
      </x:c>
      <x:c r="AK569" s="35" t="str">
        <x:v>No</x:v>
      </x:c>
      <x:c r="AL569" s="38" t="n">
        <x:f>IF(AA569=0,0,AB569/AA569)</x:f>
        <x:v>0.6666666666666666</x:v>
      </x:c>
      <x:c r="AM569" s="38" t="n">
        <x:f>IF(AB569=0,0,AC569/AB569)</x:f>
        <x:v>1</x:v>
      </x:c>
      <x:c r="AN569" s="37" t="n">
        <x:f>ROUND((AD569*0.20+AE569*0.20+AF569*0.25+AG569*0.15+MIN(100,AC569*12)*0.20),1)</x:f>
        <x:v>66.1</x:v>
      </x:c>
      <x:c r="AO569" s="37" t="n">
        <x:f>ROUND(MAX(0,MIN(100,(X569*0.35)+(W569/45*100*0.20)+((5-O569)/4*100*0.15)+((5-P569)/4*100*0.10)+((6-Y569)/5*100*0.10)+((100-Z569)*0.10))),1)</x:f>
        <x:v>44.7</x:v>
      </x:c>
      <x:c r="AP569" s="37" t="str">
        <x:f>IF(AO569&gt;=70,"High",IF(AO569&gt;=40,"Moderate","Low"))</x:f>
        <x:v>Moderate</x:v>
      </x:c>
      <x:c r="AQ569" s="37" t="n">
        <x:f>ROUND(MAX(0,MIN(100,(O569/4*100*0.25)+(P569/4*100*0.20)+(Q569/4*100*0.15)+(Y569/5*100*0.20)+(100-AO569)*0.20)),1)</x:f>
        <x:v>70.8</x:v>
      </x:c>
      <x:c r="AR569" s="37" t="n">
        <x:f>ROUND((AI569*0.20+AJ569*0.15+AN569*0.18+AG569*0.12+Z569*0.15+AQ569*0.20),1)</x:f>
        <x:v>83.9</x:v>
      </x:c>
      <x:c r="AS569" s="39" t="n">
        <x:f>ROUND((AC569*AF569*120)+(AH569*350)+(MAX(0,AI569-75)*220)+(MAX(0,AQ569-60)*100),0)</x:f>
        <x:v>22018</x:v>
      </x:c>
    </x:row>
    <x:row r="570">
      <x:c r="A570" s="35" t="n">
        <x:v>569</x:v>
      </x:c>
      <x:c r="B570" s="35" t="n">
        <x:v>30</x:v>
      </x:c>
      <x:c r="C570" s="35" t="str">
        <x:v>Female</x:v>
      </x:c>
      <x:c r="D570" s="35" t="str">
        <x:v>Marketing</x:v>
      </x:c>
      <x:c r="E570" s="35" t="str">
        <x:v>Marketing Manager</x:v>
      </x:c>
      <x:c r="F570" s="35" t="str">
        <x:v>Human Resources</x:v>
      </x:c>
      <x:c r="G570" s="35" t="str">
        <x:v>Married</x:v>
      </x:c>
      <x:c r="H570" s="35" t="n">
        <x:v>1</x:v>
      </x:c>
      <x:c r="I570" s="36" t="n">
        <x:v>5720</x:v>
      </x:c>
      <x:c r="J570" s="35" t="n">
        <x:v>7</x:v>
      </x:c>
      <x:c r="K570" s="35" t="n">
        <x:v>6</x:v>
      </x:c>
      <x:c r="L570" s="35" t="n">
        <x:v>3</x:v>
      </x:c>
      <x:c r="M570" s="35" t="n">
        <x:v>15</x:v>
      </x:c>
      <x:c r="N570" s="35" t="str">
        <x:v>Yes</x:v>
      </x:c>
      <x:c r="O570" s="35" t="n">
        <x:v>3</x:v>
      </x:c>
      <x:c r="P570" s="35" t="n">
        <x:v>4</x:v>
      </x:c>
      <x:c r="Q570" s="35" t="n">
        <x:v>4</x:v>
      </x:c>
      <x:c r="R570" s="35" t="n">
        <x:v>4</x:v>
      </x:c>
      <x:c r="S570" s="35" t="n">
        <x:v>3</x:v>
      </x:c>
      <x:c r="T570" s="35" t="n">
        <x:v>4</x:v>
      </x:c>
      <x:c r="U570" s="35" t="n">
        <x:v>0</x:v>
      </x:c>
      <x:c r="V570" s="35" t="n">
        <x:v>9</x:v>
      </x:c>
      <x:c r="W570" s="35" t="n">
        <x:v>23</x:v>
      </x:c>
      <x:c r="X570" s="35" t="n">
        <x:v>84</x:v>
      </x:c>
      <x:c r="Y570" s="35" t="n">
        <x:v>5</x:v>
      </x:c>
      <x:c r="Z570" s="35" t="n">
        <x:v>100</x:v>
      </x:c>
      <x:c r="AA570" s="35" t="n">
        <x:v>4</x:v>
      </x:c>
      <x:c r="AB570" s="35" t="n">
        <x:v>2</x:v>
      </x:c>
      <x:c r="AC570" s="35" t="n">
        <x:v>1</x:v>
      </x:c>
      <x:c r="AD570" s="35" t="n">
        <x:v>62</x:v>
      </x:c>
      <x:c r="AE570" s="35" t="n">
        <x:v>71</x:v>
      </x:c>
      <x:c r="AF570" s="35" t="n">
        <x:v>67</x:v>
      </x:c>
      <x:c r="AG570" s="35" t="n">
        <x:v>90</x:v>
      </x:c>
      <x:c r="AH570" s="35" t="n">
        <x:v>5</x:v>
      </x:c>
      <x:c r="AI570" s="37" t="n">
        <x:v>80.4</x:v>
      </x:c>
      <x:c r="AJ570" s="37" t="n">
        <x:v>93.9</x:v>
      </x:c>
      <x:c r="AK570" s="35" t="str">
        <x:v>No</x:v>
      </x:c>
      <x:c r="AL570" s="38" t="n">
        <x:f>IF(AA570=0,0,AB570/AA570)</x:f>
        <x:v>0.5</x:v>
      </x:c>
      <x:c r="AM570" s="38" t="n">
        <x:f>IF(AB570=0,0,AC570/AB570)</x:f>
        <x:v>0.5</x:v>
      </x:c>
      <x:c r="AN570" s="37" t="n">
        <x:f>ROUND((AD570*0.20+AE570*0.20+AF570*0.25+AG570*0.15+MIN(100,AC570*12)*0.20),1)</x:f>
        <x:v>59.3</x:v>
      </x:c>
      <x:c r="AO570" s="37" t="n">
        <x:f>ROUND(MAX(0,MIN(100,(X570*0.35)+(W570/45*100*0.20)+((5-O570)/4*100*0.15)+((5-P570)/4*100*0.10)+((6-Y570)/5*100*0.10)+((100-Z570)*0.10))),1)</x:f>
        <x:v>51.6</x:v>
      </x:c>
      <x:c r="AP570" s="37" t="str">
        <x:f>IF(AO570&gt;=70,"High",IF(AO570&gt;=40,"Moderate","Low"))</x:f>
        <x:v>Moderate</x:v>
      </x:c>
      <x:c r="AQ570" s="37" t="n">
        <x:f>ROUND(MAX(0,MIN(100,(O570/4*100*0.25)+(P570/4*100*0.20)+(Q570/4*100*0.15)+(Y570/5*100*0.20)+(100-AO570)*0.20)),1)</x:f>
        <x:v>83.4</x:v>
      </x:c>
      <x:c r="AR570" s="37" t="n">
        <x:f>ROUND((AI570*0.20+AJ570*0.15+AN570*0.18+AG570*0.12+Z570*0.15+AQ570*0.20),1)</x:f>
        <x:v>83.3</x:v>
      </x:c>
      <x:c r="AS570" s="39" t="n">
        <x:f>ROUND((AC570*AF570*120)+(AH570*350)+(MAX(0,AI570-75)*220)+(MAX(0,AQ570-60)*100),0)</x:f>
        <x:v>13318</x:v>
      </x:c>
    </x:row>
    <x:row r="571">
      <x:c r="A571" s="35" t="n">
        <x:v>570</x:v>
      </x:c>
      <x:c r="B571" s="35" t="n">
        <x:v>34</x:v>
      </x:c>
      <x:c r="C571" s="35" t="str">
        <x:v>Male</x:v>
      </x:c>
      <x:c r="D571" s="35" t="str">
        <x:v>Information Technology</x:v>
      </x:c>
      <x:c r="E571" s="35" t="str">
        <x:v>IT Support</x:v>
      </x:c>
      <x:c r="F571" s="35" t="str">
        <x:v>Human Resources</x:v>
      </x:c>
      <x:c r="G571" s="35" t="str">
        <x:v>Married</x:v>
      </x:c>
      <x:c r="H571" s="35" t="n">
        <x:v>2</x:v>
      </x:c>
      <x:c r="I571" s="36" t="n">
        <x:v>10770</x:v>
      </x:c>
      <x:c r="J571" s="35" t="n">
        <x:v>11</x:v>
      </x:c>
      <x:c r="K571" s="35" t="n">
        <x:v>5</x:v>
      </x:c>
      <x:c r="L571" s="35" t="n">
        <x:v>3</x:v>
      </x:c>
      <x:c r="M571" s="35" t="n">
        <x:v>7</x:v>
      </x:c>
      <x:c r="N571" s="35" t="str">
        <x:v>No</x:v>
      </x:c>
      <x:c r="O571" s="35" t="n">
        <x:v>3</x:v>
      </x:c>
      <x:c r="P571" s="35" t="n">
        <x:v>2</x:v>
      </x:c>
      <x:c r="Q571" s="35" t="n">
        <x:v>4</x:v>
      </x:c>
      <x:c r="R571" s="35" t="n">
        <x:v>3</x:v>
      </x:c>
      <x:c r="S571" s="35" t="n">
        <x:v>3</x:v>
      </x:c>
      <x:c r="T571" s="35" t="n">
        <x:v>3</x:v>
      </x:c>
      <x:c r="U571" s="35" t="n">
        <x:v>0</x:v>
      </x:c>
      <x:c r="V571" s="35" t="n">
        <x:v>12</x:v>
      </x:c>
      <x:c r="W571" s="35" t="n">
        <x:v>4</x:v>
      </x:c>
      <x:c r="X571" s="35" t="n">
        <x:v>68</x:v>
      </x:c>
      <x:c r="Y571" s="35" t="n">
        <x:v>5</x:v>
      </x:c>
      <x:c r="Z571" s="35" t="n">
        <x:v>97</x:v>
      </x:c>
      <x:c r="AA571" s="35" t="n">
        <x:v>4</x:v>
      </x:c>
      <x:c r="AB571" s="35" t="n">
        <x:v>4</x:v>
      </x:c>
      <x:c r="AC571" s="35" t="n">
        <x:v>3</x:v>
      </x:c>
      <x:c r="AD571" s="35" t="n">
        <x:v>78</x:v>
      </x:c>
      <x:c r="AE571" s="35" t="n">
        <x:v>77</x:v>
      </x:c>
      <x:c r="AF571" s="35" t="n">
        <x:v>86</x:v>
      </x:c>
      <x:c r="AG571" s="35" t="n">
        <x:v>87</x:v>
      </x:c>
      <x:c r="AH571" s="35" t="n">
        <x:v>6</x:v>
      </x:c>
      <x:c r="AI571" s="37" t="n">
        <x:v>98</x:v>
      </x:c>
      <x:c r="AJ571" s="37" t="n">
        <x:v>90.6</x:v>
      </x:c>
      <x:c r="AK571" s="35" t="str">
        <x:v>No</x:v>
      </x:c>
      <x:c r="AL571" s="38" t="n">
        <x:f>IF(AA571=0,0,AB571/AA571)</x:f>
        <x:v>1</x:v>
      </x:c>
      <x:c r="AM571" s="38" t="n">
        <x:f>IF(AB571=0,0,AC571/AB571)</x:f>
        <x:v>0.75</x:v>
      </x:c>
      <x:c r="AN571" s="37" t="n">
        <x:f>ROUND((AD571*0.20+AE571*0.20+AF571*0.25+AG571*0.15+MIN(100,AC571*12)*0.20),1)</x:f>
        <x:v>72.8</x:v>
      </x:c>
      <x:c r="AO571" s="37" t="n">
        <x:f>ROUND(MAX(0,MIN(100,(X571*0.35)+(W571/45*100*0.20)+((5-O571)/4*100*0.15)+((5-P571)/4*100*0.10)+((6-Y571)/5*100*0.10)+((100-Z571)*0.10))),1)</x:f>
        <x:v>42.9</x:v>
      </x:c>
      <x:c r="AP571" s="37" t="str">
        <x:f>IF(AO571&gt;=70,"High",IF(AO571&gt;=40,"Moderate","Low"))</x:f>
        <x:v>Moderate</x:v>
      </x:c>
      <x:c r="AQ571" s="37" t="n">
        <x:f>ROUND(MAX(0,MIN(100,(O571/4*100*0.25)+(P571/4*100*0.20)+(Q571/4*100*0.15)+(Y571/5*100*0.20)+(100-AO571)*0.20)),1)</x:f>
        <x:v>75.2</x:v>
      </x:c>
      <x:c r="AR571" s="37" t="n">
        <x:f>ROUND((AI571*0.20+AJ571*0.15+AN571*0.18+AG571*0.12+Z571*0.15+AQ571*0.20),1)</x:f>
        <x:v>86.3</x:v>
      </x:c>
      <x:c r="AS571" s="39" t="n">
        <x:f>ROUND((AC571*AF571*120)+(AH571*350)+(MAX(0,AI571-75)*220)+(MAX(0,AQ571-60)*100),0)</x:f>
        <x:v>39640</x:v>
      </x:c>
    </x:row>
    <x:row r="572">
      <x:c r="A572" s="35" t="n">
        <x:v>571</x:v>
      </x:c>
      <x:c r="B572" s="35" t="n">
        <x:v>44</x:v>
      </x:c>
      <x:c r="C572" s="35" t="str">
        <x:v>Male</x:v>
      </x:c>
      <x:c r="D572" s="35" t="str">
        <x:v>Marketing</x:v>
      </x:c>
      <x:c r="E572" s="35" t="str">
        <x:v>Digital Marketing Analyst</x:v>
      </x:c>
      <x:c r="F572" s="35" t="str">
        <x:v>Human Resources</x:v>
      </x:c>
      <x:c r="G572" s="35" t="str">
        <x:v>Married</x:v>
      </x:c>
      <x:c r="H572" s="35" t="n">
        <x:v>3</x:v>
      </x:c>
      <x:c r="I572" s="36" t="n">
        <x:v>13010</x:v>
      </x:c>
      <x:c r="J572" s="35" t="n">
        <x:v>14</x:v>
      </x:c>
      <x:c r="K572" s="35" t="n">
        <x:v>4</x:v>
      </x:c>
      <x:c r="L572" s="35" t="n">
        <x:v>1</x:v>
      </x:c>
      <x:c r="M572" s="35" t="n">
        <x:v>7</x:v>
      </x:c>
      <x:c r="N572" s="35" t="str">
        <x:v>No</x:v>
      </x:c>
      <x:c r="O572" s="35" t="n">
        <x:v>2</x:v>
      </x:c>
      <x:c r="P572" s="35" t="n">
        <x:v>3</x:v>
      </x:c>
      <x:c r="Q572" s="35" t="n">
        <x:v>2</x:v>
      </x:c>
      <x:c r="R572" s="35" t="n">
        <x:v>2</x:v>
      </x:c>
      <x:c r="S572" s="35" t="n">
        <x:v>3</x:v>
      </x:c>
      <x:c r="T572" s="35" t="n">
        <x:v>1</x:v>
      </x:c>
      <x:c r="U572" s="35" t="n">
        <x:v>0</x:v>
      </x:c>
      <x:c r="V572" s="35" t="n">
        <x:v>6</x:v>
      </x:c>
      <x:c r="W572" s="35" t="n">
        <x:v>15</x:v>
      </x:c>
      <x:c r="X572" s="35" t="n">
        <x:v>74</x:v>
      </x:c>
      <x:c r="Y572" s="35" t="n">
        <x:v>3</x:v>
      </x:c>
      <x:c r="Z572" s="35" t="n">
        <x:v>93</x:v>
      </x:c>
      <x:c r="AA572" s="35" t="n">
        <x:v>5</x:v>
      </x:c>
      <x:c r="AB572" s="35" t="n">
        <x:v>4</x:v>
      </x:c>
      <x:c r="AC572" s="35" t="n">
        <x:v>4</x:v>
      </x:c>
      <x:c r="AD572" s="35" t="n">
        <x:v>70</x:v>
      </x:c>
      <x:c r="AE572" s="35" t="n">
        <x:v>77</x:v>
      </x:c>
      <x:c r="AF572" s="35" t="n">
        <x:v>80</x:v>
      </x:c>
      <x:c r="AG572" s="35" t="n">
        <x:v>86</x:v>
      </x:c>
      <x:c r="AH572" s="35" t="n">
        <x:v>4</x:v>
      </x:c>
      <x:c r="AI572" s="37" t="n">
        <x:v>95.4</x:v>
      </x:c>
      <x:c r="AJ572" s="37" t="n">
        <x:v>83.5</x:v>
      </x:c>
      <x:c r="AK572" s="35" t="str">
        <x:v>Yes</x:v>
      </x:c>
      <x:c r="AL572" s="38" t="n">
        <x:f>IF(AA572=0,0,AB572/AA572)</x:f>
        <x:v>0.8</x:v>
      </x:c>
      <x:c r="AM572" s="38" t="n">
        <x:f>IF(AB572=0,0,AC572/AB572)</x:f>
        <x:v>1</x:v>
      </x:c>
      <x:c r="AN572" s="37" t="n">
        <x:f>ROUND((AD572*0.20+AE572*0.20+AF572*0.25+AG572*0.15+MIN(100,AC572*12)*0.20),1)</x:f>
        <x:v>71.9</x:v>
      </x:c>
      <x:c r="AO572" s="37" t="n">
        <x:f>ROUND(MAX(0,MIN(100,(X572*0.35)+(W572/45*100*0.20)+((5-O572)/4*100*0.15)+((5-P572)/4*100*0.10)+((6-Y572)/5*100*0.10)+((100-Z572)*0.10))),1)</x:f>
        <x:v>55.5</x:v>
      </x:c>
      <x:c r="AP572" s="37" t="str">
        <x:f>IF(AO572&gt;=70,"High",IF(AO572&gt;=40,"Moderate","Low"))</x:f>
        <x:v>Moderate</x:v>
      </x:c>
      <x:c r="AQ572" s="37" t="n">
        <x:f>ROUND(MAX(0,MIN(100,(O572/4*100*0.25)+(P572/4*100*0.20)+(Q572/4*100*0.15)+(Y572/5*100*0.20)+(100-AO572)*0.20)),1)</x:f>
        <x:v>55.9</x:v>
      </x:c>
      <x:c r="AR572" s="37" t="n">
        <x:f>ROUND((AI572*0.20+AJ572*0.15+AN572*0.18+AG572*0.12+Z572*0.15+AQ572*0.20),1)</x:f>
        <x:v>80</x:v>
      </x:c>
      <x:c r="AS572" s="39" t="n">
        <x:f>ROUND((AC572*AF572*120)+(AH572*350)+(MAX(0,AI572-75)*220)+(MAX(0,AQ572-60)*100),0)</x:f>
        <x:v>44288</x:v>
      </x:c>
    </x:row>
    <x:row r="573">
      <x:c r="A573" s="35" t="n">
        <x:v>572</x:v>
      </x:c>
      <x:c r="B573" s="35" t="n">
        <x:v>30</x:v>
      </x:c>
      <x:c r="C573" s="35" t="str">
        <x:v>Female</x:v>
      </x:c>
      <x:c r="D573" s="35" t="str">
        <x:v>Sales</x:v>
      </x:c>
      <x:c r="E573" s="35" t="str">
        <x:v>Sales Executive</x:v>
      </x:c>
      <x:c r="F573" s="35" t="str">
        <x:v>Technical Degree</x:v>
      </x:c>
      <x:c r="G573" s="35" t="str">
        <x:v>Married</x:v>
      </x:c>
      <x:c r="H573" s="35" t="n">
        <x:v>2</x:v>
      </x:c>
      <x:c r="I573" s="36" t="n">
        <x:v>7710</x:v>
      </x:c>
      <x:c r="J573" s="35" t="n">
        <x:v>7</x:v>
      </x:c>
      <x:c r="K573" s="35" t="n">
        <x:v>5</x:v>
      </x:c>
      <x:c r="L573" s="35" t="n">
        <x:v>3</x:v>
      </x:c>
      <x:c r="M573" s="35" t="n">
        <x:v>9</x:v>
      </x:c>
      <x:c r="N573" s="35" t="str">
        <x:v>Yes</x:v>
      </x:c>
      <x:c r="O573" s="35" t="n">
        <x:v>3</x:v>
      </x:c>
      <x:c r="P573" s="35" t="n">
        <x:v>3</x:v>
      </x:c>
      <x:c r="Q573" s="35" t="n">
        <x:v>2</x:v>
      </x:c>
      <x:c r="R573" s="35" t="n">
        <x:v>2</x:v>
      </x:c>
      <x:c r="S573" s="35" t="n">
        <x:v>3</x:v>
      </x:c>
      <x:c r="T573" s="35" t="n">
        <x:v>5</x:v>
      </x:c>
      <x:c r="U573" s="35" t="n">
        <x:v>1</x:v>
      </x:c>
      <x:c r="V573" s="35" t="n">
        <x:v>11</x:v>
      </x:c>
      <x:c r="W573" s="35" t="n">
        <x:v>28</x:v>
      </x:c>
      <x:c r="X573" s="35" t="n">
        <x:v>82</x:v>
      </x:c>
      <x:c r="Y573" s="35" t="n">
        <x:v>4</x:v>
      </x:c>
      <x:c r="Z573" s="35" t="n">
        <x:v>87</x:v>
      </x:c>
      <x:c r="AA573" s="35" t="n">
        <x:v>1</x:v>
      </x:c>
      <x:c r="AB573" s="35" t="n">
        <x:v>1</x:v>
      </x:c>
      <x:c r="AC573" s="35" t="n">
        <x:v>1</x:v>
      </x:c>
      <x:c r="AD573" s="35" t="n">
        <x:v>56</x:v>
      </x:c>
      <x:c r="AE573" s="35" t="n">
        <x:v>67</x:v>
      </x:c>
      <x:c r="AF573" s="35" t="n">
        <x:v>79</x:v>
      </x:c>
      <x:c r="AG573" s="35" t="n">
        <x:v>95</x:v>
      </x:c>
      <x:c r="AH573" s="35" t="n">
        <x:v>5</x:v>
      </x:c>
      <x:c r="AI573" s="37" t="n">
        <x:v>99.8</x:v>
      </x:c>
      <x:c r="AJ573" s="37" t="n">
        <x:v>96.4</x:v>
      </x:c>
      <x:c r="AK573" s="35" t="str">
        <x:v>Yes</x:v>
      </x:c>
      <x:c r="AL573" s="38" t="n">
        <x:f>IF(AA573=0,0,AB573/AA573)</x:f>
        <x:v>1</x:v>
      </x:c>
      <x:c r="AM573" s="38" t="n">
        <x:f>IF(AB573=0,0,AC573/AB573)</x:f>
        <x:v>1</x:v>
      </x:c>
      <x:c r="AN573" s="37" t="n">
        <x:f>ROUND((AD573*0.20+AE573*0.20+AF573*0.25+AG573*0.15+MIN(100,AC573*12)*0.20),1)</x:f>
        <x:v>61</x:v>
      </x:c>
      <x:c r="AO573" s="37" t="n">
        <x:f>ROUND(MAX(0,MIN(100,(X573*0.35)+(W573/45*100*0.20)+((5-O573)/4*100*0.15)+((5-P573)/4*100*0.10)+((6-Y573)/5*100*0.10)+((100-Z573)*0.10))),1)</x:f>
        <x:v>58.9</x:v>
      </x:c>
      <x:c r="AP573" s="37" t="str">
        <x:f>IF(AO573&gt;=70,"High",IF(AO573&gt;=40,"Moderate","Low"))</x:f>
        <x:v>Moderate</x:v>
      </x:c>
      <x:c r="AQ573" s="37" t="n">
        <x:f>ROUND(MAX(0,MIN(100,(O573/4*100*0.25)+(P573/4*100*0.20)+(Q573/4*100*0.15)+(Y573/5*100*0.20)+(100-AO573)*0.20)),1)</x:f>
        <x:v>65.5</x:v>
      </x:c>
      <x:c r="AR573" s="37" t="n">
        <x:f>ROUND((AI573*0.20+AJ573*0.15+AN573*0.18+AG573*0.12+Z573*0.15+AQ573*0.20),1)</x:f>
        <x:v>83</x:v>
      </x:c>
      <x:c r="AS573" s="39" t="n">
        <x:f>ROUND((AC573*AF573*120)+(AH573*350)+(MAX(0,AI573-75)*220)+(MAX(0,AQ573-60)*100),0)</x:f>
        <x:v>17236</x:v>
      </x:c>
    </x:row>
    <x:row r="574">
      <x:c r="A574" s="35" t="n">
        <x:v>573</x:v>
      </x:c>
      <x:c r="B574" s="35" t="n">
        <x:v>44</x:v>
      </x:c>
      <x:c r="C574" s="35" t="str">
        <x:v>Male</x:v>
      </x:c>
      <x:c r="D574" s="35" t="str">
        <x:v>Human Resources</x:v>
      </x:c>
      <x:c r="E574" s="35" t="str">
        <x:v>HR Specialist</x:v>
      </x:c>
      <x:c r="F574" s="35" t="str">
        <x:v>Marketing</x:v>
      </x:c>
      <x:c r="G574" s="35" t="str">
        <x:v>Married</x:v>
      </x:c>
      <x:c r="H574" s="35" t="n">
        <x:v>3</x:v>
      </x:c>
      <x:c r="I574" s="36" t="n">
        <x:v>12620</x:v>
      </x:c>
      <x:c r="J574" s="35" t="n">
        <x:v>11</x:v>
      </x:c>
      <x:c r="K574" s="35" t="n">
        <x:v>8</x:v>
      </x:c>
      <x:c r="L574" s="35" t="n">
        <x:v>3</x:v>
      </x:c>
      <x:c r="M574" s="35" t="n">
        <x:v>5</x:v>
      </x:c>
      <x:c r="N574" s="35" t="str">
        <x:v>No</x:v>
      </x:c>
      <x:c r="O574" s="35" t="n">
        <x:v>3</x:v>
      </x:c>
      <x:c r="P574" s="35" t="n">
        <x:v>2</x:v>
      </x:c>
      <x:c r="Q574" s="35" t="n">
        <x:v>3</x:v>
      </x:c>
      <x:c r="R574" s="35" t="n">
        <x:v>3</x:v>
      </x:c>
      <x:c r="S574" s="35" t="n">
        <x:v>3</x:v>
      </x:c>
      <x:c r="T574" s="35" t="n">
        <x:v>3</x:v>
      </x:c>
      <x:c r="U574" s="35" t="n">
        <x:v>2</x:v>
      </x:c>
      <x:c r="V574" s="35" t="n">
        <x:v>4</x:v>
      </x:c>
      <x:c r="W574" s="35" t="n">
        <x:v>0</x:v>
      </x:c>
      <x:c r="X574" s="35" t="n">
        <x:v>70</x:v>
      </x:c>
      <x:c r="Y574" s="35" t="n">
        <x:v>3</x:v>
      </x:c>
      <x:c r="Z574" s="35" t="n">
        <x:v>99</x:v>
      </x:c>
      <x:c r="AA574" s="35" t="n">
        <x:v>1</x:v>
      </x:c>
      <x:c r="AB574" s="35" t="n">
        <x:v>0</x:v>
      </x:c>
      <x:c r="AC574" s="35" t="n">
        <x:v>0</x:v>
      </x:c>
      <x:c r="AD574" s="35" t="n">
        <x:v>64</x:v>
      </x:c>
      <x:c r="AE574" s="35" t="n">
        <x:v>60</x:v>
      </x:c>
      <x:c r="AF574" s="35" t="n">
        <x:v>58</x:v>
      </x:c>
      <x:c r="AG574" s="35" t="n">
        <x:v>100</x:v>
      </x:c>
      <x:c r="AH574" s="35" t="n">
        <x:v>4</x:v>
      </x:c>
      <x:c r="AI574" s="37" t="n">
        <x:v>100</x:v>
      </x:c>
      <x:c r="AJ574" s="37" t="n">
        <x:v>91.5</x:v>
      </x:c>
      <x:c r="AK574" s="35" t="str">
        <x:v>No</x:v>
      </x:c>
      <x:c r="AL574" s="38" t="n">
        <x:f>IF(AA574=0,0,AB574/AA574)</x:f>
        <x:v>0</x:v>
      </x:c>
      <x:c r="AM574" s="38" t="n">
        <x:f>IF(AB574=0,0,AC574/AB574)</x:f>
        <x:v>0</x:v>
      </x:c>
      <x:c r="AN574" s="37" t="n">
        <x:f>ROUND((AD574*0.20+AE574*0.20+AF574*0.25+AG574*0.15+MIN(100,AC574*12)*0.20),1)</x:f>
        <x:v>54.3</x:v>
      </x:c>
      <x:c r="AO574" s="37" t="n">
        <x:f>ROUND(MAX(0,MIN(100,(X574*0.35)+(W574/45*100*0.20)+((5-O574)/4*100*0.15)+((5-P574)/4*100*0.10)+((6-Y574)/5*100*0.10)+((100-Z574)*0.10))),1)</x:f>
        <x:v>45.6</x:v>
      </x:c>
      <x:c r="AP574" s="37" t="str">
        <x:f>IF(AO574&gt;=70,"High",IF(AO574&gt;=40,"Moderate","Low"))</x:f>
        <x:v>Moderate</x:v>
      </x:c>
      <x:c r="AQ574" s="37" t="n">
        <x:f>ROUND(MAX(0,MIN(100,(O574/4*100*0.25)+(P574/4*100*0.20)+(Q574/4*100*0.15)+(Y574/5*100*0.20)+(100-AO574)*0.20)),1)</x:f>
        <x:v>62.9</x:v>
      </x:c>
      <x:c r="AR574" s="37" t="n">
        <x:f>ROUND((AI574*0.20+AJ574*0.15+AN574*0.18+AG574*0.12+Z574*0.15+AQ574*0.20),1)</x:f>
        <x:v>82.9</x:v>
      </x:c>
      <x:c r="AS574" s="39" t="n">
        <x:f>ROUND((AC574*AF574*120)+(AH574*350)+(MAX(0,AI574-75)*220)+(MAX(0,AQ574-60)*100),0)</x:f>
        <x:v>7190</x:v>
      </x:c>
    </x:row>
    <x:row r="575">
      <x:c r="A575" s="35" t="n">
        <x:v>574</x:v>
      </x:c>
      <x:c r="B575" s="35" t="n">
        <x:v>36</x:v>
      </x:c>
      <x:c r="C575" s="35" t="str">
        <x:v>Male</x:v>
      </x:c>
      <x:c r="D575" s="35" t="str">
        <x:v>Human Resources</x:v>
      </x:c>
      <x:c r="E575" s="35" t="str">
        <x:v>Talent Development Specialist</x:v>
      </x:c>
      <x:c r="F575" s="35" t="str">
        <x:v>Human Resources</x:v>
      </x:c>
      <x:c r="G575" s="35" t="str">
        <x:v>Single</x:v>
      </x:c>
      <x:c r="H575" s="35" t="n">
        <x:v>3</x:v>
      </x:c>
      <x:c r="I575" s="36" t="n">
        <x:v>11260</x:v>
      </x:c>
      <x:c r="J575" s="35" t="n">
        <x:v>13</x:v>
      </x:c>
      <x:c r="K575" s="35" t="n">
        <x:v>3</x:v>
      </x:c>
      <x:c r="L575" s="35" t="n">
        <x:v>2</x:v>
      </x:c>
      <x:c r="M575" s="35" t="n">
        <x:v>7</x:v>
      </x:c>
      <x:c r="N575" s="35" t="str">
        <x:v>No</x:v>
      </x:c>
      <x:c r="O575" s="35" t="n">
        <x:v>4</x:v>
      </x:c>
      <x:c r="P575" s="35" t="n">
        <x:v>2</x:v>
      </x:c>
      <x:c r="Q575" s="35" t="n">
        <x:v>2</x:v>
      </x:c>
      <x:c r="R575" s="35" t="n">
        <x:v>3</x:v>
      </x:c>
      <x:c r="S575" s="35" t="n">
        <x:v>3</x:v>
      </x:c>
      <x:c r="T575" s="35" t="n">
        <x:v>4</x:v>
      </x:c>
      <x:c r="U575" s="35" t="n">
        <x:v>0</x:v>
      </x:c>
      <x:c r="V575" s="35" t="n">
        <x:v>15</x:v>
      </x:c>
      <x:c r="W575" s="35" t="n">
        <x:v>10</x:v>
      </x:c>
      <x:c r="X575" s="35" t="n">
        <x:v>67</x:v>
      </x:c>
      <x:c r="Y575" s="35" t="n">
        <x:v>4</x:v>
      </x:c>
      <x:c r="Z575" s="35" t="n">
        <x:v>93</x:v>
      </x:c>
      <x:c r="AA575" s="35" t="n">
        <x:v>3</x:v>
      </x:c>
      <x:c r="AB575" s="35" t="n">
        <x:v>3</x:v>
      </x:c>
      <x:c r="AC575" s="35" t="n">
        <x:v>2</x:v>
      </x:c>
      <x:c r="AD575" s="35" t="n">
        <x:v>68</x:v>
      </x:c>
      <x:c r="AE575" s="35" t="n">
        <x:v>79</x:v>
      </x:c>
      <x:c r="AF575" s="35" t="n">
        <x:v>75</x:v>
      </x:c>
      <x:c r="AG575" s="35" t="n">
        <x:v>93</x:v>
      </x:c>
      <x:c r="AH575" s="35" t="n">
        <x:v>5</x:v>
      </x:c>
      <x:c r="AI575" s="37" t="n">
        <x:v>95.9</x:v>
      </x:c>
      <x:c r="AJ575" s="37" t="n">
        <x:v>90.5</x:v>
      </x:c>
      <x:c r="AK575" s="35" t="str">
        <x:v>No</x:v>
      </x:c>
      <x:c r="AL575" s="38" t="n">
        <x:f>IF(AA575=0,0,AB575/AA575)</x:f>
        <x:v>1</x:v>
      </x:c>
      <x:c r="AM575" s="38" t="n">
        <x:f>IF(AB575=0,0,AC575/AB575)</x:f>
        <x:v>0.6666666666666666</x:v>
      </x:c>
      <x:c r="AN575" s="37" t="n">
        <x:f>ROUND((AD575*0.20+AE575*0.20+AF575*0.25+AG575*0.15+MIN(100,AC575*12)*0.20),1)</x:f>
        <x:v>66.9</x:v>
      </x:c>
      <x:c r="AO575" s="37" t="n">
        <x:f>ROUND(MAX(0,MIN(100,(X575*0.35)+(W575/45*100*0.20)+((5-O575)/4*100*0.15)+((5-P575)/4*100*0.10)+((6-Y575)/5*100*0.10)+((100-Z575)*0.10))),1)</x:f>
        <x:v>43.8</x:v>
      </x:c>
      <x:c r="AP575" s="37" t="str">
        <x:f>IF(AO575&gt;=70,"High",IF(AO575&gt;=40,"Moderate","Low"))</x:f>
        <x:v>Moderate</x:v>
      </x:c>
      <x:c r="AQ575" s="37" t="n">
        <x:f>ROUND(MAX(0,MIN(100,(O575/4*100*0.25)+(P575/4*100*0.20)+(Q575/4*100*0.15)+(Y575/5*100*0.20)+(100-AO575)*0.20)),1)</x:f>
        <x:v>69.7</x:v>
      </x:c>
      <x:c r="AR575" s="37" t="n">
        <x:f>ROUND((AI575*0.20+AJ575*0.15+AN575*0.18+AG575*0.12+Z575*0.15+AQ575*0.20),1)</x:f>
        <x:v>83.8</x:v>
      </x:c>
      <x:c r="AS575" s="39" t="n">
        <x:f>ROUND((AC575*AF575*120)+(AH575*350)+(MAX(0,AI575-75)*220)+(MAX(0,AQ575-60)*100),0)</x:f>
        <x:v>25318</x:v>
      </x:c>
    </x:row>
    <x:row r="576">
      <x:c r="A576" s="35" t="n">
        <x:v>575</x:v>
      </x:c>
      <x:c r="B576" s="35" t="n">
        <x:v>40</x:v>
      </x:c>
      <x:c r="C576" s="35" t="str">
        <x:v>Female</x:v>
      </x:c>
      <x:c r="D576" s="35" t="str">
        <x:v>Information Technology</x:v>
      </x:c>
      <x:c r="E576" s="35" t="str">
        <x:v>IT Manager</x:v>
      </x:c>
      <x:c r="F576" s="35" t="str">
        <x:v>Human Resources</x:v>
      </x:c>
      <x:c r="G576" s="35" t="str">
        <x:v>Married</x:v>
      </x:c>
      <x:c r="H576" s="35" t="n">
        <x:v>3</x:v>
      </x:c>
      <x:c r="I576" s="36" t="n">
        <x:v>15690</x:v>
      </x:c>
      <x:c r="J576" s="35" t="n">
        <x:v>13</x:v>
      </x:c>
      <x:c r="K576" s="35" t="n">
        <x:v>9</x:v>
      </x:c>
      <x:c r="L576" s="35" t="n">
        <x:v>3</x:v>
      </x:c>
      <x:c r="M576" s="35" t="n">
        <x:v>5</x:v>
      </x:c>
      <x:c r="N576" s="35" t="str">
        <x:v>No</x:v>
      </x:c>
      <x:c r="O576" s="35" t="n">
        <x:v>3</x:v>
      </x:c>
      <x:c r="P576" s="35" t="n">
        <x:v>4</x:v>
      </x:c>
      <x:c r="Q576" s="35" t="n">
        <x:v>4</x:v>
      </x:c>
      <x:c r="R576" s="35" t="n">
        <x:v>3</x:v>
      </x:c>
      <x:c r="S576" s="35" t="n">
        <x:v>3</x:v>
      </x:c>
      <x:c r="T576" s="35" t="n">
        <x:v>3</x:v>
      </x:c>
      <x:c r="U576" s="35" t="n">
        <x:v>2</x:v>
      </x:c>
      <x:c r="V576" s="35" t="n">
        <x:v>4</x:v>
      </x:c>
      <x:c r="W576" s="35" t="n">
        <x:v>15</x:v>
      </x:c>
      <x:c r="X576" s="35" t="n">
        <x:v>61</x:v>
      </x:c>
      <x:c r="Y576" s="35" t="n">
        <x:v>4</x:v>
      </x:c>
      <x:c r="Z576" s="35" t="n">
        <x:v>100</x:v>
      </x:c>
      <x:c r="AA576" s="35" t="n">
        <x:v>3</x:v>
      </x:c>
      <x:c r="AB576" s="35" t="n">
        <x:v>3</x:v>
      </x:c>
      <x:c r="AC576" s="35" t="n">
        <x:v>3</x:v>
      </x:c>
      <x:c r="AD576" s="35" t="n">
        <x:v>66</x:v>
      </x:c>
      <x:c r="AE576" s="35" t="n">
        <x:v>78</x:v>
      </x:c>
      <x:c r="AF576" s="35" t="n">
        <x:v>93</x:v>
      </x:c>
      <x:c r="AG576" s="35" t="n">
        <x:v>91</x:v>
      </x:c>
      <x:c r="AH576" s="35" t="n">
        <x:v>6</x:v>
      </x:c>
      <x:c r="AI576" s="37" t="n">
        <x:v>100</x:v>
      </x:c>
      <x:c r="AJ576" s="37" t="n">
        <x:v>95.2</x:v>
      </x:c>
      <x:c r="AK576" s="35" t="str">
        <x:v>No</x:v>
      </x:c>
      <x:c r="AL576" s="38" t="n">
        <x:f>IF(AA576=0,0,AB576/AA576)</x:f>
        <x:v>1</x:v>
      </x:c>
      <x:c r="AM576" s="38" t="n">
        <x:f>IF(AB576=0,0,AC576/AB576)</x:f>
        <x:v>1</x:v>
      </x:c>
      <x:c r="AN576" s="37" t="n">
        <x:f>ROUND((AD576*0.20+AE576*0.20+AF576*0.25+AG576*0.15+MIN(100,AC576*12)*0.20),1)</x:f>
        <x:v>72.9</x:v>
      </x:c>
      <x:c r="AO576" s="37" t="n">
        <x:f>ROUND(MAX(0,MIN(100,(X576*0.35)+(W576/45*100*0.20)+((5-O576)/4*100*0.15)+((5-P576)/4*100*0.10)+((6-Y576)/5*100*0.10)+((100-Z576)*0.10))),1)</x:f>
        <x:v>42</x:v>
      </x:c>
      <x:c r="AP576" s="37" t="str">
        <x:f>IF(AO576&gt;=70,"High",IF(AO576&gt;=40,"Moderate","Low"))</x:f>
        <x:v>Moderate</x:v>
      </x:c>
      <x:c r="AQ576" s="37" t="n">
        <x:f>ROUND(MAX(0,MIN(100,(O576/4*100*0.25)+(P576/4*100*0.20)+(Q576/4*100*0.15)+(Y576/5*100*0.20)+(100-AO576)*0.20)),1)</x:f>
        <x:v>81.4</x:v>
      </x:c>
      <x:c r="AR576" s="37" t="n">
        <x:f>ROUND((AI576*0.20+AJ576*0.15+AN576*0.18+AG576*0.12+Z576*0.15+AQ576*0.20),1)</x:f>
        <x:v>89.6</x:v>
      </x:c>
      <x:c r="AS576" s="39" t="n">
        <x:f>ROUND((AC576*AF576*120)+(AH576*350)+(MAX(0,AI576-75)*220)+(MAX(0,AQ576-60)*100),0)</x:f>
        <x:v>43220</x:v>
      </x:c>
    </x:row>
    <x:row r="577">
      <x:c r="A577" s="35" t="n">
        <x:v>576</x:v>
      </x:c>
      <x:c r="B577" s="35" t="n">
        <x:v>38</x:v>
      </x:c>
      <x:c r="C577" s="35" t="str">
        <x:v>Female</x:v>
      </x:c>
      <x:c r="D577" s="35" t="str">
        <x:v>Sales</x:v>
      </x:c>
      <x:c r="E577" s="35" t="str">
        <x:v>Account Manager</x:v>
      </x:c>
      <x:c r="F577" s="35" t="str">
        <x:v>Marketing</x:v>
      </x:c>
      <x:c r="G577" s="35" t="str">
        <x:v>Married</x:v>
      </x:c>
      <x:c r="H577" s="35" t="n">
        <x:v>2</x:v>
      </x:c>
      <x:c r="I577" s="36" t="n">
        <x:v>9170</x:v>
      </x:c>
      <x:c r="J577" s="35" t="n">
        <x:v>9</x:v>
      </x:c>
      <x:c r="K577" s="35" t="n">
        <x:v>3</x:v>
      </x:c>
      <x:c r="L577" s="35" t="n">
        <x:v>2</x:v>
      </x:c>
      <x:c r="M577" s="35" t="n">
        <x:v>6</x:v>
      </x:c>
      <x:c r="N577" s="35" t="str">
        <x:v>Yes</x:v>
      </x:c>
      <x:c r="O577" s="35" t="n">
        <x:v>3</x:v>
      </x:c>
      <x:c r="P577" s="35" t="n">
        <x:v>3</x:v>
      </x:c>
      <x:c r="Q577" s="35" t="n">
        <x:v>4</x:v>
      </x:c>
      <x:c r="R577" s="35" t="n">
        <x:v>4</x:v>
      </x:c>
      <x:c r="S577" s="35" t="n">
        <x:v>3</x:v>
      </x:c>
      <x:c r="T577" s="35" t="n">
        <x:v>2</x:v>
      </x:c>
      <x:c r="U577" s="35" t="n">
        <x:v>1</x:v>
      </x:c>
      <x:c r="V577" s="35" t="n">
        <x:v>4</x:v>
      </x:c>
      <x:c r="W577" s="35" t="n">
        <x:v>15</x:v>
      </x:c>
      <x:c r="X577" s="35" t="n">
        <x:v>76</x:v>
      </x:c>
      <x:c r="Y577" s="35" t="n">
        <x:v>5</x:v>
      </x:c>
      <x:c r="Z577" s="35" t="n">
        <x:v>100</x:v>
      </x:c>
      <x:c r="AA577" s="35" t="n">
        <x:v>8</x:v>
      </x:c>
      <x:c r="AB577" s="35" t="n">
        <x:v>6</x:v>
      </x:c>
      <x:c r="AC577" s="35" t="n">
        <x:v>4</x:v>
      </x:c>
      <x:c r="AD577" s="35" t="n">
        <x:v>65</x:v>
      </x:c>
      <x:c r="AE577" s="35" t="n">
        <x:v>63</x:v>
      </x:c>
      <x:c r="AF577" s="35" t="n">
        <x:v>56</x:v>
      </x:c>
      <x:c r="AG577" s="35" t="n">
        <x:v>99</x:v>
      </x:c>
      <x:c r="AH577" s="35" t="n">
        <x:v>9</x:v>
      </x:c>
      <x:c r="AI577" s="37" t="n">
        <x:v>100</x:v>
      </x:c>
      <x:c r="AJ577" s="37" t="n">
        <x:v>100</x:v>
      </x:c>
      <x:c r="AK577" s="35" t="str">
        <x:v>No</x:v>
      </x:c>
      <x:c r="AL577" s="38" t="n">
        <x:f>IF(AA577=0,0,AB577/AA577)</x:f>
        <x:v>0.75</x:v>
      </x:c>
      <x:c r="AM577" s="38" t="n">
        <x:f>IF(AB577=0,0,AC577/AB577)</x:f>
        <x:v>0.6666666666666666</x:v>
      </x:c>
      <x:c r="AN577" s="37" t="n">
        <x:f>ROUND((AD577*0.20+AE577*0.20+AF577*0.25+AG577*0.15+MIN(100,AC577*12)*0.20),1)</x:f>
        <x:v>64.1</x:v>
      </x:c>
      <x:c r="AO577" s="37" t="n">
        <x:f>ROUND(MAX(0,MIN(100,(X577*0.35)+(W577/45*100*0.20)+((5-O577)/4*100*0.15)+((5-P577)/4*100*0.10)+((6-Y577)/5*100*0.10)+((100-Z577)*0.10))),1)</x:f>
        <x:v>47.8</x:v>
      </x:c>
      <x:c r="AP577" s="37" t="str">
        <x:f>IF(AO577&gt;=70,"High",IF(AO577&gt;=40,"Moderate","Low"))</x:f>
        <x:v>Moderate</x:v>
      </x:c>
      <x:c r="AQ577" s="37" t="n">
        <x:f>ROUND(MAX(0,MIN(100,(O577/4*100*0.25)+(P577/4*100*0.20)+(Q577/4*100*0.15)+(Y577/5*100*0.20)+(100-AO577)*0.20)),1)</x:f>
        <x:v>79.2</x:v>
      </x:c>
      <x:c r="AR577" s="37" t="n">
        <x:f>ROUND((AI577*0.20+AJ577*0.15+AN577*0.18+AG577*0.12+Z577*0.15+AQ577*0.20),1)</x:f>
        <x:v>89.3</x:v>
      </x:c>
      <x:c r="AS577" s="39" t="n">
        <x:f>ROUND((AC577*AF577*120)+(AH577*350)+(MAX(0,AI577-75)*220)+(MAX(0,AQ577-60)*100),0)</x:f>
        <x:v>37450</x:v>
      </x:c>
    </x:row>
    <x:row r="578">
      <x:c r="A578" s="35" t="n">
        <x:v>577</x:v>
      </x:c>
      <x:c r="B578" s="35" t="n">
        <x:v>33</x:v>
      </x:c>
      <x:c r="C578" s="35" t="str">
        <x:v>Female</x:v>
      </x:c>
      <x:c r="D578" s="35" t="str">
        <x:v>Research &amp; Development</x:v>
      </x:c>
      <x:c r="E578" s="35" t="str">
        <x:v>R&amp;D Manager</x:v>
      </x:c>
      <x:c r="F578" s="35" t="str">
        <x:v>Life Sciences</x:v>
      </x:c>
      <x:c r="G578" s="35" t="str">
        <x:v>Single</x:v>
      </x:c>
      <x:c r="H578" s="35" t="n">
        <x:v>1</x:v>
      </x:c>
      <x:c r="I578" s="36" t="n">
        <x:v>5890</x:v>
      </x:c>
      <x:c r="J578" s="35" t="n">
        <x:v>8</x:v>
      </x:c>
      <x:c r="K578" s="35" t="n">
        <x:v>5</x:v>
      </x:c>
      <x:c r="L578" s="35" t="n">
        <x:v>1</x:v>
      </x:c>
      <x:c r="M578" s="35" t="n">
        <x:v>6</x:v>
      </x:c>
      <x:c r="N578" s="35" t="str">
        <x:v>No</x:v>
      </x:c>
      <x:c r="O578" s="35" t="n">
        <x:v>3</x:v>
      </x:c>
      <x:c r="P578" s="35" t="n">
        <x:v>3</x:v>
      </x:c>
      <x:c r="Q578" s="35" t="n">
        <x:v>3</x:v>
      </x:c>
      <x:c r="R578" s="35" t="n">
        <x:v>3</x:v>
      </x:c>
      <x:c r="S578" s="35" t="n">
        <x:v>4</x:v>
      </x:c>
      <x:c r="T578" s="35" t="n">
        <x:v>4</x:v>
      </x:c>
      <x:c r="U578" s="35" t="n">
        <x:v>1</x:v>
      </x:c>
      <x:c r="V578" s="35" t="n">
        <x:v>9</x:v>
      </x:c>
      <x:c r="W578" s="35" t="n">
        <x:v>13</x:v>
      </x:c>
      <x:c r="X578" s="35" t="n">
        <x:v>57</x:v>
      </x:c>
      <x:c r="Y578" s="35" t="n">
        <x:v>5</x:v>
      </x:c>
      <x:c r="Z578" s="35" t="n">
        <x:v>99</x:v>
      </x:c>
      <x:c r="AA578" s="35" t="n">
        <x:v>4</x:v>
      </x:c>
      <x:c r="AB578" s="35" t="n">
        <x:v>4</x:v>
      </x:c>
      <x:c r="AC578" s="35" t="n">
        <x:v>3</x:v>
      </x:c>
      <x:c r="AD578" s="35" t="n">
        <x:v>75</x:v>
      </x:c>
      <x:c r="AE578" s="35" t="n">
        <x:v>89</x:v>
      </x:c>
      <x:c r="AF578" s="35" t="n">
        <x:v>89</x:v>
      </x:c>
      <x:c r="AG578" s="35" t="n">
        <x:v>94</x:v>
      </x:c>
      <x:c r="AH578" s="35" t="n">
        <x:v>10</x:v>
      </x:c>
      <x:c r="AI578" s="37" t="n">
        <x:v>95.9</x:v>
      </x:c>
      <x:c r="AJ578" s="37" t="n">
        <x:v>96.7</x:v>
      </x:c>
      <x:c r="AK578" s="35" t="str">
        <x:v>No</x:v>
      </x:c>
      <x:c r="AL578" s="38" t="n">
        <x:f>IF(AA578=0,0,AB578/AA578)</x:f>
        <x:v>1</x:v>
      </x:c>
      <x:c r="AM578" s="38" t="n">
        <x:f>IF(AB578=0,0,AC578/AB578)</x:f>
        <x:v>0.75</x:v>
      </x:c>
      <x:c r="AN578" s="37" t="n">
        <x:f>ROUND((AD578*0.20+AE578*0.20+AF578*0.25+AG578*0.15+MIN(100,AC578*12)*0.20),1)</x:f>
        <x:v>76.4</x:v>
      </x:c>
      <x:c r="AO578" s="37" t="n">
        <x:f>ROUND(MAX(0,MIN(100,(X578*0.35)+(W578/45*100*0.20)+((5-O578)/4*100*0.15)+((5-P578)/4*100*0.10)+((6-Y578)/5*100*0.10)+((100-Z578)*0.10))),1)</x:f>
        <x:v>40.3</x:v>
      </x:c>
      <x:c r="AP578" s="37" t="str">
        <x:f>IF(AO578&gt;=70,"High",IF(AO578&gt;=40,"Moderate","Low"))</x:f>
        <x:v>Moderate</x:v>
      </x:c>
      <x:c r="AQ578" s="37" t="n">
        <x:f>ROUND(MAX(0,MIN(100,(O578/4*100*0.25)+(P578/4*100*0.20)+(Q578/4*100*0.15)+(Y578/5*100*0.20)+(100-AO578)*0.20)),1)</x:f>
        <x:v>76.9</x:v>
      </x:c>
      <x:c r="AR578" s="37" t="n">
        <x:f>ROUND((AI578*0.20+AJ578*0.15+AN578*0.18+AG578*0.12+Z578*0.15+AQ578*0.20),1)</x:f>
        <x:v>88.9</x:v>
      </x:c>
      <x:c r="AS578" s="39" t="n">
        <x:f>ROUND((AC578*AF578*120)+(AH578*350)+(MAX(0,AI578-75)*220)+(MAX(0,AQ578-60)*100),0)</x:f>
        <x:v>41828</x:v>
      </x:c>
    </x:row>
    <x:row r="579">
      <x:c r="A579" s="35" t="n">
        <x:v>578</x:v>
      </x:c>
      <x:c r="B579" s="35" t="n">
        <x:v>27</x:v>
      </x:c>
      <x:c r="C579" s="35" t="str">
        <x:v>Female</x:v>
      </x:c>
      <x:c r="D579" s="35" t="str">
        <x:v>Operations</x:v>
      </x:c>
      <x:c r="E579" s="35" t="str">
        <x:v>Operations Manager</x:v>
      </x:c>
      <x:c r="F579" s="35" t="str">
        <x:v>Business</x:v>
      </x:c>
      <x:c r="G579" s="35" t="str">
        <x:v>Married</x:v>
      </x:c>
      <x:c r="H579" s="35" t="n">
        <x:v>2</x:v>
      </x:c>
      <x:c r="I579" s="36" t="n">
        <x:v>7440</x:v>
      </x:c>
      <x:c r="J579" s="35" t="n">
        <x:v>3</x:v>
      </x:c>
      <x:c r="K579" s="35" t="n">
        <x:v>2</x:v>
      </x:c>
      <x:c r="L579" s="35" t="n">
        <x:v>1</x:v>
      </x:c>
      <x:c r="M579" s="35" t="n">
        <x:v>15</x:v>
      </x:c>
      <x:c r="N579" s="35" t="str">
        <x:v>No</x:v>
      </x:c>
      <x:c r="O579" s="35" t="n">
        <x:v>3</x:v>
      </x:c>
      <x:c r="P579" s="35" t="n">
        <x:v>3</x:v>
      </x:c>
      <x:c r="Q579" s="35" t="n">
        <x:v>3</x:v>
      </x:c>
      <x:c r="R579" s="35" t="n">
        <x:v>3</x:v>
      </x:c>
      <x:c r="S579" s="35" t="n">
        <x:v>3</x:v>
      </x:c>
      <x:c r="T579" s="35" t="n">
        <x:v>3</x:v>
      </x:c>
      <x:c r="U579" s="35" t="n">
        <x:v>0</x:v>
      </x:c>
      <x:c r="V579" s="35" t="n">
        <x:v>2</x:v>
      </x:c>
      <x:c r="W579" s="35" t="n">
        <x:v>0</x:v>
      </x:c>
      <x:c r="X579" s="35" t="n">
        <x:v>54</x:v>
      </x:c>
      <x:c r="Y579" s="35" t="n">
        <x:v>4</x:v>
      </x:c>
      <x:c r="Z579" s="35" t="n">
        <x:v>100</x:v>
      </x:c>
      <x:c r="AA579" s="35" t="n">
        <x:v>2</x:v>
      </x:c>
      <x:c r="AB579" s="35" t="n">
        <x:v>2</x:v>
      </x:c>
      <x:c r="AC579" s="35" t="n">
        <x:v>2</x:v>
      </x:c>
      <x:c r="AD579" s="35" t="n">
        <x:v>65</x:v>
      </x:c>
      <x:c r="AE579" s="35" t="n">
        <x:v>66</x:v>
      </x:c>
      <x:c r="AF579" s="35" t="n">
        <x:v>90</x:v>
      </x:c>
      <x:c r="AG579" s="35" t="n">
        <x:v>78</x:v>
      </x:c>
      <x:c r="AH579" s="35" t="n">
        <x:v>4</x:v>
      </x:c>
      <x:c r="AI579" s="37" t="n">
        <x:v>96.8</x:v>
      </x:c>
      <x:c r="AJ579" s="37" t="n">
        <x:v>91.2</x:v>
      </x:c>
      <x:c r="AK579" s="35" t="str">
        <x:v>No</x:v>
      </x:c>
      <x:c r="AL579" s="38" t="n">
        <x:f>IF(AA579=0,0,AB579/AA579)</x:f>
        <x:v>1</x:v>
      </x:c>
      <x:c r="AM579" s="38" t="n">
        <x:f>IF(AB579=0,0,AC579/AB579)</x:f>
        <x:v>1</x:v>
      </x:c>
      <x:c r="AN579" s="37" t="n">
        <x:f>ROUND((AD579*0.20+AE579*0.20+AF579*0.25+AG579*0.15+MIN(100,AC579*12)*0.20),1)</x:f>
        <x:v>65.2</x:v>
      </x:c>
      <x:c r="AO579" s="37" t="n">
        <x:f>ROUND(MAX(0,MIN(100,(X579*0.35)+(W579/45*100*0.20)+((5-O579)/4*100*0.15)+((5-P579)/4*100*0.10)+((6-Y579)/5*100*0.10)+((100-Z579)*0.10))),1)</x:f>
        <x:v>35.4</x:v>
      </x:c>
      <x:c r="AP579" s="37" t="str">
        <x:f>IF(AO579&gt;=70,"High",IF(AO579&gt;=40,"Moderate","Low"))</x:f>
        <x:v>Low</x:v>
      </x:c>
      <x:c r="AQ579" s="37" t="n">
        <x:f>ROUND(MAX(0,MIN(100,(O579/4*100*0.25)+(P579/4*100*0.20)+(Q579/4*100*0.15)+(Y579/5*100*0.20)+(100-AO579)*0.20)),1)</x:f>
        <x:v>73.9</x:v>
      </x:c>
      <x:c r="AR579" s="37" t="n">
        <x:f>ROUND((AI579*0.20+AJ579*0.15+AN579*0.18+AG579*0.12+Z579*0.15+AQ579*0.20),1)</x:f>
        <x:v>83.9</x:v>
      </x:c>
      <x:c r="AS579" s="39" t="n">
        <x:f>ROUND((AC579*AF579*120)+(AH579*350)+(MAX(0,AI579-75)*220)+(MAX(0,AQ579-60)*100),0)</x:f>
        <x:v>29186</x:v>
      </x:c>
    </x:row>
    <x:row r="580">
      <x:c r="A580" s="35" t="n">
        <x:v>579</x:v>
      </x:c>
      <x:c r="B580" s="35" t="n">
        <x:v>35</x:v>
      </x:c>
      <x:c r="C580" s="35" t="str">
        <x:v>Female</x:v>
      </x:c>
      <x:c r="D580" s="35" t="str">
        <x:v>Research &amp; Development</x:v>
      </x:c>
      <x:c r="E580" s="35" t="str">
        <x:v>Data Scientist</x:v>
      </x:c>
      <x:c r="F580" s="35" t="str">
        <x:v>Marketing</x:v>
      </x:c>
      <x:c r="G580" s="35" t="str">
        <x:v>Married</x:v>
      </x:c>
      <x:c r="H580" s="35" t="n">
        <x:v>2</x:v>
      </x:c>
      <x:c r="I580" s="36" t="n">
        <x:v>7620</x:v>
      </x:c>
      <x:c r="J580" s="35" t="n">
        <x:v>12</x:v>
      </x:c>
      <x:c r="K580" s="35" t="n">
        <x:v>8</x:v>
      </x:c>
      <x:c r="L580" s="35" t="n">
        <x:v>4</x:v>
      </x:c>
      <x:c r="M580" s="35" t="n">
        <x:v>9</x:v>
      </x:c>
      <x:c r="N580" s="35" t="str">
        <x:v>No</x:v>
      </x:c>
      <x:c r="O580" s="35" t="n">
        <x:v>4</x:v>
      </x:c>
      <x:c r="P580" s="35" t="n">
        <x:v>2</x:v>
      </x:c>
      <x:c r="Q580" s="35" t="n">
        <x:v>4</x:v>
      </x:c>
      <x:c r="R580" s="35" t="n">
        <x:v>3</x:v>
      </x:c>
      <x:c r="S580" s="35" t="n">
        <x:v>4</x:v>
      </x:c>
      <x:c r="T580" s="35" t="n">
        <x:v>4</x:v>
      </x:c>
      <x:c r="U580" s="35" t="n">
        <x:v>1</x:v>
      </x:c>
      <x:c r="V580" s="35" t="n">
        <x:v>8</x:v>
      </x:c>
      <x:c r="W580" s="35" t="n">
        <x:v>6</x:v>
      </x:c>
      <x:c r="X580" s="35" t="n">
        <x:v>67</x:v>
      </x:c>
      <x:c r="Y580" s="35" t="n">
        <x:v>3</x:v>
      </x:c>
      <x:c r="Z580" s="35" t="n">
        <x:v>86</x:v>
      </x:c>
      <x:c r="AA580" s="35" t="n">
        <x:v>7</x:v>
      </x:c>
      <x:c r="AB580" s="35" t="n">
        <x:v>7</x:v>
      </x:c>
      <x:c r="AC580" s="35" t="n">
        <x:v>5</x:v>
      </x:c>
      <x:c r="AD580" s="35" t="n">
        <x:v>89</x:v>
      </x:c>
      <x:c r="AE580" s="35" t="n">
        <x:v>87</x:v>
      </x:c>
      <x:c r="AF580" s="35" t="n">
        <x:v>81</x:v>
      </x:c>
      <x:c r="AG580" s="35" t="n">
        <x:v>100</x:v>
      </x:c>
      <x:c r="AH580" s="35" t="n">
        <x:v>12</x:v>
      </x:c>
      <x:c r="AI580" s="37" t="n">
        <x:v>99.8</x:v>
      </x:c>
      <x:c r="AJ580" s="37" t="n">
        <x:v>98.3</x:v>
      </x:c>
      <x:c r="AK580" s="35" t="str">
        <x:v>No</x:v>
      </x:c>
      <x:c r="AL580" s="38" t="n">
        <x:f>IF(AA580=0,0,AB580/AA580)</x:f>
        <x:v>1</x:v>
      </x:c>
      <x:c r="AM580" s="38" t="n">
        <x:f>IF(AB580=0,0,AC580/AB580)</x:f>
        <x:v>0.7142857142857143</x:v>
      </x:c>
      <x:c r="AN580" s="37" t="n">
        <x:f>ROUND((AD580*0.20+AE580*0.20+AF580*0.25+AG580*0.15+MIN(100,AC580*12)*0.20),1)</x:f>
        <x:v>82.5</x:v>
      </x:c>
      <x:c r="AO580" s="37" t="n">
        <x:f>ROUND(MAX(0,MIN(100,(X580*0.35)+(W580/45*100*0.20)+((5-O580)/4*100*0.15)+((5-P580)/4*100*0.10)+((6-Y580)/5*100*0.10)+((100-Z580)*0.10))),1)</x:f>
        <x:v>44.8</x:v>
      </x:c>
      <x:c r="AP580" s="37" t="str">
        <x:f>IF(AO580&gt;=70,"High",IF(AO580&gt;=40,"Moderate","Low"))</x:f>
        <x:v>Moderate</x:v>
      </x:c>
      <x:c r="AQ580" s="37" t="n">
        <x:f>ROUND(MAX(0,MIN(100,(O580/4*100*0.25)+(P580/4*100*0.20)+(Q580/4*100*0.15)+(Y580/5*100*0.20)+(100-AO580)*0.20)),1)</x:f>
        <x:v>73</x:v>
      </x:c>
      <x:c r="AR580" s="37" t="n">
        <x:f>ROUND((AI580*0.20+AJ580*0.15+AN580*0.18+AG580*0.12+Z580*0.15+AQ580*0.20),1)</x:f>
        <x:v>89.1</x:v>
      </x:c>
      <x:c r="AS580" s="39" t="n">
        <x:f>ROUND((AC580*AF580*120)+(AH580*350)+(MAX(0,AI580-75)*220)+(MAX(0,AQ580-60)*100),0)</x:f>
        <x:v>59556</x:v>
      </x:c>
    </x:row>
    <x:row r="581">
      <x:c r="A581" s="35" t="n">
        <x:v>580</x:v>
      </x:c>
      <x:c r="B581" s="35" t="n">
        <x:v>33</x:v>
      </x:c>
      <x:c r="C581" s="35" t="str">
        <x:v>Female</x:v>
      </x:c>
      <x:c r="D581" s="35" t="str">
        <x:v>Sales</x:v>
      </x:c>
      <x:c r="E581" s="35" t="str">
        <x:v>Sales Executive</x:v>
      </x:c>
      <x:c r="F581" s="35" t="str">
        <x:v>Life Sciences</x:v>
      </x:c>
      <x:c r="G581" s="35" t="str">
        <x:v>Married</x:v>
      </x:c>
      <x:c r="H581" s="35" t="n">
        <x:v>2</x:v>
      </x:c>
      <x:c r="I581" s="36" t="n">
        <x:v>10040</x:v>
      </x:c>
      <x:c r="J581" s="35" t="n">
        <x:v>9</x:v>
      </x:c>
      <x:c r="K581" s="35" t="n">
        <x:v>7</x:v>
      </x:c>
      <x:c r="L581" s="35" t="n">
        <x:v>3</x:v>
      </x:c>
      <x:c r="M581" s="35" t="n">
        <x:v>2</x:v>
      </x:c>
      <x:c r="N581" s="35" t="str">
        <x:v>Yes</x:v>
      </x:c>
      <x:c r="O581" s="35" t="n">
        <x:v>4</x:v>
      </x:c>
      <x:c r="P581" s="35" t="n">
        <x:v>4</x:v>
      </x:c>
      <x:c r="Q581" s="35" t="n">
        <x:v>3</x:v>
      </x:c>
      <x:c r="R581" s="35" t="n">
        <x:v>3</x:v>
      </x:c>
      <x:c r="S581" s="35" t="n">
        <x:v>3</x:v>
      </x:c>
      <x:c r="T581" s="35" t="n">
        <x:v>4</x:v>
      </x:c>
      <x:c r="U581" s="35" t="n">
        <x:v>0</x:v>
      </x:c>
      <x:c r="V581" s="35" t="n">
        <x:v>4</x:v>
      </x:c>
      <x:c r="W581" s="35" t="n">
        <x:v>14</x:v>
      </x:c>
      <x:c r="X581" s="35" t="n">
        <x:v>63</x:v>
      </x:c>
      <x:c r="Y581" s="35" t="n">
        <x:v>4</x:v>
      </x:c>
      <x:c r="Z581" s="35" t="n">
        <x:v>100</x:v>
      </x:c>
      <x:c r="AA581" s="35" t="n">
        <x:v>7</x:v>
      </x:c>
      <x:c r="AB581" s="35" t="n">
        <x:v>6</x:v>
      </x:c>
      <x:c r="AC581" s="35" t="n">
        <x:v>5</x:v>
      </x:c>
      <x:c r="AD581" s="35" t="n">
        <x:v>78</x:v>
      </x:c>
      <x:c r="AE581" s="35" t="n">
        <x:v>69</x:v>
      </x:c>
      <x:c r="AF581" s="35" t="n">
        <x:v>81</x:v>
      </x:c>
      <x:c r="AG581" s="35" t="n">
        <x:v>81</x:v>
      </x:c>
      <x:c r="AH581" s="35" t="n">
        <x:v>8</x:v>
      </x:c>
      <x:c r="AI581" s="37" t="n">
        <x:v>100</x:v>
      </x:c>
      <x:c r="AJ581" s="37" t="n">
        <x:v>92.2</x:v>
      </x:c>
      <x:c r="AK581" s="35" t="str">
        <x:v>No</x:v>
      </x:c>
      <x:c r="AL581" s="38" t="n">
        <x:f>IF(AA581=0,0,AB581/AA581)</x:f>
        <x:v>0.8571428571428571</x:v>
      </x:c>
      <x:c r="AM581" s="38" t="n">
        <x:f>IF(AB581=0,0,AC581/AB581)</x:f>
        <x:v>0.8333333333333334</x:v>
      </x:c>
      <x:c r="AN581" s="37" t="n">
        <x:f>ROUND((AD581*0.20+AE581*0.20+AF581*0.25+AG581*0.15+MIN(100,AC581*12)*0.20),1)</x:f>
        <x:v>73.8</x:v>
      </x:c>
      <x:c r="AO581" s="37" t="n">
        <x:f>ROUND(MAX(0,MIN(100,(X581*0.35)+(W581/45*100*0.20)+((5-O581)/4*100*0.15)+((5-P581)/4*100*0.10)+((6-Y581)/5*100*0.10)+((100-Z581)*0.10))),1)</x:f>
        <x:v>38.5</x:v>
      </x:c>
      <x:c r="AP581" s="37" t="str">
        <x:f>IF(AO581&gt;=70,"High",IF(AO581&gt;=40,"Moderate","Low"))</x:f>
        <x:v>Low</x:v>
      </x:c>
      <x:c r="AQ581" s="37" t="n">
        <x:f>ROUND(MAX(0,MIN(100,(O581/4*100*0.25)+(P581/4*100*0.20)+(Q581/4*100*0.15)+(Y581/5*100*0.20)+(100-AO581)*0.20)),1)</x:f>
        <x:v>84.6</x:v>
      </x:c>
      <x:c r="AR581" s="37" t="n">
        <x:f>ROUND((AI581*0.20+AJ581*0.15+AN581*0.18+AG581*0.12+Z581*0.15+AQ581*0.20),1)</x:f>
        <x:v>88.8</x:v>
      </x:c>
      <x:c r="AS581" s="39" t="n">
        <x:f>ROUND((AC581*AF581*120)+(AH581*350)+(MAX(0,AI581-75)*220)+(MAX(0,AQ581-60)*100),0)</x:f>
        <x:v>59360</x:v>
      </x:c>
    </x:row>
    <x:row r="582">
      <x:c r="A582" s="35" t="n">
        <x:v>581</x:v>
      </x:c>
      <x:c r="B582" s="35" t="n">
        <x:v>34</x:v>
      </x:c>
      <x:c r="C582" s="35" t="str">
        <x:v>Female</x:v>
      </x:c>
      <x:c r="D582" s="35" t="str">
        <x:v>Finance</x:v>
      </x:c>
      <x:c r="E582" s="35" t="str">
        <x:v>Financial Analyst</x:v>
      </x:c>
      <x:c r="F582" s="35" t="str">
        <x:v>Business</x:v>
      </x:c>
      <x:c r="G582" s="35" t="str">
        <x:v>Married</x:v>
      </x:c>
      <x:c r="H582" s="35" t="n">
        <x:v>2</x:v>
      </x:c>
      <x:c r="I582" s="36" t="n">
        <x:v>7360</x:v>
      </x:c>
      <x:c r="J582" s="35" t="n">
        <x:v>8</x:v>
      </x:c>
      <x:c r="K582" s="35" t="n">
        <x:v>6</x:v>
      </x:c>
      <x:c r="L582" s="35" t="n">
        <x:v>2</x:v>
      </x:c>
      <x:c r="M582" s="35" t="n">
        <x:v>31</x:v>
      </x:c>
      <x:c r="N582" s="35" t="str">
        <x:v>No</x:v>
      </x:c>
      <x:c r="O582" s="35" t="n">
        <x:v>3</x:v>
      </x:c>
      <x:c r="P582" s="35" t="n">
        <x:v>2</x:v>
      </x:c>
      <x:c r="Q582" s="35" t="n">
        <x:v>4</x:v>
      </x:c>
      <x:c r="R582" s="35" t="n">
        <x:v>2</x:v>
      </x:c>
      <x:c r="S582" s="35" t="n">
        <x:v>3</x:v>
      </x:c>
      <x:c r="T582" s="35" t="n">
        <x:v>4</x:v>
      </x:c>
      <x:c r="U582" s="35" t="n">
        <x:v>0</x:v>
      </x:c>
      <x:c r="V582" s="35" t="n">
        <x:v>10</x:v>
      </x:c>
      <x:c r="W582" s="35" t="n">
        <x:v>4</x:v>
      </x:c>
      <x:c r="X582" s="35" t="n">
        <x:v>49</x:v>
      </x:c>
      <x:c r="Y582" s="35" t="n">
        <x:v>4</x:v>
      </x:c>
      <x:c r="Z582" s="35" t="n">
        <x:v>93</x:v>
      </x:c>
      <x:c r="AA582" s="35" t="n">
        <x:v>9</x:v>
      </x:c>
      <x:c r="AB582" s="35" t="n">
        <x:v>8</x:v>
      </x:c>
      <x:c r="AC582" s="35" t="n">
        <x:v>6</x:v>
      </x:c>
      <x:c r="AD582" s="35" t="n">
        <x:v>88</x:v>
      </x:c>
      <x:c r="AE582" s="35" t="n">
        <x:v>100</x:v>
      </x:c>
      <x:c r="AF582" s="35" t="n">
        <x:v>100</x:v>
      </x:c>
      <x:c r="AG582" s="35" t="n">
        <x:v>87</x:v>
      </x:c>
      <x:c r="AH582" s="35" t="n">
        <x:v>9</x:v>
      </x:c>
      <x:c r="AI582" s="37" t="n">
        <x:v>100</x:v>
      </x:c>
      <x:c r="AJ582" s="37" t="n">
        <x:v>91.7</x:v>
      </x:c>
      <x:c r="AK582" s="35" t="str">
        <x:v>No</x:v>
      </x:c>
      <x:c r="AL582" s="38" t="n">
        <x:f>IF(AA582=0,0,AB582/AA582)</x:f>
        <x:v>0.8888888888888888</x:v>
      </x:c>
      <x:c r="AM582" s="38" t="n">
        <x:f>IF(AB582=0,0,AC582/AB582)</x:f>
        <x:v>0.75</x:v>
      </x:c>
      <x:c r="AN582" s="37" t="n">
        <x:f>ROUND((AD582*0.20+AE582*0.20+AF582*0.25+AG582*0.15+MIN(100,AC582*12)*0.20),1)</x:f>
        <x:v>90.1</x:v>
      </x:c>
      <x:c r="AO582" s="37" t="n">
        <x:f>ROUND(MAX(0,MIN(100,(X582*0.35)+(W582/45*100*0.20)+((5-O582)/4*100*0.15)+((5-P582)/4*100*0.10)+((6-Y582)/5*100*0.10)+((100-Z582)*0.10))),1)</x:f>
        <x:v>38.6</x:v>
      </x:c>
      <x:c r="AP582" s="37" t="str">
        <x:f>IF(AO582&gt;=70,"High",IF(AO582&gt;=40,"Moderate","Low"))</x:f>
        <x:v>Low</x:v>
      </x:c>
      <x:c r="AQ582" s="37" t="n">
        <x:f>ROUND(MAX(0,MIN(100,(O582/4*100*0.25)+(P582/4*100*0.20)+(Q582/4*100*0.15)+(Y582/5*100*0.20)+(100-AO582)*0.20)),1)</x:f>
        <x:v>72</x:v>
      </x:c>
      <x:c r="AR582" s="37" t="n">
        <x:f>ROUND((AI582*0.20+AJ582*0.15+AN582*0.18+AG582*0.12+Z582*0.15+AQ582*0.20),1)</x:f>
        <x:v>88.8</x:v>
      </x:c>
      <x:c r="AS582" s="39" t="n">
        <x:f>ROUND((AC582*AF582*120)+(AH582*350)+(MAX(0,AI582-75)*220)+(MAX(0,AQ582-60)*100),0)</x:f>
        <x:v>81850</x:v>
      </x:c>
    </x:row>
    <x:row r="583">
      <x:c r="A583" s="35" t="n">
        <x:v>582</x:v>
      </x:c>
      <x:c r="B583" s="35" t="n">
        <x:v>27</x:v>
      </x:c>
      <x:c r="C583" s="35" t="str">
        <x:v>Female</x:v>
      </x:c>
      <x:c r="D583" s="35" t="str">
        <x:v>Sales</x:v>
      </x:c>
      <x:c r="E583" s="35" t="str">
        <x:v>Sales Executive</x:v>
      </x:c>
      <x:c r="F583" s="35" t="str">
        <x:v>Marketing</x:v>
      </x:c>
      <x:c r="G583" s="35" t="str">
        <x:v>Single</x:v>
      </x:c>
      <x:c r="H583" s="35" t="n">
        <x:v>1</x:v>
      </x:c>
      <x:c r="I583" s="36" t="n">
        <x:v>4490</x:v>
      </x:c>
      <x:c r="J583" s="35" t="n">
        <x:v>5</x:v>
      </x:c>
      <x:c r="K583" s="35" t="n">
        <x:v>4</x:v>
      </x:c>
      <x:c r="L583" s="35" t="n">
        <x:v>1</x:v>
      </x:c>
      <x:c r="M583" s="35" t="n">
        <x:v>8</x:v>
      </x:c>
      <x:c r="N583" s="35" t="str">
        <x:v>Yes</x:v>
      </x:c>
      <x:c r="O583" s="35" t="n">
        <x:v>2</x:v>
      </x:c>
      <x:c r="P583" s="35" t="n">
        <x:v>2</x:v>
      </x:c>
      <x:c r="Q583" s="35" t="n">
        <x:v>3</x:v>
      </x:c>
      <x:c r="R583" s="35" t="n">
        <x:v>4</x:v>
      </x:c>
      <x:c r="S583" s="35" t="n">
        <x:v>3</x:v>
      </x:c>
      <x:c r="T583" s="35" t="n">
        <x:v>2</x:v>
      </x:c>
      <x:c r="U583" s="35" t="n">
        <x:v>0</x:v>
      </x:c>
      <x:c r="V583" s="35" t="n">
        <x:v>0</x:v>
      </x:c>
      <x:c r="W583" s="35" t="n">
        <x:v>21</x:v>
      </x:c>
      <x:c r="X583" s="35" t="n">
        <x:v>81</x:v>
      </x:c>
      <x:c r="Y583" s="35" t="n">
        <x:v>4</x:v>
      </x:c>
      <x:c r="Z583" s="35" t="n">
        <x:v>100</x:v>
      </x:c>
      <x:c r="AA583" s="35" t="n">
        <x:v>7</x:v>
      </x:c>
      <x:c r="AB583" s="35" t="n">
        <x:v>5</x:v>
      </x:c>
      <x:c r="AC583" s="35" t="n">
        <x:v>2</x:v>
      </x:c>
      <x:c r="AD583" s="35" t="n">
        <x:v>73</x:v>
      </x:c>
      <x:c r="AE583" s="35" t="n">
        <x:v>62</x:v>
      </x:c>
      <x:c r="AF583" s="35" t="n">
        <x:v>72</x:v>
      </x:c>
      <x:c r="AG583" s="35" t="n">
        <x:v>100</x:v>
      </x:c>
      <x:c r="AH583" s="35" t="n">
        <x:v>6</x:v>
      </x:c>
      <x:c r="AI583" s="37" t="n">
        <x:v>87.6</x:v>
      </x:c>
      <x:c r="AJ583" s="37" t="n">
        <x:v>93.3</x:v>
      </x:c>
      <x:c r="AK583" s="35" t="str">
        <x:v>No</x:v>
      </x:c>
      <x:c r="AL583" s="38" t="n">
        <x:f>IF(AA583=0,0,AB583/AA583)</x:f>
        <x:v>0.7142857142857143</x:v>
      </x:c>
      <x:c r="AM583" s="38" t="n">
        <x:f>IF(AB583=0,0,AC583/AB583)</x:f>
        <x:v>0.4</x:v>
      </x:c>
      <x:c r="AN583" s="37" t="n">
        <x:f>ROUND((AD583*0.20+AE583*0.20+AF583*0.25+AG583*0.15+MIN(100,AC583*12)*0.20),1)</x:f>
        <x:v>64.8</x:v>
      </x:c>
      <x:c r="AO583" s="37" t="n">
        <x:f>ROUND(MAX(0,MIN(100,(X583*0.35)+(W583/45*100*0.20)+((5-O583)/4*100*0.15)+((5-P583)/4*100*0.10)+((6-Y583)/5*100*0.10)+((100-Z583)*0.10))),1)</x:f>
        <x:v>60.4</x:v>
      </x:c>
      <x:c r="AP583" s="37" t="str">
        <x:f>IF(AO583&gt;=70,"High",IF(AO583&gt;=40,"Moderate","Low"))</x:f>
        <x:v>Moderate</x:v>
      </x:c>
      <x:c r="AQ583" s="37" t="n">
        <x:f>ROUND(MAX(0,MIN(100,(O583/4*100*0.25)+(P583/4*100*0.20)+(Q583/4*100*0.15)+(Y583/5*100*0.20)+(100-AO583)*0.20)),1)</x:f>
        <x:v>57.7</x:v>
      </x:c>
      <x:c r="AR583" s="37" t="n">
        <x:f>ROUND((AI583*0.20+AJ583*0.15+AN583*0.18+AG583*0.12+Z583*0.15+AQ583*0.20),1)</x:f>
        <x:v>81.7</x:v>
      </x:c>
      <x:c r="AS583" s="39" t="n">
        <x:f>ROUND((AC583*AF583*120)+(AH583*350)+(MAX(0,AI583-75)*220)+(MAX(0,AQ583-60)*100),0)</x:f>
        <x:v>22152</x:v>
      </x:c>
    </x:row>
    <x:row r="584">
      <x:c r="A584" s="35" t="n">
        <x:v>583</x:v>
      </x:c>
      <x:c r="B584" s="35" t="n">
        <x:v>31</x:v>
      </x:c>
      <x:c r="C584" s="35" t="str">
        <x:v>Male</x:v>
      </x:c>
      <x:c r="D584" s="35" t="str">
        <x:v>Research &amp; Development</x:v>
      </x:c>
      <x:c r="E584" s="35" t="str">
        <x:v>Laboratory Technician</x:v>
      </x:c>
      <x:c r="F584" s="35" t="str">
        <x:v>Life Sciences</x:v>
      </x:c>
      <x:c r="G584" s="35" t="str">
        <x:v>Married</x:v>
      </x:c>
      <x:c r="H584" s="35" t="n">
        <x:v>1</x:v>
      </x:c>
      <x:c r="I584" s="36" t="n">
        <x:v>5110</x:v>
      </x:c>
      <x:c r="J584" s="35" t="n">
        <x:v>5</x:v>
      </x:c>
      <x:c r="K584" s="35" t="n">
        <x:v>1</x:v>
      </x:c>
      <x:c r="L584" s="35" t="n">
        <x:v>0</x:v>
      </x:c>
      <x:c r="M584" s="35" t="n">
        <x:v>2</x:v>
      </x:c>
      <x:c r="N584" s="35" t="str">
        <x:v>No</x:v>
      </x:c>
      <x:c r="O584" s="35" t="n">
        <x:v>2</x:v>
      </x:c>
      <x:c r="P584" s="35" t="n">
        <x:v>3</x:v>
      </x:c>
      <x:c r="Q584" s="35" t="n">
        <x:v>3</x:v>
      </x:c>
      <x:c r="R584" s="35" t="n">
        <x:v>3</x:v>
      </x:c>
      <x:c r="S584" s="35" t="n">
        <x:v>3</x:v>
      </x:c>
      <x:c r="T584" s="35" t="n">
        <x:v>4</x:v>
      </x:c>
      <x:c r="U584" s="35" t="n">
        <x:v>0</x:v>
      </x:c>
      <x:c r="V584" s="35" t="n">
        <x:v>0</x:v>
      </x:c>
      <x:c r="W584" s="35" t="n">
        <x:v>4</x:v>
      </x:c>
      <x:c r="X584" s="35" t="n">
        <x:v>40</x:v>
      </x:c>
      <x:c r="Y584" s="35" t="n">
        <x:v>5</x:v>
      </x:c>
      <x:c r="Z584" s="35" t="n">
        <x:v>98</x:v>
      </x:c>
      <x:c r="AA584" s="35" t="n">
        <x:v>6</x:v>
      </x:c>
      <x:c r="AB584" s="35" t="n">
        <x:v>4</x:v>
      </x:c>
      <x:c r="AC584" s="35" t="n">
        <x:v>4</x:v>
      </x:c>
      <x:c r="AD584" s="35" t="n">
        <x:v>77</x:v>
      </x:c>
      <x:c r="AE584" s="35" t="n">
        <x:v>100</x:v>
      </x:c>
      <x:c r="AF584" s="35" t="n">
        <x:v>71</x:v>
      </x:c>
      <x:c r="AG584" s="35" t="n">
        <x:v>100</x:v>
      </x:c>
      <x:c r="AH584" s="35" t="n">
        <x:v>8</x:v>
      </x:c>
      <x:c r="AI584" s="37" t="n">
        <x:v>92.4</x:v>
      </x:c>
      <x:c r="AJ584" s="37" t="n">
        <x:v>99.9</x:v>
      </x:c>
      <x:c r="AK584" s="35" t="str">
        <x:v>No</x:v>
      </x:c>
      <x:c r="AL584" s="38" t="n">
        <x:f>IF(AA584=0,0,AB584/AA584)</x:f>
        <x:v>0.6666666666666666</x:v>
      </x:c>
      <x:c r="AM584" s="38" t="n">
        <x:f>IF(AB584=0,0,AC584/AB584)</x:f>
        <x:v>1</x:v>
      </x:c>
      <x:c r="AN584" s="37" t="n">
        <x:f>ROUND((AD584*0.20+AE584*0.20+AF584*0.25+AG584*0.15+MIN(100,AC584*12)*0.20),1)</x:f>
        <x:v>77.8</x:v>
      </x:c>
      <x:c r="AO584" s="37" t="n">
        <x:f>ROUND(MAX(0,MIN(100,(X584*0.35)+(W584/45*100*0.20)+((5-O584)/4*100*0.15)+((5-P584)/4*100*0.10)+((6-Y584)/5*100*0.10)+((100-Z584)*0.10))),1)</x:f>
        <x:v>34.2</x:v>
      </x:c>
      <x:c r="AP584" s="37" t="str">
        <x:f>IF(AO584&gt;=70,"High",IF(AO584&gt;=40,"Moderate","Low"))</x:f>
        <x:v>Low</x:v>
      </x:c>
      <x:c r="AQ584" s="37" t="n">
        <x:f>ROUND(MAX(0,MIN(100,(O584/4*100*0.25)+(P584/4*100*0.20)+(Q584/4*100*0.15)+(Y584/5*100*0.20)+(100-AO584)*0.20)),1)</x:f>
        <x:v>71.9</x:v>
      </x:c>
      <x:c r="AR584" s="37" t="n">
        <x:f>ROUND((AI584*0.20+AJ584*0.15+AN584*0.18+AG584*0.12+Z584*0.15+AQ584*0.20),1)</x:f>
        <x:v>88.5</x:v>
      </x:c>
      <x:c r="AS584" s="39" t="n">
        <x:f>ROUND((AC584*AF584*120)+(AH584*350)+(MAX(0,AI584-75)*220)+(MAX(0,AQ584-60)*100),0)</x:f>
        <x:v>41898</x:v>
      </x:c>
    </x:row>
    <x:row r="585">
      <x:c r="A585" s="35" t="n">
        <x:v>584</x:v>
      </x:c>
      <x:c r="B585" s="35" t="n">
        <x:v>42</x:v>
      </x:c>
      <x:c r="C585" s="35" t="str">
        <x:v>Female</x:v>
      </x:c>
      <x:c r="D585" s="35" t="str">
        <x:v>Sales</x:v>
      </x:c>
      <x:c r="E585" s="35" t="str">
        <x:v>Sales Representative</x:v>
      </x:c>
      <x:c r="F585" s="35" t="str">
        <x:v>Medical</x:v>
      </x:c>
      <x:c r="G585" s="35" t="str">
        <x:v>Single</x:v>
      </x:c>
      <x:c r="H585" s="35" t="n">
        <x:v>3</x:v>
      </x:c>
      <x:c r="I585" s="36" t="n">
        <x:v>12660</x:v>
      </x:c>
      <x:c r="J585" s="35" t="n">
        <x:v>15</x:v>
      </x:c>
      <x:c r="K585" s="35" t="n">
        <x:v>10</x:v>
      </x:c>
      <x:c r="L585" s="35" t="n">
        <x:v>6</x:v>
      </x:c>
      <x:c r="M585" s="35" t="n">
        <x:v>4</x:v>
      </x:c>
      <x:c r="N585" s="35" t="str">
        <x:v>Yes</x:v>
      </x:c>
      <x:c r="O585" s="35" t="n">
        <x:v>3</x:v>
      </x:c>
      <x:c r="P585" s="35" t="n">
        <x:v>2</x:v>
      </x:c>
      <x:c r="Q585" s="35" t="n">
        <x:v>4</x:v>
      </x:c>
      <x:c r="R585" s="35" t="n">
        <x:v>3</x:v>
      </x:c>
      <x:c r="S585" s="35" t="n">
        <x:v>3</x:v>
      </x:c>
      <x:c r="T585" s="35" t="n">
        <x:v>3</x:v>
      </x:c>
      <x:c r="U585" s="35" t="n">
        <x:v>0</x:v>
      </x:c>
      <x:c r="V585" s="35" t="n">
        <x:v>9</x:v>
      </x:c>
      <x:c r="W585" s="35" t="n">
        <x:v>23</x:v>
      </x:c>
      <x:c r="X585" s="35" t="n">
        <x:v>86</x:v>
      </x:c>
      <x:c r="Y585" s="35" t="n">
        <x:v>4</x:v>
      </x:c>
      <x:c r="Z585" s="35" t="n">
        <x:v>100</x:v>
      </x:c>
      <x:c r="AA585" s="35" t="n">
        <x:v>6</x:v>
      </x:c>
      <x:c r="AB585" s="35" t="n">
        <x:v>5</x:v>
      </x:c>
      <x:c r="AC585" s="35" t="n">
        <x:v>5</x:v>
      </x:c>
      <x:c r="AD585" s="35" t="n">
        <x:v>62</x:v>
      </x:c>
      <x:c r="AE585" s="35" t="n">
        <x:v>84</x:v>
      </x:c>
      <x:c r="AF585" s="35" t="n">
        <x:v>80</x:v>
      </x:c>
      <x:c r="AG585" s="35" t="n">
        <x:v>90</x:v>
      </x:c>
      <x:c r="AH585" s="35" t="n">
        <x:v>8</x:v>
      </x:c>
      <x:c r="AI585" s="37" t="n">
        <x:v>99</x:v>
      </x:c>
      <x:c r="AJ585" s="37" t="n">
        <x:v>89.4</x:v>
      </x:c>
      <x:c r="AK585" s="35" t="str">
        <x:v>No</x:v>
      </x:c>
      <x:c r="AL585" s="38" t="n">
        <x:f>IF(AA585=0,0,AB585/AA585)</x:f>
        <x:v>0.8333333333333334</x:v>
      </x:c>
      <x:c r="AM585" s="38" t="n">
        <x:f>IF(AB585=0,0,AC585/AB585)</x:f>
        <x:v>1</x:v>
      </x:c>
      <x:c r="AN585" s="37" t="n">
        <x:f>ROUND((AD585*0.20+AE585*0.20+AF585*0.25+AG585*0.15+MIN(100,AC585*12)*0.20),1)</x:f>
        <x:v>74.7</x:v>
      </x:c>
      <x:c r="AO585" s="37" t="n">
        <x:f>ROUND(MAX(0,MIN(100,(X585*0.35)+(W585/45*100*0.20)+((5-O585)/4*100*0.15)+((5-P585)/4*100*0.10)+((6-Y585)/5*100*0.10)+((100-Z585)*0.10))),1)</x:f>
        <x:v>59.3</x:v>
      </x:c>
      <x:c r="AP585" s="37" t="str">
        <x:f>IF(AO585&gt;=70,"High",IF(AO585&gt;=40,"Moderate","Low"))</x:f>
        <x:v>Moderate</x:v>
      </x:c>
      <x:c r="AQ585" s="37" t="n">
        <x:f>ROUND(MAX(0,MIN(100,(O585/4*100*0.25)+(P585/4*100*0.20)+(Q585/4*100*0.15)+(Y585/5*100*0.20)+(100-AO585)*0.20)),1)</x:f>
        <x:v>67.9</x:v>
      </x:c>
      <x:c r="AR585" s="37" t="n">
        <x:f>ROUND((AI585*0.20+AJ585*0.15+AN585*0.18+AG585*0.12+Z585*0.15+AQ585*0.20),1)</x:f>
        <x:v>86</x:v>
      </x:c>
      <x:c r="AS585" s="39" t="n">
        <x:f>ROUND((AC585*AF585*120)+(AH585*350)+(MAX(0,AI585-75)*220)+(MAX(0,AQ585-60)*100),0)</x:f>
        <x:v>56870</x:v>
      </x:c>
    </x:row>
    <x:row r="586">
      <x:c r="A586" s="35" t="n">
        <x:v>585</x:v>
      </x:c>
      <x:c r="B586" s="35" t="n">
        <x:v>33</x:v>
      </x:c>
      <x:c r="C586" s="35" t="str">
        <x:v>Female</x:v>
      </x:c>
      <x:c r="D586" s="35" t="str">
        <x:v>Research &amp; Development</x:v>
      </x:c>
      <x:c r="E586" s="35" t="str">
        <x:v>Research Scientist</x:v>
      </x:c>
      <x:c r="F586" s="35" t="str">
        <x:v>Computer Science</x:v>
      </x:c>
      <x:c r="G586" s="35" t="str">
        <x:v>Single</x:v>
      </x:c>
      <x:c r="H586" s="35" t="n">
        <x:v>1</x:v>
      </x:c>
      <x:c r="I586" s="36" t="n">
        <x:v>6520</x:v>
      </x:c>
      <x:c r="J586" s="35" t="n">
        <x:v>6</x:v>
      </x:c>
      <x:c r="K586" s="35" t="n">
        <x:v>3</x:v>
      </x:c>
      <x:c r="L586" s="35" t="n">
        <x:v>1</x:v>
      </x:c>
      <x:c r="M586" s="35" t="n">
        <x:v>7</x:v>
      </x:c>
      <x:c r="N586" s="35" t="str">
        <x:v>Yes</x:v>
      </x:c>
      <x:c r="O586" s="35" t="n">
        <x:v>3</x:v>
      </x:c>
      <x:c r="P586" s="35" t="n">
        <x:v>3</x:v>
      </x:c>
      <x:c r="Q586" s="35" t="n">
        <x:v>4</x:v>
      </x:c>
      <x:c r="R586" s="35" t="n">
        <x:v>3</x:v>
      </x:c>
      <x:c r="S586" s="35" t="n">
        <x:v>4</x:v>
      </x:c>
      <x:c r="T586" s="35" t="n">
        <x:v>1</x:v>
      </x:c>
      <x:c r="U586" s="35" t="n">
        <x:v>1</x:v>
      </x:c>
      <x:c r="V586" s="35" t="n">
        <x:v>4</x:v>
      </x:c>
      <x:c r="W586" s="35" t="n">
        <x:v>24</x:v>
      </x:c>
      <x:c r="X586" s="35" t="n">
        <x:v>47</x:v>
      </x:c>
      <x:c r="Y586" s="35" t="n">
        <x:v>5</x:v>
      </x:c>
      <x:c r="Z586" s="35" t="n">
        <x:v>100</x:v>
      </x:c>
      <x:c r="AA586" s="35" t="n">
        <x:v>2</x:v>
      </x:c>
      <x:c r="AB586" s="35" t="n">
        <x:v>2</x:v>
      </x:c>
      <x:c r="AC586" s="35" t="n">
        <x:v>2</x:v>
      </x:c>
      <x:c r="AD586" s="35" t="n">
        <x:v>60</x:v>
      </x:c>
      <x:c r="AE586" s="35" t="n">
        <x:v>69</x:v>
      </x:c>
      <x:c r="AF586" s="35" t="n">
        <x:v>70</x:v>
      </x:c>
      <x:c r="AG586" s="35" t="n">
        <x:v>85</x:v>
      </x:c>
      <x:c r="AH586" s="35" t="n">
        <x:v>4</x:v>
      </x:c>
      <x:c r="AI586" s="37" t="n">
        <x:v>100</x:v>
      </x:c>
      <x:c r="AJ586" s="37" t="n">
        <x:v>100</x:v>
      </x:c>
      <x:c r="AK586" s="35" t="str">
        <x:v>Yes</x:v>
      </x:c>
      <x:c r="AL586" s="38" t="n">
        <x:f>IF(AA586=0,0,AB586/AA586)</x:f>
        <x:v>1</x:v>
      </x:c>
      <x:c r="AM586" s="38" t="n">
        <x:f>IF(AB586=0,0,AC586/AB586)</x:f>
        <x:v>1</x:v>
      </x:c>
      <x:c r="AN586" s="37" t="n">
        <x:f>ROUND((AD586*0.20+AE586*0.20+AF586*0.25+AG586*0.15+MIN(100,AC586*12)*0.20),1)</x:f>
        <x:v>60.9</x:v>
      </x:c>
      <x:c r="AO586" s="37" t="n">
        <x:f>ROUND(MAX(0,MIN(100,(X586*0.35)+(W586/45*100*0.20)+((5-O586)/4*100*0.15)+((5-P586)/4*100*0.10)+((6-Y586)/5*100*0.10)+((100-Z586)*0.10))),1)</x:f>
        <x:v>41.6</x:v>
      </x:c>
      <x:c r="AP586" s="37" t="str">
        <x:f>IF(AO586&gt;=70,"High",IF(AO586&gt;=40,"Moderate","Low"))</x:f>
        <x:v>Moderate</x:v>
      </x:c>
      <x:c r="AQ586" s="37" t="n">
        <x:f>ROUND(MAX(0,MIN(100,(O586/4*100*0.25)+(P586/4*100*0.20)+(Q586/4*100*0.15)+(Y586/5*100*0.20)+(100-AO586)*0.20)),1)</x:f>
        <x:v>80.4</x:v>
      </x:c>
      <x:c r="AR586" s="37" t="n">
        <x:f>ROUND((AI586*0.20+AJ586*0.15+AN586*0.18+AG586*0.12+Z586*0.15+AQ586*0.20),1)</x:f>
        <x:v>87.2</x:v>
      </x:c>
      <x:c r="AS586" s="39" t="n">
        <x:f>ROUND((AC586*AF586*120)+(AH586*350)+(MAX(0,AI586-75)*220)+(MAX(0,AQ586-60)*100),0)</x:f>
        <x:v>25740</x:v>
      </x:c>
    </x:row>
    <x:row r="587">
      <x:c r="A587" s="35" t="n">
        <x:v>586</x:v>
      </x:c>
      <x:c r="B587" s="35" t="n">
        <x:v>57</x:v>
      </x:c>
      <x:c r="C587" s="35" t="str">
        <x:v>Male</x:v>
      </x:c>
      <x:c r="D587" s="35" t="str">
        <x:v>Finance</x:v>
      </x:c>
      <x:c r="E587" s="35" t="str">
        <x:v>Accountant</x:v>
      </x:c>
      <x:c r="F587" s="35" t="str">
        <x:v>Medical</x:v>
      </x:c>
      <x:c r="G587" s="35" t="str">
        <x:v>Married</x:v>
      </x:c>
      <x:c r="H587" s="35" t="n">
        <x:v>5</x:v>
      </x:c>
      <x:c r="I587" s="36" t="n">
        <x:v>35120</x:v>
      </x:c>
      <x:c r="J587" s="35" t="n">
        <x:v>22</x:v>
      </x:c>
      <x:c r="K587" s="35" t="n">
        <x:v>15</x:v>
      </x:c>
      <x:c r="L587" s="35" t="n">
        <x:v>5</x:v>
      </x:c>
      <x:c r="M587" s="35" t="n">
        <x:v>9</x:v>
      </x:c>
      <x:c r="N587" s="35" t="str">
        <x:v>No</x:v>
      </x:c>
      <x:c r="O587" s="35" t="n">
        <x:v>3</x:v>
      </x:c>
      <x:c r="P587" s="35" t="n">
        <x:v>3</x:v>
      </x:c>
      <x:c r="Q587" s="35" t="n">
        <x:v>4</x:v>
      </x:c>
      <x:c r="R587" s="35" t="n">
        <x:v>3</x:v>
      </x:c>
      <x:c r="S587" s="35" t="n">
        <x:v>4</x:v>
      </x:c>
      <x:c r="T587" s="35" t="n">
        <x:v>2</x:v>
      </x:c>
      <x:c r="U587" s="35" t="n">
        <x:v>2</x:v>
      </x:c>
      <x:c r="V587" s="35" t="n">
        <x:v>12</x:v>
      </x:c>
      <x:c r="W587" s="35" t="n">
        <x:v>0</x:v>
      </x:c>
      <x:c r="X587" s="35" t="n">
        <x:v>45</x:v>
      </x:c>
      <x:c r="Y587" s="35" t="n">
        <x:v>5</x:v>
      </x:c>
      <x:c r="Z587" s="35" t="n">
        <x:v>100</x:v>
      </x:c>
      <x:c r="AA587" s="35" t="n">
        <x:v>2</x:v>
      </x:c>
      <x:c r="AB587" s="35" t="n">
        <x:v>2</x:v>
      </x:c>
      <x:c r="AC587" s="35" t="n">
        <x:v>2</x:v>
      </x:c>
      <x:c r="AD587" s="35" t="n">
        <x:v>77</x:v>
      </x:c>
      <x:c r="AE587" s="35" t="n">
        <x:v>58</x:v>
      </x:c>
      <x:c r="AF587" s="35" t="n">
        <x:v>71</x:v>
      </x:c>
      <x:c r="AG587" s="35" t="n">
        <x:v>93</x:v>
      </x:c>
      <x:c r="AH587" s="35" t="n">
        <x:v>8</x:v>
      </x:c>
      <x:c r="AI587" s="37" t="n">
        <x:v>98.3</x:v>
      </x:c>
      <x:c r="AJ587" s="37" t="n">
        <x:v>100</x:v>
      </x:c>
      <x:c r="AK587" s="35" t="str">
        <x:v>No</x:v>
      </x:c>
      <x:c r="AL587" s="38" t="n">
        <x:f>IF(AA587=0,0,AB587/AA587)</x:f>
        <x:v>1</x:v>
      </x:c>
      <x:c r="AM587" s="38" t="n">
        <x:f>IF(AB587=0,0,AC587/AB587)</x:f>
        <x:v>1</x:v>
      </x:c>
      <x:c r="AN587" s="37" t="n">
        <x:f>ROUND((AD587*0.20+AE587*0.20+AF587*0.25+AG587*0.15+MIN(100,AC587*12)*0.20),1)</x:f>
        <x:v>63.5</x:v>
      </x:c>
      <x:c r="AO587" s="37" t="n">
        <x:f>ROUND(MAX(0,MIN(100,(X587*0.35)+(W587/45*100*0.20)+((5-O587)/4*100*0.15)+((5-P587)/4*100*0.10)+((6-Y587)/5*100*0.10)+((100-Z587)*0.10))),1)</x:f>
        <x:v>30.3</x:v>
      </x:c>
      <x:c r="AP587" s="37" t="str">
        <x:f>IF(AO587&gt;=70,"High",IF(AO587&gt;=40,"Moderate","Low"))</x:f>
        <x:v>Low</x:v>
      </x:c>
      <x:c r="AQ587" s="37" t="n">
        <x:f>ROUND(MAX(0,MIN(100,(O587/4*100*0.25)+(P587/4*100*0.20)+(Q587/4*100*0.15)+(Y587/5*100*0.20)+(100-AO587)*0.20)),1)</x:f>
        <x:v>82.7</x:v>
      </x:c>
      <x:c r="AR587" s="37" t="n">
        <x:f>ROUND((AI587*0.20+AJ587*0.15+AN587*0.18+AG587*0.12+Z587*0.15+AQ587*0.20),1)</x:f>
        <x:v>88.8</x:v>
      </x:c>
      <x:c r="AS587" s="39" t="n">
        <x:f>ROUND((AC587*AF587*120)+(AH587*350)+(MAX(0,AI587-75)*220)+(MAX(0,AQ587-60)*100),0)</x:f>
        <x:v>27236</x:v>
      </x:c>
    </x:row>
    <x:row r="588">
      <x:c r="A588" s="35" t="n">
        <x:v>587</x:v>
      </x:c>
      <x:c r="B588" s="35" t="n">
        <x:v>37</x:v>
      </x:c>
      <x:c r="C588" s="35" t="str">
        <x:v>Male</x:v>
      </x:c>
      <x:c r="D588" s="35" t="str">
        <x:v>Finance</x:v>
      </x:c>
      <x:c r="E588" s="35" t="str">
        <x:v>Finance Manager</x:v>
      </x:c>
      <x:c r="F588" s="35" t="str">
        <x:v>Computer Science</x:v>
      </x:c>
      <x:c r="G588" s="35" t="str">
        <x:v>Married</x:v>
      </x:c>
      <x:c r="H588" s="35" t="n">
        <x:v>2</x:v>
      </x:c>
      <x:c r="I588" s="36" t="n">
        <x:v>7210</x:v>
      </x:c>
      <x:c r="J588" s="35" t="n">
        <x:v>10</x:v>
      </x:c>
      <x:c r="K588" s="35" t="n">
        <x:v>7</x:v>
      </x:c>
      <x:c r="L588" s="35" t="n">
        <x:v>4</x:v>
      </x:c>
      <x:c r="M588" s="35" t="n">
        <x:v>4</x:v>
      </x:c>
      <x:c r="N588" s="35" t="str">
        <x:v>No</x:v>
      </x:c>
      <x:c r="O588" s="35" t="n">
        <x:v>3</x:v>
      </x:c>
      <x:c r="P588" s="35" t="n">
        <x:v>4</x:v>
      </x:c>
      <x:c r="Q588" s="35" t="n">
        <x:v>1</x:v>
      </x:c>
      <x:c r="R588" s="35" t="n">
        <x:v>4</x:v>
      </x:c>
      <x:c r="S588" s="35" t="n">
        <x:v>3</x:v>
      </x:c>
      <x:c r="T588" s="35" t="n">
        <x:v>4</x:v>
      </x:c>
      <x:c r="U588" s="35" t="n">
        <x:v>2</x:v>
      </x:c>
      <x:c r="V588" s="35" t="n">
        <x:v>0</x:v>
      </x:c>
      <x:c r="W588" s="35" t="n">
        <x:v>0</x:v>
      </x:c>
      <x:c r="X588" s="35" t="n">
        <x:v>63</x:v>
      </x:c>
      <x:c r="Y588" s="35" t="n">
        <x:v>5</x:v>
      </x:c>
      <x:c r="Z588" s="35" t="n">
        <x:v>100</x:v>
      </x:c>
      <x:c r="AA588" s="35" t="n">
        <x:v>9</x:v>
      </x:c>
      <x:c r="AB588" s="35" t="n">
        <x:v>6</x:v>
      </x:c>
      <x:c r="AC588" s="35" t="n">
        <x:v>3</x:v>
      </x:c>
      <x:c r="AD588" s="35" t="n">
        <x:v>89</x:v>
      </x:c>
      <x:c r="AE588" s="35" t="n">
        <x:v>82</x:v>
      </x:c>
      <x:c r="AF588" s="35" t="n">
        <x:v>78</x:v>
      </x:c>
      <x:c r="AG588" s="35" t="n">
        <x:v>95</x:v>
      </x:c>
      <x:c r="AH588" s="35" t="n">
        <x:v>6</x:v>
      </x:c>
      <x:c r="AI588" s="37" t="n">
        <x:v>100</x:v>
      </x:c>
      <x:c r="AJ588" s="37" t="n">
        <x:v>98.8</x:v>
      </x:c>
      <x:c r="AK588" s="35" t="str">
        <x:v>No</x:v>
      </x:c>
      <x:c r="AL588" s="38" t="n">
        <x:f>IF(AA588=0,0,AB588/AA588)</x:f>
        <x:v>0.6666666666666666</x:v>
      </x:c>
      <x:c r="AM588" s="38" t="n">
        <x:f>IF(AB588=0,0,AC588/AB588)</x:f>
        <x:v>0.5</x:v>
      </x:c>
      <x:c r="AN588" s="37" t="n">
        <x:f>ROUND((AD588*0.20+AE588*0.20+AF588*0.25+AG588*0.15+MIN(100,AC588*12)*0.20),1)</x:f>
        <x:v>75.2</x:v>
      </x:c>
      <x:c r="AO588" s="37" t="n">
        <x:f>ROUND(MAX(0,MIN(100,(X588*0.35)+(W588/45*100*0.20)+((5-O588)/4*100*0.15)+((5-P588)/4*100*0.10)+((6-Y588)/5*100*0.10)+((100-Z588)*0.10))),1)</x:f>
        <x:v>34.1</x:v>
      </x:c>
      <x:c r="AP588" s="37" t="str">
        <x:f>IF(AO588&gt;=70,"High",IF(AO588&gt;=40,"Moderate","Low"))</x:f>
        <x:v>Low</x:v>
      </x:c>
      <x:c r="AQ588" s="37" t="n">
        <x:f>ROUND(MAX(0,MIN(100,(O588/4*100*0.25)+(P588/4*100*0.20)+(Q588/4*100*0.15)+(Y588/5*100*0.20)+(100-AO588)*0.20)),1)</x:f>
        <x:v>75.7</x:v>
      </x:c>
      <x:c r="AR588" s="37" t="n">
        <x:f>ROUND((AI588*0.20+AJ588*0.15+AN588*0.18+AG588*0.12+Z588*0.15+AQ588*0.20),1)</x:f>
        <x:v>89.9</x:v>
      </x:c>
      <x:c r="AS588" s="39" t="n">
        <x:f>ROUND((AC588*AF588*120)+(AH588*350)+(MAX(0,AI588-75)*220)+(MAX(0,AQ588-60)*100),0)</x:f>
        <x:v>37250</x:v>
      </x:c>
    </x:row>
    <x:row r="589">
      <x:c r="A589" s="35" t="n">
        <x:v>588</x:v>
      </x:c>
      <x:c r="B589" s="35" t="n">
        <x:v>28</x:v>
      </x:c>
      <x:c r="C589" s="35" t="str">
        <x:v>Female</x:v>
      </x:c>
      <x:c r="D589" s="35" t="str">
        <x:v>Sales</x:v>
      </x:c>
      <x:c r="E589" s="35" t="str">
        <x:v>Sales Executive</x:v>
      </x:c>
      <x:c r="F589" s="35" t="str">
        <x:v>Human Resources</x:v>
      </x:c>
      <x:c r="G589" s="35" t="str">
        <x:v>Married</x:v>
      </x:c>
      <x:c r="H589" s="35" t="n">
        <x:v>1</x:v>
      </x:c>
      <x:c r="I589" s="36" t="n">
        <x:v>6350</x:v>
      </x:c>
      <x:c r="J589" s="35" t="n">
        <x:v>4</x:v>
      </x:c>
      <x:c r="K589" s="35" t="n">
        <x:v>3</x:v>
      </x:c>
      <x:c r="L589" s="35" t="n">
        <x:v>2</x:v>
      </x:c>
      <x:c r="M589" s="35" t="n">
        <x:v>18</x:v>
      </x:c>
      <x:c r="N589" s="35" t="str">
        <x:v>No</x:v>
      </x:c>
      <x:c r="O589" s="35" t="n">
        <x:v>2</x:v>
      </x:c>
      <x:c r="P589" s="35" t="n">
        <x:v>4</x:v>
      </x:c>
      <x:c r="Q589" s="35" t="n">
        <x:v>3</x:v>
      </x:c>
      <x:c r="R589" s="35" t="n">
        <x:v>2</x:v>
      </x:c>
      <x:c r="S589" s="35" t="n">
        <x:v>3</x:v>
      </x:c>
      <x:c r="T589" s="35" t="n">
        <x:v>3</x:v>
      </x:c>
      <x:c r="U589" s="35" t="n">
        <x:v>1</x:v>
      </x:c>
      <x:c r="V589" s="35" t="n">
        <x:v>6</x:v>
      </x:c>
      <x:c r="W589" s="35" t="n">
        <x:v>0</x:v>
      </x:c>
      <x:c r="X589" s="35" t="n">
        <x:v>74</x:v>
      </x:c>
      <x:c r="Y589" s="35" t="n">
        <x:v>4</x:v>
      </x:c>
      <x:c r="Z589" s="35" t="n">
        <x:v>88</x:v>
      </x:c>
      <x:c r="AA589" s="35" t="n">
        <x:v>12</x:v>
      </x:c>
      <x:c r="AB589" s="35" t="n">
        <x:v>6</x:v>
      </x:c>
      <x:c r="AC589" s="35" t="n">
        <x:v>3</x:v>
      </x:c>
      <x:c r="AD589" s="35" t="n">
        <x:v>100</x:v>
      </x:c>
      <x:c r="AE589" s="35" t="n">
        <x:v>71</x:v>
      </x:c>
      <x:c r="AF589" s="35" t="n">
        <x:v>64</x:v>
      </x:c>
      <x:c r="AG589" s="35" t="n">
        <x:v>82</x:v>
      </x:c>
      <x:c r="AH589" s="35" t="n">
        <x:v>8</x:v>
      </x:c>
      <x:c r="AI589" s="37" t="n">
        <x:v>99.6</x:v>
      </x:c>
      <x:c r="AJ589" s="37" t="n">
        <x:v>83.3</x:v>
      </x:c>
      <x:c r="AK589" s="35" t="str">
        <x:v>No</x:v>
      </x:c>
      <x:c r="AL589" s="38" t="n">
        <x:f>IF(AA589=0,0,AB589/AA589)</x:f>
        <x:v>0.5</x:v>
      </x:c>
      <x:c r="AM589" s="38" t="n">
        <x:f>IF(AB589=0,0,AC589/AB589)</x:f>
        <x:v>0.5</x:v>
      </x:c>
      <x:c r="AN589" s="37" t="n">
        <x:f>ROUND((AD589*0.20+AE589*0.20+AF589*0.25+AG589*0.15+MIN(100,AC589*12)*0.20),1)</x:f>
        <x:v>69.7</x:v>
      </x:c>
      <x:c r="AO589" s="37" t="n">
        <x:f>ROUND(MAX(0,MIN(100,(X589*0.35)+(W589/45*100*0.20)+((5-O589)/4*100*0.15)+((5-P589)/4*100*0.10)+((6-Y589)/5*100*0.10)+((100-Z589)*0.10))),1)</x:f>
        <x:v>44.9</x:v>
      </x:c>
      <x:c r="AP589" s="37" t="str">
        <x:f>IF(AO589&gt;=70,"High",IF(AO589&gt;=40,"Moderate","Low"))</x:f>
        <x:v>Moderate</x:v>
      </x:c>
      <x:c r="AQ589" s="37" t="n">
        <x:f>ROUND(MAX(0,MIN(100,(O589/4*100*0.25)+(P589/4*100*0.20)+(Q589/4*100*0.15)+(Y589/5*100*0.20)+(100-AO589)*0.20)),1)</x:f>
        <x:v>70.8</x:v>
      </x:c>
      <x:c r="AR589" s="37" t="n">
        <x:f>ROUND((AI589*0.20+AJ589*0.15+AN589*0.18+AG589*0.12+Z589*0.15+AQ589*0.20),1)</x:f>
        <x:v>82.2</x:v>
      </x:c>
      <x:c r="AS589" s="39" t="n">
        <x:f>ROUND((AC589*AF589*120)+(AH589*350)+(MAX(0,AI589-75)*220)+(MAX(0,AQ589-60)*100),0)</x:f>
        <x:v>32332</x:v>
      </x:c>
    </x:row>
    <x:row r="590">
      <x:c r="A590" s="35" t="n">
        <x:v>589</x:v>
      </x:c>
      <x:c r="B590" s="35" t="n">
        <x:v>46</x:v>
      </x:c>
      <x:c r="C590" s="35" t="str">
        <x:v>Male</x:v>
      </x:c>
      <x:c r="D590" s="35" t="str">
        <x:v>Finance</x:v>
      </x:c>
      <x:c r="E590" s="35" t="str">
        <x:v>Finance Manager</x:v>
      </x:c>
      <x:c r="F590" s="35" t="str">
        <x:v>Life Sciences</x:v>
      </x:c>
      <x:c r="G590" s="35" t="str">
        <x:v>Single</x:v>
      </x:c>
      <x:c r="H590" s="35" t="n">
        <x:v>2</x:v>
      </x:c>
      <x:c r="I590" s="36" t="n">
        <x:v>8000</x:v>
      </x:c>
      <x:c r="J590" s="35" t="n">
        <x:v>17</x:v>
      </x:c>
      <x:c r="K590" s="35" t="n">
        <x:v>7</x:v>
      </x:c>
      <x:c r="L590" s="35" t="n">
        <x:v>5</x:v>
      </x:c>
      <x:c r="M590" s="35" t="n">
        <x:v>4</x:v>
      </x:c>
      <x:c r="N590" s="35" t="str">
        <x:v>No</x:v>
      </x:c>
      <x:c r="O590" s="35" t="n">
        <x:v>3</x:v>
      </x:c>
      <x:c r="P590" s="35" t="n">
        <x:v>3</x:v>
      </x:c>
      <x:c r="Q590" s="35" t="n">
        <x:v>2</x:v>
      </x:c>
      <x:c r="R590" s="35" t="n">
        <x:v>2</x:v>
      </x:c>
      <x:c r="S590" s="35" t="n">
        <x:v>3</x:v>
      </x:c>
      <x:c r="T590" s="35" t="n">
        <x:v>2</x:v>
      </x:c>
      <x:c r="U590" s="35" t="n">
        <x:v>0</x:v>
      </x:c>
      <x:c r="V590" s="35" t="n">
        <x:v>11</x:v>
      </x:c>
      <x:c r="W590" s="35" t="n">
        <x:v>6</x:v>
      </x:c>
      <x:c r="X590" s="35" t="n">
        <x:v>48</x:v>
      </x:c>
      <x:c r="Y590" s="35" t="n">
        <x:v>4</x:v>
      </x:c>
      <x:c r="Z590" s="35" t="n">
        <x:v>99</x:v>
      </x:c>
      <x:c r="AA590" s="35" t="n">
        <x:v>5</x:v>
      </x:c>
      <x:c r="AB590" s="35" t="n">
        <x:v>5</x:v>
      </x:c>
      <x:c r="AC590" s="35" t="n">
        <x:v>2</x:v>
      </x:c>
      <x:c r="AD590" s="35" t="n">
        <x:v>63</x:v>
      </x:c>
      <x:c r="AE590" s="35" t="n">
        <x:v>75</x:v>
      </x:c>
      <x:c r="AF590" s="35" t="n">
        <x:v>86</x:v>
      </x:c>
      <x:c r="AG590" s="35" t="n">
        <x:v>76</x:v>
      </x:c>
      <x:c r="AH590" s="35" t="n">
        <x:v>5</x:v>
      </x:c>
      <x:c r="AI590" s="37" t="n">
        <x:v>96.4</x:v>
      </x:c>
      <x:c r="AJ590" s="37" t="n">
        <x:v>99.7</x:v>
      </x:c>
      <x:c r="AK590" s="35" t="str">
        <x:v>No</x:v>
      </x:c>
      <x:c r="AL590" s="38" t="n">
        <x:f>IF(AA590=0,0,AB590/AA590)</x:f>
        <x:v>1</x:v>
      </x:c>
      <x:c r="AM590" s="38" t="n">
        <x:f>IF(AB590=0,0,AC590/AB590)</x:f>
        <x:v>0.4</x:v>
      </x:c>
      <x:c r="AN590" s="37" t="n">
        <x:f>ROUND((AD590*0.20+AE590*0.20+AF590*0.25+AG590*0.15+MIN(100,AC590*12)*0.20),1)</x:f>
        <x:v>65.3</x:v>
      </x:c>
      <x:c r="AO590" s="37" t="n">
        <x:f>ROUND(MAX(0,MIN(100,(X590*0.35)+(W590/45*100*0.20)+((5-O590)/4*100*0.15)+((5-P590)/4*100*0.10)+((6-Y590)/5*100*0.10)+((100-Z590)*0.10))),1)</x:f>
        <x:v>36.1</x:v>
      </x:c>
      <x:c r="AP590" s="37" t="str">
        <x:f>IF(AO590&gt;=70,"High",IF(AO590&gt;=40,"Moderate","Low"))</x:f>
        <x:v>Low</x:v>
      </x:c>
      <x:c r="AQ590" s="37" t="n">
        <x:f>ROUND(MAX(0,MIN(100,(O590/4*100*0.25)+(P590/4*100*0.20)+(Q590/4*100*0.15)+(Y590/5*100*0.20)+(100-AO590)*0.20)),1)</x:f>
        <x:v>70</x:v>
      </x:c>
      <x:c r="AR590" s="37" t="n">
        <x:f>ROUND((AI590*0.20+AJ590*0.15+AN590*0.18+AG590*0.12+Z590*0.15+AQ590*0.20),1)</x:f>
        <x:v>84</x:v>
      </x:c>
      <x:c r="AS590" s="39" t="n">
        <x:f>ROUND((AC590*AF590*120)+(AH590*350)+(MAX(0,AI590-75)*220)+(MAX(0,AQ590-60)*100),0)</x:f>
        <x:v>28098</x:v>
      </x:c>
    </x:row>
    <x:row r="591">
      <x:c r="A591" s="35" t="n">
        <x:v>590</x:v>
      </x:c>
      <x:c r="B591" s="35" t="n">
        <x:v>23</x:v>
      </x:c>
      <x:c r="C591" s="35" t="str">
        <x:v>Female</x:v>
      </x:c>
      <x:c r="D591" s="35" t="str">
        <x:v>Finance</x:v>
      </x:c>
      <x:c r="E591" s="35" t="str">
        <x:v>Financial Analyst</x:v>
      </x:c>
      <x:c r="F591" s="35" t="str">
        <x:v>Technical Degree</x:v>
      </x:c>
      <x:c r="G591" s="35" t="str">
        <x:v>Married</x:v>
      </x:c>
      <x:c r="H591" s="35" t="n">
        <x:v>1</x:v>
      </x:c>
      <x:c r="I591" s="36" t="n">
        <x:v>4680</x:v>
      </x:c>
      <x:c r="J591" s="35" t="n">
        <x:v>1</x:v>
      </x:c>
      <x:c r="K591" s="35" t="n">
        <x:v>0</x:v>
      </x:c>
      <x:c r="L591" s="35" t="n">
        <x:v>0</x:v>
      </x:c>
      <x:c r="M591" s="35" t="n">
        <x:v>4</x:v>
      </x:c>
      <x:c r="N591" s="35" t="str">
        <x:v>No</x:v>
      </x:c>
      <x:c r="O591" s="35" t="n">
        <x:v>4</x:v>
      </x:c>
      <x:c r="P591" s="35" t="n">
        <x:v>3</x:v>
      </x:c>
      <x:c r="Q591" s="35" t="n">
        <x:v>4</x:v>
      </x:c>
      <x:c r="R591" s="35" t="n">
        <x:v>2</x:v>
      </x:c>
      <x:c r="S591" s="35" t="n">
        <x:v>3</x:v>
      </x:c>
      <x:c r="T591" s="35" t="n">
        <x:v>3</x:v>
      </x:c>
      <x:c r="U591" s="35" t="n">
        <x:v>0</x:v>
      </x:c>
      <x:c r="V591" s="35" t="n">
        <x:v>7</x:v>
      </x:c>
      <x:c r="W591" s="35" t="n">
        <x:v>8</x:v>
      </x:c>
      <x:c r="X591" s="35" t="n">
        <x:v>54</x:v>
      </x:c>
      <x:c r="Y591" s="35" t="n">
        <x:v>5</x:v>
      </x:c>
      <x:c r="Z591" s="35" t="n">
        <x:v>100</x:v>
      </x:c>
      <x:c r="AA591" s="35" t="n">
        <x:v>9</x:v>
      </x:c>
      <x:c r="AB591" s="35" t="n">
        <x:v>8</x:v>
      </x:c>
      <x:c r="AC591" s="35" t="n">
        <x:v>8</x:v>
      </x:c>
      <x:c r="AD591" s="35" t="n">
        <x:v>86</x:v>
      </x:c>
      <x:c r="AE591" s="35" t="n">
        <x:v>85</x:v>
      </x:c>
      <x:c r="AF591" s="35" t="n">
        <x:v>79</x:v>
      </x:c>
      <x:c r="AG591" s="35" t="n">
        <x:v>77</x:v>
      </x:c>
      <x:c r="AH591" s="35" t="n">
        <x:v>11</x:v>
      </x:c>
      <x:c r="AI591" s="37" t="n">
        <x:v>94.8</x:v>
      </x:c>
      <x:c r="AJ591" s="37" t="n">
        <x:v>90.4</x:v>
      </x:c>
      <x:c r="AK591" s="35" t="str">
        <x:v>No</x:v>
      </x:c>
      <x:c r="AL591" s="38" t="n">
        <x:f>IF(AA591=0,0,AB591/AA591)</x:f>
        <x:v>0.8888888888888888</x:v>
      </x:c>
      <x:c r="AM591" s="38" t="n">
        <x:f>IF(AB591=0,0,AC591/AB591)</x:f>
        <x:v>1</x:v>
      </x:c>
      <x:c r="AN591" s="37" t="n">
        <x:f>ROUND((AD591*0.20+AE591*0.20+AF591*0.25+AG591*0.15+MIN(100,AC591*12)*0.20),1)</x:f>
        <x:v>84.7</x:v>
      </x:c>
      <x:c r="AO591" s="37" t="n">
        <x:f>ROUND(MAX(0,MIN(100,(X591*0.35)+(W591/45*100*0.20)+((5-O591)/4*100*0.15)+((5-P591)/4*100*0.10)+((6-Y591)/5*100*0.10)+((100-Z591)*0.10))),1)</x:f>
        <x:v>33.2</x:v>
      </x:c>
      <x:c r="AP591" s="37" t="str">
        <x:f>IF(AO591&gt;=70,"High",IF(AO591&gt;=40,"Moderate","Low"))</x:f>
        <x:v>Low</x:v>
      </x:c>
      <x:c r="AQ591" s="37" t="n">
        <x:f>ROUND(MAX(0,MIN(100,(O591/4*100*0.25)+(P591/4*100*0.20)+(Q591/4*100*0.15)+(Y591/5*100*0.20)+(100-AO591)*0.20)),1)</x:f>
        <x:v>88.4</x:v>
      </x:c>
      <x:c r="AR591" s="37" t="n">
        <x:f>ROUND((AI591*0.20+AJ591*0.15+AN591*0.18+AG591*0.12+Z591*0.15+AQ591*0.20),1)</x:f>
        <x:v>89.7</x:v>
      </x:c>
      <x:c r="AS591" s="39" t="n">
        <x:f>ROUND((AC591*AF591*120)+(AH591*350)+(MAX(0,AI591-75)*220)+(MAX(0,AQ591-60)*100),0)</x:f>
        <x:v>86886</x:v>
      </x:c>
    </x:row>
    <x:row r="592">
      <x:c r="A592" s="35" t="n">
        <x:v>591</x:v>
      </x:c>
      <x:c r="B592" s="35" t="n">
        <x:v>30</x:v>
      </x:c>
      <x:c r="C592" s="35" t="str">
        <x:v>Female</x:v>
      </x:c>
      <x:c r="D592" s="35" t="str">
        <x:v>Research &amp; Development</x:v>
      </x:c>
      <x:c r="E592" s="35" t="str">
        <x:v>R&amp;D Manager</x:v>
      </x:c>
      <x:c r="F592" s="35" t="str">
        <x:v>Business</x:v>
      </x:c>
      <x:c r="G592" s="35" t="str">
        <x:v>Married</x:v>
      </x:c>
      <x:c r="H592" s="35" t="n">
        <x:v>2</x:v>
      </x:c>
      <x:c r="I592" s="36" t="n">
        <x:v>7540</x:v>
      </x:c>
      <x:c r="J592" s="35" t="n">
        <x:v>5</x:v>
      </x:c>
      <x:c r="K592" s="35" t="n">
        <x:v>4</x:v>
      </x:c>
      <x:c r="L592" s="35" t="n">
        <x:v>2</x:v>
      </x:c>
      <x:c r="M592" s="35" t="n">
        <x:v>22</x:v>
      </x:c>
      <x:c r="N592" s="35" t="str">
        <x:v>No</x:v>
      </x:c>
      <x:c r="O592" s="35" t="n">
        <x:v>2</x:v>
      </x:c>
      <x:c r="P592" s="35" t="n">
        <x:v>2</x:v>
      </x:c>
      <x:c r="Q592" s="35" t="n">
        <x:v>3</x:v>
      </x:c>
      <x:c r="R592" s="35" t="n">
        <x:v>3</x:v>
      </x:c>
      <x:c r="S592" s="35" t="n">
        <x:v>3</x:v>
      </x:c>
      <x:c r="T592" s="35" t="n">
        <x:v>4</x:v>
      </x:c>
      <x:c r="U592" s="35" t="n">
        <x:v>2</x:v>
      </x:c>
      <x:c r="V592" s="35" t="n">
        <x:v>5</x:v>
      </x:c>
      <x:c r="W592" s="35" t="n">
        <x:v>12</x:v>
      </x:c>
      <x:c r="X592" s="35" t="n">
        <x:v>56</x:v>
      </x:c>
      <x:c r="Y592" s="35" t="n">
        <x:v>5</x:v>
      </x:c>
      <x:c r="Z592" s="35" t="n">
        <x:v>100</x:v>
      </x:c>
      <x:c r="AA592" s="35" t="n">
        <x:v>7</x:v>
      </x:c>
      <x:c r="AB592" s="35" t="n">
        <x:v>6</x:v>
      </x:c>
      <x:c r="AC592" s="35" t="n">
        <x:v>2</x:v>
      </x:c>
      <x:c r="AD592" s="35" t="n">
        <x:v>81</x:v>
      </x:c>
      <x:c r="AE592" s="35" t="n">
        <x:v>92</x:v>
      </x:c>
      <x:c r="AF592" s="35" t="n">
        <x:v>67</x:v>
      </x:c>
      <x:c r="AG592" s="35" t="n">
        <x:v>88</x:v>
      </x:c>
      <x:c r="AH592" s="35" t="n">
        <x:v>7</x:v>
      </x:c>
      <x:c r="AI592" s="37" t="n">
        <x:v>88.3</x:v>
      </x:c>
      <x:c r="AJ592" s="37" t="n">
        <x:v>89.7</x:v>
      </x:c>
      <x:c r="AK592" s="35" t="str">
        <x:v>No</x:v>
      </x:c>
      <x:c r="AL592" s="38" t="n">
        <x:f>IF(AA592=0,0,AB592/AA592)</x:f>
        <x:v>0.8571428571428571</x:v>
      </x:c>
      <x:c r="AM592" s="38" t="n">
        <x:f>IF(AB592=0,0,AC592/AB592)</x:f>
        <x:v>0.3333333333333333</x:v>
      </x:c>
      <x:c r="AN592" s="37" t="n">
        <x:f>ROUND((AD592*0.20+AE592*0.20+AF592*0.25+AG592*0.15+MIN(100,AC592*12)*0.20),1)</x:f>
        <x:v>69.4</x:v>
      </x:c>
      <x:c r="AO592" s="37" t="n">
        <x:f>ROUND(MAX(0,MIN(100,(X592*0.35)+(W592/45*100*0.20)+((5-O592)/4*100*0.15)+((5-P592)/4*100*0.10)+((6-Y592)/5*100*0.10)+((100-Z592)*0.10))),1)</x:f>
        <x:v>45.7</x:v>
      </x:c>
      <x:c r="AP592" s="37" t="str">
        <x:f>IF(AO592&gt;=70,"High",IF(AO592&gt;=40,"Moderate","Low"))</x:f>
        <x:v>Moderate</x:v>
      </x:c>
      <x:c r="AQ592" s="37" t="n">
        <x:f>ROUND(MAX(0,MIN(100,(O592/4*100*0.25)+(P592/4*100*0.20)+(Q592/4*100*0.15)+(Y592/5*100*0.20)+(100-AO592)*0.20)),1)</x:f>
        <x:v>64.6</x:v>
      </x:c>
      <x:c r="AR592" s="37" t="n">
        <x:f>ROUND((AI592*0.20+AJ592*0.15+AN592*0.18+AG592*0.12+Z592*0.15+AQ592*0.20),1)</x:f>
        <x:v>82.1</x:v>
      </x:c>
      <x:c r="AS592" s="39" t="n">
        <x:f>ROUND((AC592*AF592*120)+(AH592*350)+(MAX(0,AI592-75)*220)+(MAX(0,AQ592-60)*100),0)</x:f>
        <x:v>21916</x:v>
      </x:c>
    </x:row>
    <x:row r="593">
      <x:c r="A593" s="35" t="n">
        <x:v>592</x:v>
      </x:c>
      <x:c r="B593" s="35" t="n">
        <x:v>59</x:v>
      </x:c>
      <x:c r="C593" s="35" t="str">
        <x:v>Male</x:v>
      </x:c>
      <x:c r="D593" s="35" t="str">
        <x:v>Research &amp; Development</x:v>
      </x:c>
      <x:c r="E593" s="35" t="str">
        <x:v>Research Scientist</x:v>
      </x:c>
      <x:c r="F593" s="35" t="str">
        <x:v>Business</x:v>
      </x:c>
      <x:c r="G593" s="35" t="str">
        <x:v>Married</x:v>
      </x:c>
      <x:c r="H593" s="35" t="n">
        <x:v>5</x:v>
      </x:c>
      <x:c r="I593" s="36" t="n">
        <x:v>33450</x:v>
      </x:c>
      <x:c r="J593" s="35" t="n">
        <x:v>23</x:v>
      </x:c>
      <x:c r="K593" s="35" t="n">
        <x:v>10</x:v>
      </x:c>
      <x:c r="L593" s="35" t="n">
        <x:v>5</x:v>
      </x:c>
      <x:c r="M593" s="35" t="n">
        <x:v>5</x:v>
      </x:c>
      <x:c r="N593" s="35" t="str">
        <x:v>Yes</x:v>
      </x:c>
      <x:c r="O593" s="35" t="n">
        <x:v>3</x:v>
      </x:c>
      <x:c r="P593" s="35" t="n">
        <x:v>2</x:v>
      </x:c>
      <x:c r="Q593" s="35" t="n">
        <x:v>3</x:v>
      </x:c>
      <x:c r="R593" s="35" t="n">
        <x:v>3</x:v>
      </x:c>
      <x:c r="S593" s="35" t="n">
        <x:v>3</x:v>
      </x:c>
      <x:c r="T593" s="35" t="n">
        <x:v>4</x:v>
      </x:c>
      <x:c r="U593" s="35" t="n">
        <x:v>1</x:v>
      </x:c>
      <x:c r="V593" s="35" t="n">
        <x:v>9</x:v>
      </x:c>
      <x:c r="W593" s="35" t="n">
        <x:v>2</x:v>
      </x:c>
      <x:c r="X593" s="35" t="n">
        <x:v>75</x:v>
      </x:c>
      <x:c r="Y593" s="35" t="n">
        <x:v>3</x:v>
      </x:c>
      <x:c r="Z593" s="35" t="n">
        <x:v>86</x:v>
      </x:c>
      <x:c r="AA593" s="35" t="n">
        <x:v>8</x:v>
      </x:c>
      <x:c r="AB593" s="35" t="n">
        <x:v>6</x:v>
      </x:c>
      <x:c r="AC593" s="35" t="n">
        <x:v>6</x:v>
      </x:c>
      <x:c r="AD593" s="35" t="n">
        <x:v>90</x:v>
      </x:c>
      <x:c r="AE593" s="35" t="n">
        <x:v>88</x:v>
      </x:c>
      <x:c r="AF593" s="35" t="n">
        <x:v>90</x:v>
      </x:c>
      <x:c r="AG593" s="35" t="n">
        <x:v>88</x:v>
      </x:c>
      <x:c r="AH593" s="35" t="n">
        <x:v>8</x:v>
      </x:c>
      <x:c r="AI593" s="37" t="n">
        <x:v>87.2</x:v>
      </x:c>
      <x:c r="AJ593" s="37" t="n">
        <x:v>89.4</x:v>
      </x:c>
      <x:c r="AK593" s="35" t="str">
        <x:v>No</x:v>
      </x:c>
      <x:c r="AL593" s="38" t="n">
        <x:f>IF(AA593=0,0,AB593/AA593)</x:f>
        <x:v>0.75</x:v>
      </x:c>
      <x:c r="AM593" s="38" t="n">
        <x:f>IF(AB593=0,0,AC593/AB593)</x:f>
        <x:v>1</x:v>
      </x:c>
      <x:c r="AN593" s="37" t="n">
        <x:f>ROUND((AD593*0.20+AE593*0.20+AF593*0.25+AG593*0.15+MIN(100,AC593*12)*0.20),1)</x:f>
        <x:v>85.7</x:v>
      </x:c>
      <x:c r="AO593" s="37" t="n">
        <x:f>ROUND(MAX(0,MIN(100,(X593*0.35)+(W593/45*100*0.20)+((5-O593)/4*100*0.15)+((5-P593)/4*100*0.10)+((6-Y593)/5*100*0.10)+((100-Z593)*0.10))),1)</x:f>
        <x:v>49.5</x:v>
      </x:c>
      <x:c r="AP593" s="37" t="str">
        <x:f>IF(AO593&gt;=70,"High",IF(AO593&gt;=40,"Moderate","Low"))</x:f>
        <x:v>Moderate</x:v>
      </x:c>
      <x:c r="AQ593" s="37" t="n">
        <x:f>ROUND(MAX(0,MIN(100,(O593/4*100*0.25)+(P593/4*100*0.20)+(Q593/4*100*0.15)+(Y593/5*100*0.20)+(100-AO593)*0.20)),1)</x:f>
        <x:v>62.1</x:v>
      </x:c>
      <x:c r="AR593" s="37" t="n">
        <x:f>ROUND((AI593*0.20+AJ593*0.15+AN593*0.18+AG593*0.12+Z593*0.15+AQ593*0.20),1)</x:f>
        <x:v>82.2</x:v>
      </x:c>
      <x:c r="AS593" s="39" t="n">
        <x:f>ROUND((AC593*AF593*120)+(AH593*350)+(MAX(0,AI593-75)*220)+(MAX(0,AQ593-60)*100),0)</x:f>
        <x:v>70494</x:v>
      </x:c>
    </x:row>
    <x:row r="594">
      <x:c r="A594" s="35" t="n">
        <x:v>593</x:v>
      </x:c>
      <x:c r="B594" s="35" t="n">
        <x:v>21</x:v>
      </x:c>
      <x:c r="C594" s="35" t="str">
        <x:v>Male</x:v>
      </x:c>
      <x:c r="D594" s="35" t="str">
        <x:v>Operations</x:v>
      </x:c>
      <x:c r="E594" s="35" t="str">
        <x:v>Quality Specialist</x:v>
      </x:c>
      <x:c r="F594" s="35" t="str">
        <x:v>Business</x:v>
      </x:c>
      <x:c r="G594" s="35" t="str">
        <x:v>Single</x:v>
      </x:c>
      <x:c r="H594" s="35" t="n">
        <x:v>1</x:v>
      </x:c>
      <x:c r="I594" s="36" t="n">
        <x:v>6430</x:v>
      </x:c>
      <x:c r="J594" s="35" t="n">
        <x:v>0</x:v>
      </x:c>
      <x:c r="K594" s="35" t="n">
        <x:v>0</x:v>
      </x:c>
      <x:c r="L594" s="35" t="n">
        <x:v>0</x:v>
      </x:c>
      <x:c r="M594" s="35" t="n">
        <x:v>1</x:v>
      </x:c>
      <x:c r="N594" s="35" t="str">
        <x:v>Yes</x:v>
      </x:c>
      <x:c r="O594" s="35" t="n">
        <x:v>2</x:v>
      </x:c>
      <x:c r="P594" s="35" t="n">
        <x:v>3</x:v>
      </x:c>
      <x:c r="Q594" s="35" t="n">
        <x:v>3</x:v>
      </x:c>
      <x:c r="R594" s="35" t="n">
        <x:v>2</x:v>
      </x:c>
      <x:c r="S594" s="35" t="n">
        <x:v>3</x:v>
      </x:c>
      <x:c r="T594" s="35" t="n">
        <x:v>4</x:v>
      </x:c>
      <x:c r="U594" s="35" t="n">
        <x:v>1</x:v>
      </x:c>
      <x:c r="V594" s="35" t="n">
        <x:v>9</x:v>
      </x:c>
      <x:c r="W594" s="35" t="n">
        <x:v>32</x:v>
      </x:c>
      <x:c r="X594" s="35" t="n">
        <x:v>86</x:v>
      </x:c>
      <x:c r="Y594" s="35" t="n">
        <x:v>4</x:v>
      </x:c>
      <x:c r="Z594" s="35" t="n">
        <x:v>89</x:v>
      </x:c>
      <x:c r="AA594" s="35" t="n">
        <x:v>8</x:v>
      </x:c>
      <x:c r="AB594" s="35" t="n">
        <x:v>7</x:v>
      </x:c>
      <x:c r="AC594" s="35" t="n">
        <x:v>4</x:v>
      </x:c>
      <x:c r="AD594" s="35" t="n">
        <x:v>59</x:v>
      </x:c>
      <x:c r="AE594" s="35" t="n">
        <x:v>79</x:v>
      </x:c>
      <x:c r="AF594" s="35" t="n">
        <x:v>85</x:v>
      </x:c>
      <x:c r="AG594" s="35" t="n">
        <x:v>82</x:v>
      </x:c>
      <x:c r="AH594" s="35" t="n">
        <x:v>8</x:v>
      </x:c>
      <x:c r="AI594" s="37" t="n">
        <x:v>100</x:v>
      </x:c>
      <x:c r="AJ594" s="37" t="n">
        <x:v>82.8</x:v>
      </x:c>
      <x:c r="AK594" s="35" t="str">
        <x:v>No</x:v>
      </x:c>
      <x:c r="AL594" s="38" t="n">
        <x:f>IF(AA594=0,0,AB594/AA594)</x:f>
        <x:v>0.875</x:v>
      </x:c>
      <x:c r="AM594" s="38" t="n">
        <x:f>IF(AB594=0,0,AC594/AB594)</x:f>
        <x:v>0.5714285714285714</x:v>
      </x:c>
      <x:c r="AN594" s="37" t="n">
        <x:f>ROUND((AD594*0.20+AE594*0.20+AF594*0.25+AG594*0.15+MIN(100,AC594*12)*0.20),1)</x:f>
        <x:v>70.8</x:v>
      </x:c>
      <x:c r="AO594" s="37" t="n">
        <x:f>ROUND(MAX(0,MIN(100,(X594*0.35)+(W594/45*100*0.20)+((5-O594)/4*100*0.15)+((5-P594)/4*100*0.10)+((6-Y594)/5*100*0.10)+((100-Z594)*0.10))),1)</x:f>
        <x:v>65.7</x:v>
      </x:c>
      <x:c r="AP594" s="37" t="str">
        <x:f>IF(AO594&gt;=70,"High",IF(AO594&gt;=40,"Moderate","Low"))</x:f>
        <x:v>Moderate</x:v>
      </x:c>
      <x:c r="AQ594" s="37" t="n">
        <x:f>ROUND(MAX(0,MIN(100,(O594/4*100*0.25)+(P594/4*100*0.20)+(Q594/4*100*0.15)+(Y594/5*100*0.20)+(100-AO594)*0.20)),1)</x:f>
        <x:v>61.6</x:v>
      </x:c>
      <x:c r="AR594" s="37" t="n">
        <x:f>ROUND((AI594*0.20+AJ594*0.15+AN594*0.18+AG594*0.12+Z594*0.15+AQ594*0.20),1)</x:f>
        <x:v>80.7</x:v>
      </x:c>
      <x:c r="AS594" s="39" t="n">
        <x:f>ROUND((AC594*AF594*120)+(AH594*350)+(MAX(0,AI594-75)*220)+(MAX(0,AQ594-60)*100),0)</x:f>
        <x:v>49260</x:v>
      </x:c>
    </x:row>
    <x:row r="595">
      <x:c r="A595" s="35" t="n">
        <x:v>594</x:v>
      </x:c>
      <x:c r="B595" s="35" t="n">
        <x:v>29</x:v>
      </x:c>
      <x:c r="C595" s="35" t="str">
        <x:v>Male</x:v>
      </x:c>
      <x:c r="D595" s="35" t="str">
        <x:v>Finance</x:v>
      </x:c>
      <x:c r="E595" s="35" t="str">
        <x:v>Financial Analyst</x:v>
      </x:c>
      <x:c r="F595" s="35" t="str">
        <x:v>Medical</x:v>
      </x:c>
      <x:c r="G595" s="35" t="str">
        <x:v>Married</x:v>
      </x:c>
      <x:c r="H595" s="35" t="n">
        <x:v>1</x:v>
      </x:c>
      <x:c r="I595" s="36" t="n">
        <x:v>5730</x:v>
      </x:c>
      <x:c r="J595" s="35" t="n">
        <x:v>5</x:v>
      </x:c>
      <x:c r="K595" s="35" t="n">
        <x:v>2</x:v>
      </x:c>
      <x:c r="L595" s="35" t="n">
        <x:v>1</x:v>
      </x:c>
      <x:c r="M595" s="35" t="n">
        <x:v>11</x:v>
      </x:c>
      <x:c r="N595" s="35" t="str">
        <x:v>Yes</x:v>
      </x:c>
      <x:c r="O595" s="35" t="n">
        <x:v>3</x:v>
      </x:c>
      <x:c r="P595" s="35" t="n">
        <x:v>4</x:v>
      </x:c>
      <x:c r="Q595" s="35" t="n">
        <x:v>4</x:v>
      </x:c>
      <x:c r="R595" s="35" t="n">
        <x:v>4</x:v>
      </x:c>
      <x:c r="S595" s="35" t="n">
        <x:v>3</x:v>
      </x:c>
      <x:c r="T595" s="35" t="n">
        <x:v>3</x:v>
      </x:c>
      <x:c r="U595" s="35" t="n">
        <x:v>0</x:v>
      </x:c>
      <x:c r="V595" s="35" t="n">
        <x:v>1</x:v>
      </x:c>
      <x:c r="W595" s="35" t="n">
        <x:v>17</x:v>
      </x:c>
      <x:c r="X595" s="35" t="n">
        <x:v>79</x:v>
      </x:c>
      <x:c r="Y595" s="35" t="n">
        <x:v>5</x:v>
      </x:c>
      <x:c r="Z595" s="35" t="n">
        <x:v>100</x:v>
      </x:c>
      <x:c r="AA595" s="35" t="n">
        <x:v>7</x:v>
      </x:c>
      <x:c r="AB595" s="35" t="n">
        <x:v>5</x:v>
      </x:c>
      <x:c r="AC595" s="35" t="n">
        <x:v>4</x:v>
      </x:c>
      <x:c r="AD595" s="35" t="n">
        <x:v>77</x:v>
      </x:c>
      <x:c r="AE595" s="35" t="n">
        <x:v>93</x:v>
      </x:c>
      <x:c r="AF595" s="35" t="n">
        <x:v>66</x:v>
      </x:c>
      <x:c r="AG595" s="35" t="n">
        <x:v>84</x:v>
      </x:c>
      <x:c r="AH595" s="35" t="n">
        <x:v>8</x:v>
      </x:c>
      <x:c r="AI595" s="37" t="n">
        <x:v>100</x:v>
      </x:c>
      <x:c r="AJ595" s="37" t="n">
        <x:v>100</x:v>
      </x:c>
      <x:c r="AK595" s="35" t="str">
        <x:v>No</x:v>
      </x:c>
      <x:c r="AL595" s="38" t="n">
        <x:f>IF(AA595=0,0,AB595/AA595)</x:f>
        <x:v>0.7142857142857143</x:v>
      </x:c>
      <x:c r="AM595" s="38" t="n">
        <x:f>IF(AB595=0,0,AC595/AB595)</x:f>
        <x:v>0.8</x:v>
      </x:c>
      <x:c r="AN595" s="37" t="n">
        <x:f>ROUND((AD595*0.20+AE595*0.20+AF595*0.25+AG595*0.15+MIN(100,AC595*12)*0.20),1)</x:f>
        <x:v>72.7</x:v>
      </x:c>
      <x:c r="AO595" s="37" t="n">
        <x:f>ROUND(MAX(0,MIN(100,(X595*0.35)+(W595/45*100*0.20)+((5-O595)/4*100*0.15)+((5-P595)/4*100*0.10)+((6-Y595)/5*100*0.10)+((100-Z595)*0.10))),1)</x:f>
        <x:v>47.2</x:v>
      </x:c>
      <x:c r="AP595" s="37" t="str">
        <x:f>IF(AO595&gt;=70,"High",IF(AO595&gt;=40,"Moderate","Low"))</x:f>
        <x:v>Moderate</x:v>
      </x:c>
      <x:c r="AQ595" s="37" t="n">
        <x:f>ROUND(MAX(0,MIN(100,(O595/4*100*0.25)+(P595/4*100*0.20)+(Q595/4*100*0.15)+(Y595/5*100*0.20)+(100-AO595)*0.20)),1)</x:f>
        <x:v>84.3</x:v>
      </x:c>
      <x:c r="AR595" s="37" t="n">
        <x:f>ROUND((AI595*0.20+AJ595*0.15+AN595*0.18+AG595*0.12+Z595*0.15+AQ595*0.20),1)</x:f>
        <x:v>90</x:v>
      </x:c>
      <x:c r="AS595" s="39" t="n">
        <x:f>ROUND((AC595*AF595*120)+(AH595*350)+(MAX(0,AI595-75)*220)+(MAX(0,AQ595-60)*100),0)</x:f>
        <x:v>42410</x:v>
      </x:c>
    </x:row>
    <x:row r="596">
      <x:c r="A596" s="35" t="n">
        <x:v>595</x:v>
      </x:c>
      <x:c r="B596" s="35" t="n">
        <x:v>31</x:v>
      </x:c>
      <x:c r="C596" s="35" t="str">
        <x:v>Female</x:v>
      </x:c>
      <x:c r="D596" s="35" t="str">
        <x:v>Marketing</x:v>
      </x:c>
      <x:c r="E596" s="35" t="str">
        <x:v>Digital Marketing Analyst</x:v>
      </x:c>
      <x:c r="F596" s="35" t="str">
        <x:v>Medical</x:v>
      </x:c>
      <x:c r="G596" s="35" t="str">
        <x:v>Divorced</x:v>
      </x:c>
      <x:c r="H596" s="35" t="n">
        <x:v>2</x:v>
      </x:c>
      <x:c r="I596" s="36" t="n">
        <x:v>9250</x:v>
      </x:c>
      <x:c r="J596" s="35" t="n">
        <x:v>5</x:v>
      </x:c>
      <x:c r="K596" s="35" t="n">
        <x:v>4</x:v>
      </x:c>
      <x:c r="L596" s="35" t="n">
        <x:v>1</x:v>
      </x:c>
      <x:c r="M596" s="35" t="n">
        <x:v>6</x:v>
      </x:c>
      <x:c r="N596" s="35" t="str">
        <x:v>No</x:v>
      </x:c>
      <x:c r="O596" s="35" t="n">
        <x:v>3</x:v>
      </x:c>
      <x:c r="P596" s="35" t="n">
        <x:v>3</x:v>
      </x:c>
      <x:c r="Q596" s="35" t="n">
        <x:v>3</x:v>
      </x:c>
      <x:c r="R596" s="35" t="n">
        <x:v>3</x:v>
      </x:c>
      <x:c r="S596" s="35" t="n">
        <x:v>3</x:v>
      </x:c>
      <x:c r="T596" s="35" t="n">
        <x:v>3</x:v>
      </x:c>
      <x:c r="U596" s="35" t="n">
        <x:v>0</x:v>
      </x:c>
      <x:c r="V596" s="35" t="n">
        <x:v>11</x:v>
      </x:c>
      <x:c r="W596" s="35" t="n">
        <x:v>1</x:v>
      </x:c>
      <x:c r="X596" s="35" t="n">
        <x:v>63</x:v>
      </x:c>
      <x:c r="Y596" s="35" t="n">
        <x:v>5</x:v>
      </x:c>
      <x:c r="Z596" s="35" t="n">
        <x:v>100</x:v>
      </x:c>
      <x:c r="AA596" s="35" t="n">
        <x:v>2</x:v>
      </x:c>
      <x:c r="AB596" s="35" t="n">
        <x:v>2</x:v>
      </x:c>
      <x:c r="AC596" s="35" t="n">
        <x:v>2</x:v>
      </x:c>
      <x:c r="AD596" s="35" t="n">
        <x:v>58</x:v>
      </x:c>
      <x:c r="AE596" s="35" t="n">
        <x:v>67</x:v>
      </x:c>
      <x:c r="AF596" s="35" t="n">
        <x:v>89</x:v>
      </x:c>
      <x:c r="AG596" s="35" t="n">
        <x:v>93</x:v>
      </x:c>
      <x:c r="AH596" s="35" t="n">
        <x:v>8</x:v>
      </x:c>
      <x:c r="AI596" s="37" t="n">
        <x:v>100</x:v>
      </x:c>
      <x:c r="AJ596" s="37" t="n">
        <x:v>98.1</x:v>
      </x:c>
      <x:c r="AK596" s="35" t="str">
        <x:v>No</x:v>
      </x:c>
      <x:c r="AL596" s="38" t="n">
        <x:f>IF(AA596=0,0,AB596/AA596)</x:f>
        <x:v>1</x:v>
      </x:c>
      <x:c r="AM596" s="38" t="n">
        <x:f>IF(AB596=0,0,AC596/AB596)</x:f>
        <x:v>1</x:v>
      </x:c>
      <x:c r="AN596" s="37" t="n">
        <x:f>ROUND((AD596*0.20+AE596*0.20+AF596*0.25+AG596*0.15+MIN(100,AC596*12)*0.20),1)</x:f>
        <x:v>66</x:v>
      </x:c>
      <x:c r="AO596" s="37" t="n">
        <x:f>ROUND(MAX(0,MIN(100,(X596*0.35)+(W596/45*100*0.20)+((5-O596)/4*100*0.15)+((5-P596)/4*100*0.10)+((6-Y596)/5*100*0.10)+((100-Z596)*0.10))),1)</x:f>
        <x:v>37</x:v>
      </x:c>
      <x:c r="AP596" s="37" t="str">
        <x:f>IF(AO596&gt;=70,"High",IF(AO596&gt;=40,"Moderate","Low"))</x:f>
        <x:v>Low</x:v>
      </x:c>
      <x:c r="AQ596" s="37" t="n">
        <x:f>ROUND(MAX(0,MIN(100,(O596/4*100*0.25)+(P596/4*100*0.20)+(Q596/4*100*0.15)+(Y596/5*100*0.20)+(100-AO596)*0.20)),1)</x:f>
        <x:v>77.6</x:v>
      </x:c>
      <x:c r="AR596" s="37" t="n">
        <x:f>ROUND((AI596*0.20+AJ596*0.15+AN596*0.18+AG596*0.12+Z596*0.15+AQ596*0.20),1)</x:f>
        <x:v>88.3</x:v>
      </x:c>
      <x:c r="AS596" s="39" t="n">
        <x:f>ROUND((AC596*AF596*120)+(AH596*350)+(MAX(0,AI596-75)*220)+(MAX(0,AQ596-60)*100),0)</x:f>
        <x:v>31420</x:v>
      </x:c>
    </x:row>
    <x:row r="597">
      <x:c r="A597" s="35" t="n">
        <x:v>596</x:v>
      </x:c>
      <x:c r="B597" s="35" t="n">
        <x:v>37</x:v>
      </x:c>
      <x:c r="C597" s="35" t="str">
        <x:v>Female</x:v>
      </x:c>
      <x:c r="D597" s="35" t="str">
        <x:v>Sales</x:v>
      </x:c>
      <x:c r="E597" s="35" t="str">
        <x:v>Account Manager</x:v>
      </x:c>
      <x:c r="F597" s="35" t="str">
        <x:v>Marketing</x:v>
      </x:c>
      <x:c r="G597" s="35" t="str">
        <x:v>Married</x:v>
      </x:c>
      <x:c r="H597" s="35" t="n">
        <x:v>2</x:v>
      </x:c>
      <x:c r="I597" s="36" t="n">
        <x:v>6880</x:v>
      </x:c>
      <x:c r="J597" s="35" t="n">
        <x:v>11</x:v>
      </x:c>
      <x:c r="K597" s="35" t="n">
        <x:v>8</x:v>
      </x:c>
      <x:c r="L597" s="35" t="n">
        <x:v>4</x:v>
      </x:c>
      <x:c r="M597" s="35" t="n">
        <x:v>4</x:v>
      </x:c>
      <x:c r="N597" s="35" t="str">
        <x:v>No</x:v>
      </x:c>
      <x:c r="O597" s="35" t="n">
        <x:v>4</x:v>
      </x:c>
      <x:c r="P597" s="35" t="n">
        <x:v>3</x:v>
      </x:c>
      <x:c r="Q597" s="35" t="n">
        <x:v>2</x:v>
      </x:c>
      <x:c r="R597" s="35" t="n">
        <x:v>2</x:v>
      </x:c>
      <x:c r="S597" s="35" t="n">
        <x:v>3</x:v>
      </x:c>
      <x:c r="T597" s="35" t="n">
        <x:v>0</x:v>
      </x:c>
      <x:c r="U597" s="35" t="n">
        <x:v>2</x:v>
      </x:c>
      <x:c r="V597" s="35" t="n">
        <x:v>10</x:v>
      </x:c>
      <x:c r="W597" s="35" t="n">
        <x:v>5</x:v>
      </x:c>
      <x:c r="X597" s="35" t="n">
        <x:v>76</x:v>
      </x:c>
      <x:c r="Y597" s="35" t="n">
        <x:v>5</x:v>
      </x:c>
      <x:c r="Z597" s="35" t="n">
        <x:v>100</x:v>
      </x:c>
      <x:c r="AA597" s="35" t="n">
        <x:v>6</x:v>
      </x:c>
      <x:c r="AB597" s="35" t="n">
        <x:v>5</x:v>
      </x:c>
      <x:c r="AC597" s="35" t="n">
        <x:v>3</x:v>
      </x:c>
      <x:c r="AD597" s="35" t="n">
        <x:v>87</x:v>
      </x:c>
      <x:c r="AE597" s="35" t="n">
        <x:v>82</x:v>
      </x:c>
      <x:c r="AF597" s="35" t="n">
        <x:v>74</x:v>
      </x:c>
      <x:c r="AG597" s="35" t="n">
        <x:v>88</x:v>
      </x:c>
      <x:c r="AH597" s="35" t="n">
        <x:v>8</x:v>
      </x:c>
      <x:c r="AI597" s="37" t="n">
        <x:v>96.5</x:v>
      </x:c>
      <x:c r="AJ597" s="37" t="n">
        <x:v>96.4</x:v>
      </x:c>
      <x:c r="AK597" s="35" t="str">
        <x:v>No</x:v>
      </x:c>
      <x:c r="AL597" s="38" t="n">
        <x:f>IF(AA597=0,0,AB597/AA597)</x:f>
        <x:v>0.8333333333333334</x:v>
      </x:c>
      <x:c r="AM597" s="38" t="n">
        <x:f>IF(AB597=0,0,AC597/AB597)</x:f>
        <x:v>0.6</x:v>
      </x:c>
      <x:c r="AN597" s="37" t="n">
        <x:f>ROUND((AD597*0.20+AE597*0.20+AF597*0.25+AG597*0.15+MIN(100,AC597*12)*0.20),1)</x:f>
        <x:v>72.7</x:v>
      </x:c>
      <x:c r="AO597" s="37" t="n">
        <x:f>ROUND(MAX(0,MIN(100,(X597*0.35)+(W597/45*100*0.20)+((5-O597)/4*100*0.15)+((5-P597)/4*100*0.10)+((6-Y597)/5*100*0.10)+((100-Z597)*0.10))),1)</x:f>
        <x:v>39.6</x:v>
      </x:c>
      <x:c r="AP597" s="37" t="str">
        <x:f>IF(AO597&gt;=70,"High",IF(AO597&gt;=40,"Moderate","Low"))</x:f>
        <x:v>Low</x:v>
      </x:c>
      <x:c r="AQ597" s="37" t="n">
        <x:f>ROUND(MAX(0,MIN(100,(O597/4*100*0.25)+(P597/4*100*0.20)+(Q597/4*100*0.15)+(Y597/5*100*0.20)+(100-AO597)*0.20)),1)</x:f>
        <x:v>79.6</x:v>
      </x:c>
      <x:c r="AR597" s="37" t="n">
        <x:f>ROUND((AI597*0.20+AJ597*0.15+AN597*0.18+AG597*0.12+Z597*0.15+AQ597*0.20),1)</x:f>
        <x:v>88.3</x:v>
      </x:c>
      <x:c r="AS597" s="39" t="n">
        <x:f>ROUND((AC597*AF597*120)+(AH597*350)+(MAX(0,AI597-75)*220)+(MAX(0,AQ597-60)*100),0)</x:f>
        <x:v>36130</x:v>
      </x:c>
    </x:row>
    <x:row r="598">
      <x:c r="A598" s="35" t="n">
        <x:v>597</x:v>
      </x:c>
      <x:c r="B598" s="35" t="n">
        <x:v>51</x:v>
      </x:c>
      <x:c r="C598" s="35" t="str">
        <x:v>Male</x:v>
      </x:c>
      <x:c r="D598" s="35" t="str">
        <x:v>Information Technology</x:v>
      </x:c>
      <x:c r="E598" s="35" t="str">
        <x:v>IT Manager</x:v>
      </x:c>
      <x:c r="F598" s="35" t="str">
        <x:v>Computer Science</x:v>
      </x:c>
      <x:c r="G598" s="35" t="str">
        <x:v>Married</x:v>
      </x:c>
      <x:c r="H598" s="35" t="n">
        <x:v>5</x:v>
      </x:c>
      <x:c r="I598" s="36" t="n">
        <x:v>27810</x:v>
      </x:c>
      <x:c r="J598" s="35" t="n">
        <x:v>20</x:v>
      </x:c>
      <x:c r="K598" s="35" t="n">
        <x:v>9</x:v>
      </x:c>
      <x:c r="L598" s="35" t="n">
        <x:v>6</x:v>
      </x:c>
      <x:c r="M598" s="35" t="n">
        <x:v>5</x:v>
      </x:c>
      <x:c r="N598" s="35" t="str">
        <x:v>Yes</x:v>
      </x:c>
      <x:c r="O598" s="35" t="n">
        <x:v>2</x:v>
      </x:c>
      <x:c r="P598" s="35" t="n">
        <x:v>2</x:v>
      </x:c>
      <x:c r="Q598" s="35" t="n">
        <x:v>3</x:v>
      </x:c>
      <x:c r="R598" s="35" t="n">
        <x:v>2</x:v>
      </x:c>
      <x:c r="S598" s="35" t="n">
        <x:v>3</x:v>
      </x:c>
      <x:c r="T598" s="35" t="n">
        <x:v>3</x:v>
      </x:c>
      <x:c r="U598" s="35" t="n">
        <x:v>1</x:v>
      </x:c>
      <x:c r="V598" s="35" t="n">
        <x:v>12</x:v>
      </x:c>
      <x:c r="W598" s="35" t="n">
        <x:v>11</x:v>
      </x:c>
      <x:c r="X598" s="35" t="n">
        <x:v>79</x:v>
      </x:c>
      <x:c r="Y598" s="35" t="n">
        <x:v>4</x:v>
      </x:c>
      <x:c r="Z598" s="35" t="n">
        <x:v>86</x:v>
      </x:c>
      <x:c r="AA598" s="35" t="n">
        <x:v>11</x:v>
      </x:c>
      <x:c r="AB598" s="35" t="n">
        <x:v>7</x:v>
      </x:c>
      <x:c r="AC598" s="35" t="n">
        <x:v>6</x:v>
      </x:c>
      <x:c r="AD598" s="35" t="n">
        <x:v>92</x:v>
      </x:c>
      <x:c r="AE598" s="35" t="n">
        <x:v>92</x:v>
      </x:c>
      <x:c r="AF598" s="35" t="n">
        <x:v>100</x:v>
      </x:c>
      <x:c r="AG598" s="35" t="n">
        <x:v>98</x:v>
      </x:c>
      <x:c r="AH598" s="35" t="n">
        <x:v>7</x:v>
      </x:c>
      <x:c r="AI598" s="37" t="n">
        <x:v>95.3</x:v>
      </x:c>
      <x:c r="AJ598" s="37" t="n">
        <x:v>98.5</x:v>
      </x:c>
      <x:c r="AK598" s="35" t="str">
        <x:v>No</x:v>
      </x:c>
      <x:c r="AL598" s="38" t="n">
        <x:f>IF(AA598=0,0,AB598/AA598)</x:f>
        <x:v>0.6363636363636364</x:v>
      </x:c>
      <x:c r="AM598" s="38" t="n">
        <x:f>IF(AB598=0,0,AC598/AB598)</x:f>
        <x:v>0.8571428571428571</x:v>
      </x:c>
      <x:c r="AN598" s="37" t="n">
        <x:f>ROUND((AD598*0.20+AE598*0.20+AF598*0.25+AG598*0.15+MIN(100,AC598*12)*0.20),1)</x:f>
        <x:v>90.9</x:v>
      </x:c>
      <x:c r="AO598" s="37" t="n">
        <x:f>ROUND(MAX(0,MIN(100,(X598*0.35)+(W598/45*100*0.20)+((5-O598)/4*100*0.15)+((5-P598)/4*100*0.10)+((6-Y598)/5*100*0.10)+((100-Z598)*0.10))),1)</x:f>
        <x:v>56.7</x:v>
      </x:c>
      <x:c r="AP598" s="37" t="str">
        <x:f>IF(AO598&gt;=70,"High",IF(AO598&gt;=40,"Moderate","Low"))</x:f>
        <x:v>Moderate</x:v>
      </x:c>
      <x:c r="AQ598" s="37" t="n">
        <x:f>ROUND(MAX(0,MIN(100,(O598/4*100*0.25)+(P598/4*100*0.20)+(Q598/4*100*0.15)+(Y598/5*100*0.20)+(100-AO598)*0.20)),1)</x:f>
        <x:v>58.4</x:v>
      </x:c>
      <x:c r="AR598" s="37" t="n">
        <x:f>ROUND((AI598*0.20+AJ598*0.15+AN598*0.18+AG598*0.12+Z598*0.15+AQ598*0.20),1)</x:f>
        <x:v>86.5</x:v>
      </x:c>
      <x:c r="AS598" s="39" t="n">
        <x:f>ROUND((AC598*AF598*120)+(AH598*350)+(MAX(0,AI598-75)*220)+(MAX(0,AQ598-60)*100),0)</x:f>
        <x:v>78916</x:v>
      </x:c>
    </x:row>
    <x:row r="599">
      <x:c r="A599" s="35" t="n">
        <x:v>598</x:v>
      </x:c>
      <x:c r="B599" s="35" t="n">
        <x:v>40</x:v>
      </x:c>
      <x:c r="C599" s="35" t="str">
        <x:v>Female</x:v>
      </x:c>
      <x:c r="D599" s="35" t="str">
        <x:v>Operations</x:v>
      </x:c>
      <x:c r="E599" s="35" t="str">
        <x:v>Operations Manager</x:v>
      </x:c>
      <x:c r="F599" s="35" t="str">
        <x:v>Human Resources</x:v>
      </x:c>
      <x:c r="G599" s="35" t="str">
        <x:v>Married</x:v>
      </x:c>
      <x:c r="H599" s="35" t="n">
        <x:v>4</x:v>
      </x:c>
      <x:c r="I599" s="36" t="n">
        <x:v>18110</x:v>
      </x:c>
      <x:c r="J599" s="35" t="n">
        <x:v>10</x:v>
      </x:c>
      <x:c r="K599" s="35" t="n">
        <x:v>5</x:v>
      </x:c>
      <x:c r="L599" s="35" t="n">
        <x:v>1</x:v>
      </x:c>
      <x:c r="M599" s="35" t="n">
        <x:v>1</x:v>
      </x:c>
      <x:c r="N599" s="35" t="str">
        <x:v>No</x:v>
      </x:c>
      <x:c r="O599" s="35" t="n">
        <x:v>3</x:v>
      </x:c>
      <x:c r="P599" s="35" t="n">
        <x:v>3</x:v>
      </x:c>
      <x:c r="Q599" s="35" t="n">
        <x:v>3</x:v>
      </x:c>
      <x:c r="R599" s="35" t="n">
        <x:v>2</x:v>
      </x:c>
      <x:c r="S599" s="35" t="n">
        <x:v>3</x:v>
      </x:c>
      <x:c r="T599" s="35" t="n">
        <x:v>3</x:v>
      </x:c>
      <x:c r="U599" s="35" t="n">
        <x:v>1</x:v>
      </x:c>
      <x:c r="V599" s="35" t="n">
        <x:v>9</x:v>
      </x:c>
      <x:c r="W599" s="35" t="n">
        <x:v>2</x:v>
      </x:c>
      <x:c r="X599" s="35" t="n">
        <x:v>47</x:v>
      </x:c>
      <x:c r="Y599" s="35" t="n">
        <x:v>5</x:v>
      </x:c>
      <x:c r="Z599" s="35" t="n">
        <x:v>99</x:v>
      </x:c>
      <x:c r="AA599" s="35" t="n">
        <x:v>5</x:v>
      </x:c>
      <x:c r="AB599" s="35" t="n">
        <x:v>4</x:v>
      </x:c>
      <x:c r="AC599" s="35" t="n">
        <x:v>4</x:v>
      </x:c>
      <x:c r="AD599" s="35" t="n">
        <x:v>58</x:v>
      </x:c>
      <x:c r="AE599" s="35" t="n">
        <x:v>78</x:v>
      </x:c>
      <x:c r="AF599" s="35" t="n">
        <x:v>87</x:v>
      </x:c>
      <x:c r="AG599" s="35" t="n">
        <x:v>76</x:v>
      </x:c>
      <x:c r="AH599" s="35" t="n">
        <x:v>9</x:v>
      </x:c>
      <x:c r="AI599" s="37" t="n">
        <x:v>99.6</x:v>
      </x:c>
      <x:c r="AJ599" s="37" t="n">
        <x:v>90.2</x:v>
      </x:c>
      <x:c r="AK599" s="35" t="str">
        <x:v>No</x:v>
      </x:c>
      <x:c r="AL599" s="38" t="n">
        <x:f>IF(AA599=0,0,AB599/AA599)</x:f>
        <x:v>0.8</x:v>
      </x:c>
      <x:c r="AM599" s="38" t="n">
        <x:f>IF(AB599=0,0,AC599/AB599)</x:f>
        <x:v>1</x:v>
      </x:c>
      <x:c r="AN599" s="37" t="n">
        <x:f>ROUND((AD599*0.20+AE599*0.20+AF599*0.25+AG599*0.15+MIN(100,AC599*12)*0.20),1)</x:f>
        <x:v>70</x:v>
      </x:c>
      <x:c r="AO599" s="37" t="n">
        <x:f>ROUND(MAX(0,MIN(100,(X599*0.35)+(W599/45*100*0.20)+((5-O599)/4*100*0.15)+((5-P599)/4*100*0.10)+((6-Y599)/5*100*0.10)+((100-Z599)*0.10))),1)</x:f>
        <x:v>31.9</x:v>
      </x:c>
      <x:c r="AP599" s="37" t="str">
        <x:f>IF(AO599&gt;=70,"High",IF(AO599&gt;=40,"Moderate","Low"))</x:f>
        <x:v>Low</x:v>
      </x:c>
      <x:c r="AQ599" s="37" t="n">
        <x:f>ROUND(MAX(0,MIN(100,(O599/4*100*0.25)+(P599/4*100*0.20)+(Q599/4*100*0.15)+(Y599/5*100*0.20)+(100-AO599)*0.20)),1)</x:f>
        <x:v>78.6</x:v>
      </x:c>
      <x:c r="AR599" s="37" t="n">
        <x:f>ROUND((AI599*0.20+AJ599*0.15+AN599*0.18+AG599*0.12+Z599*0.15+AQ599*0.20),1)</x:f>
        <x:v>85.7</x:v>
      </x:c>
      <x:c r="AS599" s="39" t="n">
        <x:f>ROUND((AC599*AF599*120)+(AH599*350)+(MAX(0,AI599-75)*220)+(MAX(0,AQ599-60)*100),0)</x:f>
        <x:v>52182</x:v>
      </x:c>
    </x:row>
    <x:row r="600">
      <x:c r="A600" s="35" t="n">
        <x:v>599</x:v>
      </x:c>
      <x:c r="B600" s="35" t="n">
        <x:v>38</x:v>
      </x:c>
      <x:c r="C600" s="35" t="str">
        <x:v>Male</x:v>
      </x:c>
      <x:c r="D600" s="35" t="str">
        <x:v>Sales</x:v>
      </x:c>
      <x:c r="E600" s="35" t="str">
        <x:v>Account Manager</x:v>
      </x:c>
      <x:c r="F600" s="35" t="str">
        <x:v>Computer Science</x:v>
      </x:c>
      <x:c r="G600" s="35" t="str">
        <x:v>Single</x:v>
      </x:c>
      <x:c r="H600" s="35" t="n">
        <x:v>2</x:v>
      </x:c>
      <x:c r="I600" s="36" t="n">
        <x:v>7090</x:v>
      </x:c>
      <x:c r="J600" s="35" t="n">
        <x:v>12</x:v>
      </x:c>
      <x:c r="K600" s="35" t="n">
        <x:v>7</x:v>
      </x:c>
      <x:c r="L600" s="35" t="n">
        <x:v>2</x:v>
      </x:c>
      <x:c r="M600" s="35" t="n">
        <x:v>10</x:v>
      </x:c>
      <x:c r="N600" s="35" t="str">
        <x:v>No</x:v>
      </x:c>
      <x:c r="O600" s="35" t="n">
        <x:v>4</x:v>
      </x:c>
      <x:c r="P600" s="35" t="n">
        <x:v>2</x:v>
      </x:c>
      <x:c r="Q600" s="35" t="n">
        <x:v>4</x:v>
      </x:c>
      <x:c r="R600" s="35" t="n">
        <x:v>3</x:v>
      </x:c>
      <x:c r="S600" s="35" t="n">
        <x:v>3</x:v>
      </x:c>
      <x:c r="T600" s="35" t="n">
        <x:v>2</x:v>
      </x:c>
      <x:c r="U600" s="35" t="n">
        <x:v>1</x:v>
      </x:c>
      <x:c r="V600" s="35" t="n">
        <x:v>5</x:v>
      </x:c>
      <x:c r="W600" s="35" t="n">
        <x:v>2</x:v>
      </x:c>
      <x:c r="X600" s="35" t="n">
        <x:v>68</x:v>
      </x:c>
      <x:c r="Y600" s="35" t="n">
        <x:v>4</x:v>
      </x:c>
      <x:c r="Z600" s="35" t="n">
        <x:v>97</x:v>
      </x:c>
      <x:c r="AA600" s="35" t="n">
        <x:v>2</x:v>
      </x:c>
      <x:c r="AB600" s="35" t="n">
        <x:v>2</x:v>
      </x:c>
      <x:c r="AC600" s="35" t="n">
        <x:v>1</x:v>
      </x:c>
      <x:c r="AD600" s="35" t="n">
        <x:v>67</x:v>
      </x:c>
      <x:c r="AE600" s="35" t="n">
        <x:v>48</x:v>
      </x:c>
      <x:c r="AF600" s="35" t="n">
        <x:v>66</x:v>
      </x:c>
      <x:c r="AG600" s="35" t="n">
        <x:v>100</x:v>
      </x:c>
      <x:c r="AH600" s="35" t="n">
        <x:v>4</x:v>
      </x:c>
      <x:c r="AI600" s="37" t="n">
        <x:v>100</x:v>
      </x:c>
      <x:c r="AJ600" s="37" t="n">
        <x:v>100</x:v>
      </x:c>
      <x:c r="AK600" s="35" t="str">
        <x:v>No</x:v>
      </x:c>
      <x:c r="AL600" s="38" t="n">
        <x:f>IF(AA600=0,0,AB600/AA600)</x:f>
        <x:v>1</x:v>
      </x:c>
      <x:c r="AM600" s="38" t="n">
        <x:f>IF(AB600=0,0,AC600/AB600)</x:f>
        <x:v>0.5</x:v>
      </x:c>
      <x:c r="AN600" s="37" t="n">
        <x:f>ROUND((AD600*0.20+AE600*0.20+AF600*0.25+AG600*0.15+MIN(100,AC600*12)*0.20),1)</x:f>
        <x:v>56.9</x:v>
      </x:c>
      <x:c r="AO600" s="37" t="n">
        <x:f>ROUND(MAX(0,MIN(100,(X600*0.35)+(W600/45*100*0.20)+((5-O600)/4*100*0.15)+((5-P600)/4*100*0.10)+((6-Y600)/5*100*0.10)+((100-Z600)*0.10))),1)</x:f>
        <x:v>40.2</x:v>
      </x:c>
      <x:c r="AP600" s="37" t="str">
        <x:f>IF(AO600&gt;=70,"High",IF(AO600&gt;=40,"Moderate","Low"))</x:f>
        <x:v>Moderate</x:v>
      </x:c>
      <x:c r="AQ600" s="37" t="n">
        <x:f>ROUND(MAX(0,MIN(100,(O600/4*100*0.25)+(P600/4*100*0.20)+(Q600/4*100*0.15)+(Y600/5*100*0.20)+(100-AO600)*0.20)),1)</x:f>
        <x:v>78</x:v>
      </x:c>
      <x:c r="AR600" s="37" t="n">
        <x:f>ROUND((AI600*0.20+AJ600*0.15+AN600*0.18+AG600*0.12+Z600*0.15+AQ600*0.20),1)</x:f>
        <x:v>87.4</x:v>
      </x:c>
      <x:c r="AS600" s="39" t="n">
        <x:f>ROUND((AC600*AF600*120)+(AH600*350)+(MAX(0,AI600-75)*220)+(MAX(0,AQ600-60)*100),0)</x:f>
        <x:v>16620</x:v>
      </x:c>
    </x:row>
    <x:row r="601">
      <x:c r="A601" s="35" t="n">
        <x:v>600</x:v>
      </x:c>
      <x:c r="B601" s="35" t="n">
        <x:v>24</x:v>
      </x:c>
      <x:c r="C601" s="35" t="str">
        <x:v>Female</x:v>
      </x:c>
      <x:c r="D601" s="35" t="str">
        <x:v>Operations</x:v>
      </x:c>
      <x:c r="E601" s="35" t="str">
        <x:v>Operations Manager</x:v>
      </x:c>
      <x:c r="F601" s="35" t="str">
        <x:v>Business</x:v>
      </x:c>
      <x:c r="G601" s="35" t="str">
        <x:v>Single</x:v>
      </x:c>
      <x:c r="H601" s="35" t="n">
        <x:v>2</x:v>
      </x:c>
      <x:c r="I601" s="36" t="n">
        <x:v>8940</x:v>
      </x:c>
      <x:c r="J601" s="35" t="n">
        <x:v>2</x:v>
      </x:c>
      <x:c r="K601" s="35" t="n">
        <x:v>1</x:v>
      </x:c>
      <x:c r="L601" s="35" t="n">
        <x:v>0</x:v>
      </x:c>
      <x:c r="M601" s="35" t="n">
        <x:v>11</x:v>
      </x:c>
      <x:c r="N601" s="35" t="str">
        <x:v>Yes</x:v>
      </x:c>
      <x:c r="O601" s="35" t="n">
        <x:v>2</x:v>
      </x:c>
      <x:c r="P601" s="35" t="n">
        <x:v>2</x:v>
      </x:c>
      <x:c r="Q601" s="35" t="n">
        <x:v>2</x:v>
      </x:c>
      <x:c r="R601" s="35" t="n">
        <x:v>4</x:v>
      </x:c>
      <x:c r="S601" s="35" t="n">
        <x:v>3</x:v>
      </x:c>
      <x:c r="T601" s="35" t="n">
        <x:v>1</x:v>
      </x:c>
      <x:c r="U601" s="35" t="n">
        <x:v>0</x:v>
      </x:c>
      <x:c r="V601" s="35" t="n">
        <x:v>5</x:v>
      </x:c>
      <x:c r="W601" s="35" t="n">
        <x:v>20</x:v>
      </x:c>
      <x:c r="X601" s="35" t="n">
        <x:v>95</x:v>
      </x:c>
      <x:c r="Y601" s="35" t="n">
        <x:v>3</x:v>
      </x:c>
      <x:c r="Z601" s="35" t="n">
        <x:v>96</x:v>
      </x:c>
      <x:c r="AA601" s="35" t="n">
        <x:v>8</x:v>
      </x:c>
      <x:c r="AB601" s="35" t="n">
        <x:v>5</x:v>
      </x:c>
      <x:c r="AC601" s="35" t="n">
        <x:v>5</x:v>
      </x:c>
      <x:c r="AD601" s="35" t="n">
        <x:v>77</x:v>
      </x:c>
      <x:c r="AE601" s="35" t="n">
        <x:v>87</x:v>
      </x:c>
      <x:c r="AF601" s="35" t="n">
        <x:v>70</x:v>
      </x:c>
      <x:c r="AG601" s="35" t="n">
        <x:v>100</x:v>
      </x:c>
      <x:c r="AH601" s="35" t="n">
        <x:v>9</x:v>
      </x:c>
      <x:c r="AI601" s="37" t="n">
        <x:v>89.2</x:v>
      </x:c>
      <x:c r="AJ601" s="37" t="n">
        <x:v>91.6</x:v>
      </x:c>
      <x:c r="AK601" s="35" t="str">
        <x:v>Yes</x:v>
      </x:c>
      <x:c r="AL601" s="38" t="n">
        <x:f>IF(AA601=0,0,AB601/AA601)</x:f>
        <x:v>0.625</x:v>
      </x:c>
      <x:c r="AM601" s="38" t="n">
        <x:f>IF(AB601=0,0,AC601/AB601)</x:f>
        <x:v>1</x:v>
      </x:c>
      <x:c r="AN601" s="37" t="n">
        <x:f>ROUND((AD601*0.20+AE601*0.20+AF601*0.25+AG601*0.15+MIN(100,AC601*12)*0.20),1)</x:f>
        <x:v>77.3</x:v>
      </x:c>
      <x:c r="AO601" s="37" t="n">
        <x:f>ROUND(MAX(0,MIN(100,(X601*0.35)+(W601/45*100*0.20)+((5-O601)/4*100*0.15)+((5-P601)/4*100*0.10)+((6-Y601)/5*100*0.10)+((100-Z601)*0.10))),1)</x:f>
        <x:v>67.3</x:v>
      </x:c>
      <x:c r="AP601" s="37" t="str">
        <x:f>IF(AO601&gt;=70,"High",IF(AO601&gt;=40,"Moderate","Low"))</x:f>
        <x:v>Moderate</x:v>
      </x:c>
      <x:c r="AQ601" s="37" t="n">
        <x:f>ROUND(MAX(0,MIN(100,(O601/4*100*0.25)+(P601/4*100*0.20)+(Q601/4*100*0.15)+(Y601/5*100*0.20)+(100-AO601)*0.20)),1)</x:f>
        <x:v>48.5</x:v>
      </x:c>
      <x:c r="AR601" s="37" t="n">
        <x:f>ROUND((AI601*0.20+AJ601*0.15+AN601*0.18+AG601*0.12+Z601*0.15+AQ601*0.20),1)</x:f>
        <x:v>81.6</x:v>
      </x:c>
      <x:c r="AS601" s="39" t="n">
        <x:f>ROUND((AC601*AF601*120)+(AH601*350)+(MAX(0,AI601-75)*220)+(MAX(0,AQ601-60)*100),0)</x:f>
        <x:v>48274</x:v>
      </x:c>
    </x:row>
    <x:row r="602">
      <x:c r="A602" s="35" t="n">
        <x:v>601</x:v>
      </x:c>
      <x:c r="B602" s="35" t="n">
        <x:v>21</x:v>
      </x:c>
      <x:c r="C602" s="35" t="str">
        <x:v>Female</x:v>
      </x:c>
      <x:c r="D602" s="35" t="str">
        <x:v>Sales</x:v>
      </x:c>
      <x:c r="E602" s="35" t="str">
        <x:v>Sales Representative</x:v>
      </x:c>
      <x:c r="F602" s="35" t="str">
        <x:v>Technical Degree</x:v>
      </x:c>
      <x:c r="G602" s="35" t="str">
        <x:v>Married</x:v>
      </x:c>
      <x:c r="H602" s="35" t="n">
        <x:v>1</x:v>
      </x:c>
      <x:c r="I602" s="36" t="n">
        <x:v>6040</x:v>
      </x:c>
      <x:c r="J602" s="35" t="n">
        <x:v>0</x:v>
      </x:c>
      <x:c r="K602" s="35" t="n">
        <x:v>0</x:v>
      </x:c>
      <x:c r="L602" s="35" t="n">
        <x:v>0</x:v>
      </x:c>
      <x:c r="M602" s="35" t="n">
        <x:v>5</x:v>
      </x:c>
      <x:c r="N602" s="35" t="str">
        <x:v>No</x:v>
      </x:c>
      <x:c r="O602" s="35" t="n">
        <x:v>4</x:v>
      </x:c>
      <x:c r="P602" s="35" t="n">
        <x:v>3</x:v>
      </x:c>
      <x:c r="Q602" s="35" t="n">
        <x:v>4</x:v>
      </x:c>
      <x:c r="R602" s="35" t="n">
        <x:v>2</x:v>
      </x:c>
      <x:c r="S602" s="35" t="n">
        <x:v>3</x:v>
      </x:c>
      <x:c r="T602" s="35" t="n">
        <x:v>1</x:v>
      </x:c>
      <x:c r="U602" s="35" t="n">
        <x:v>2</x:v>
      </x:c>
      <x:c r="V602" s="35" t="n">
        <x:v>8</x:v>
      </x:c>
      <x:c r="W602" s="35" t="n">
        <x:v>6</x:v>
      </x:c>
      <x:c r="X602" s="35" t="n">
        <x:v>78</x:v>
      </x:c>
      <x:c r="Y602" s="35" t="n">
        <x:v>5</x:v>
      </x:c>
      <x:c r="Z602" s="35" t="n">
        <x:v>94</x:v>
      </x:c>
      <x:c r="AA602" s="35" t="n">
        <x:v>7</x:v>
      </x:c>
      <x:c r="AB602" s="35" t="n">
        <x:v>6</x:v>
      </x:c>
      <x:c r="AC602" s="35" t="n">
        <x:v>6</x:v>
      </x:c>
      <x:c r="AD602" s="35" t="n">
        <x:v>72</x:v>
      </x:c>
      <x:c r="AE602" s="35" t="n">
        <x:v>95</x:v>
      </x:c>
      <x:c r="AF602" s="35" t="n">
        <x:v>79</x:v>
      </x:c>
      <x:c r="AG602" s="35" t="n">
        <x:v>86</x:v>
      </x:c>
      <x:c r="AH602" s="35" t="n">
        <x:v>10</x:v>
      </x:c>
      <x:c r="AI602" s="37" t="n">
        <x:v>94.9</x:v>
      </x:c>
      <x:c r="AJ602" s="37" t="n">
        <x:v>93.2</x:v>
      </x:c>
      <x:c r="AK602" s="35" t="str">
        <x:v>No</x:v>
      </x:c>
      <x:c r="AL602" s="38" t="n">
        <x:f>IF(AA602=0,0,AB602/AA602)</x:f>
        <x:v>0.8571428571428571</x:v>
      </x:c>
      <x:c r="AM602" s="38" t="n">
        <x:f>IF(AB602=0,0,AC602/AB602)</x:f>
        <x:v>1</x:v>
      </x:c>
      <x:c r="AN602" s="37" t="n">
        <x:f>ROUND((AD602*0.20+AE602*0.20+AF602*0.25+AG602*0.15+MIN(100,AC602*12)*0.20),1)</x:f>
        <x:v>80.5</x:v>
      </x:c>
      <x:c r="AO602" s="37" t="n">
        <x:f>ROUND(MAX(0,MIN(100,(X602*0.35)+(W602/45*100*0.20)+((5-O602)/4*100*0.15)+((5-P602)/4*100*0.10)+((6-Y602)/5*100*0.10)+((100-Z602)*0.10))),1)</x:f>
        <x:v>41.3</x:v>
      </x:c>
      <x:c r="AP602" s="37" t="str">
        <x:f>IF(AO602&gt;=70,"High",IF(AO602&gt;=40,"Moderate","Low"))</x:f>
        <x:v>Moderate</x:v>
      </x:c>
      <x:c r="AQ602" s="37" t="n">
        <x:f>ROUND(MAX(0,MIN(100,(O602/4*100*0.25)+(P602/4*100*0.20)+(Q602/4*100*0.15)+(Y602/5*100*0.20)+(100-AO602)*0.20)),1)</x:f>
        <x:v>86.7</x:v>
      </x:c>
      <x:c r="AR602" s="37" t="n">
        <x:f>ROUND((AI602*0.20+AJ602*0.15+AN602*0.18+AG602*0.12+Z602*0.15+AQ602*0.20),1)</x:f>
        <x:v>89.2</x:v>
      </x:c>
      <x:c r="AS602" s="39" t="n">
        <x:f>ROUND((AC602*AF602*120)+(AH602*350)+(MAX(0,AI602-75)*220)+(MAX(0,AQ602-60)*100),0)</x:f>
        <x:v>67428</x:v>
      </x:c>
    </x:row>
    <x:row r="603">
      <x:c r="A603" s="35" t="n">
        <x:v>602</x:v>
      </x:c>
      <x:c r="B603" s="35" t="n">
        <x:v>25</x:v>
      </x:c>
      <x:c r="C603" s="35" t="str">
        <x:v>Female</x:v>
      </x:c>
      <x:c r="D603" s="35" t="str">
        <x:v>Finance</x:v>
      </x:c>
      <x:c r="E603" s="35" t="str">
        <x:v>Accountant</x:v>
      </x:c>
      <x:c r="F603" s="35" t="str">
        <x:v>Computer Science</x:v>
      </x:c>
      <x:c r="G603" s="35" t="str">
        <x:v>Married</x:v>
      </x:c>
      <x:c r="H603" s="35" t="n">
        <x:v>1</x:v>
      </x:c>
      <x:c r="I603" s="36" t="n">
        <x:v>6580</x:v>
      </x:c>
      <x:c r="J603" s="35" t="n">
        <x:v>3</x:v>
      </x:c>
      <x:c r="K603" s="35" t="n">
        <x:v>2</x:v>
      </x:c>
      <x:c r="L603" s="35" t="n">
        <x:v>1</x:v>
      </x:c>
      <x:c r="M603" s="35" t="n">
        <x:v>9</x:v>
      </x:c>
      <x:c r="N603" s="35" t="str">
        <x:v>No</x:v>
      </x:c>
      <x:c r="O603" s="35" t="n">
        <x:v>3</x:v>
      </x:c>
      <x:c r="P603" s="35" t="n">
        <x:v>3</x:v>
      </x:c>
      <x:c r="Q603" s="35" t="n">
        <x:v>3</x:v>
      </x:c>
      <x:c r="R603" s="35" t="n">
        <x:v>3</x:v>
      </x:c>
      <x:c r="S603" s="35" t="n">
        <x:v>3</x:v>
      </x:c>
      <x:c r="T603" s="35" t="n">
        <x:v>3</x:v>
      </x:c>
      <x:c r="U603" s="35" t="n">
        <x:v>0</x:v>
      </x:c>
      <x:c r="V603" s="35" t="n">
        <x:v>11</x:v>
      </x:c>
      <x:c r="W603" s="35" t="n">
        <x:v>0</x:v>
      </x:c>
      <x:c r="X603" s="35" t="n">
        <x:v>52</x:v>
      </x:c>
      <x:c r="Y603" s="35" t="n">
        <x:v>5</x:v>
      </x:c>
      <x:c r="Z603" s="35" t="n">
        <x:v>100</x:v>
      </x:c>
      <x:c r="AA603" s="35" t="n">
        <x:v>2</x:v>
      </x:c>
      <x:c r="AB603" s="35" t="n">
        <x:v>1</x:v>
      </x:c>
      <x:c r="AC603" s="35" t="n">
        <x:v>1</x:v>
      </x:c>
      <x:c r="AD603" s="35" t="n">
        <x:v>31</x:v>
      </x:c>
      <x:c r="AE603" s="35" t="n">
        <x:v>76</x:v>
      </x:c>
      <x:c r="AF603" s="35" t="n">
        <x:v>59</x:v>
      </x:c>
      <x:c r="AG603" s="35" t="n">
        <x:v>93</x:v>
      </x:c>
      <x:c r="AH603" s="35" t="n">
        <x:v>0</x:v>
      </x:c>
      <x:c r="AI603" s="37" t="n">
        <x:v>92.6</x:v>
      </x:c>
      <x:c r="AJ603" s="37" t="n">
        <x:v>95.2</x:v>
      </x:c>
      <x:c r="AK603" s="35" t="str">
        <x:v>No</x:v>
      </x:c>
      <x:c r="AL603" s="38" t="n">
        <x:f>IF(AA603=0,0,AB603/AA603)</x:f>
        <x:v>0.5</x:v>
      </x:c>
      <x:c r="AM603" s="38" t="n">
        <x:f>IF(AB603=0,0,AC603/AB603)</x:f>
        <x:v>1</x:v>
      </x:c>
      <x:c r="AN603" s="37" t="n">
        <x:f>ROUND((AD603*0.20+AE603*0.20+AF603*0.25+AG603*0.15+MIN(100,AC603*12)*0.20),1)</x:f>
        <x:v>52.5</x:v>
      </x:c>
      <x:c r="AO603" s="37" t="n">
        <x:f>ROUND(MAX(0,MIN(100,(X603*0.35)+(W603/45*100*0.20)+((5-O603)/4*100*0.15)+((5-P603)/4*100*0.10)+((6-Y603)/5*100*0.10)+((100-Z603)*0.10))),1)</x:f>
        <x:v>32.7</x:v>
      </x:c>
      <x:c r="AP603" s="37" t="str">
        <x:f>IF(AO603&gt;=70,"High",IF(AO603&gt;=40,"Moderate","Low"))</x:f>
        <x:v>Low</x:v>
      </x:c>
      <x:c r="AQ603" s="37" t="n">
        <x:f>ROUND(MAX(0,MIN(100,(O603/4*100*0.25)+(P603/4*100*0.20)+(Q603/4*100*0.15)+(Y603/5*100*0.20)+(100-AO603)*0.20)),1)</x:f>
        <x:v>78.5</x:v>
      </x:c>
      <x:c r="AR603" s="37" t="n">
        <x:f>ROUND((AI603*0.20+AJ603*0.15+AN603*0.18+AG603*0.12+Z603*0.15+AQ603*0.20),1)</x:f>
        <x:v>84.1</x:v>
      </x:c>
      <x:c r="AS603" s="39" t="n">
        <x:f>ROUND((AC603*AF603*120)+(AH603*350)+(MAX(0,AI603-75)*220)+(MAX(0,AQ603-60)*100),0)</x:f>
        <x:v>12802</x:v>
      </x:c>
    </x:row>
    <x:row r="604">
      <x:c r="A604" s="35" t="n">
        <x:v>603</x:v>
      </x:c>
      <x:c r="B604" s="35" t="n">
        <x:v>32</x:v>
      </x:c>
      <x:c r="C604" s="35" t="str">
        <x:v>Male</x:v>
      </x:c>
      <x:c r="D604" s="35" t="str">
        <x:v>Sales</x:v>
      </x:c>
      <x:c r="E604" s="35" t="str">
        <x:v>Sales Representative</x:v>
      </x:c>
      <x:c r="F604" s="35" t="str">
        <x:v>Business</x:v>
      </x:c>
      <x:c r="G604" s="35" t="str">
        <x:v>Married</x:v>
      </x:c>
      <x:c r="H604" s="35" t="n">
        <x:v>2</x:v>
      </x:c>
      <x:c r="I604" s="36" t="n">
        <x:v>10350</x:v>
      </x:c>
      <x:c r="J604" s="35" t="n">
        <x:v>7</x:v>
      </x:c>
      <x:c r="K604" s="35" t="n">
        <x:v>4</x:v>
      </x:c>
      <x:c r="L604" s="35" t="n">
        <x:v>1</x:v>
      </x:c>
      <x:c r="M604" s="35" t="n">
        <x:v>9</x:v>
      </x:c>
      <x:c r="N604" s="35" t="str">
        <x:v>Yes</x:v>
      </x:c>
      <x:c r="O604" s="35" t="n">
        <x:v>4</x:v>
      </x:c>
      <x:c r="P604" s="35" t="n">
        <x:v>2</x:v>
      </x:c>
      <x:c r="Q604" s="35" t="n">
        <x:v>3</x:v>
      </x:c>
      <x:c r="R604" s="35" t="n">
        <x:v>4</x:v>
      </x:c>
      <x:c r="S604" s="35" t="n">
        <x:v>3</x:v>
      </x:c>
      <x:c r="T604" s="35" t="n">
        <x:v>4</x:v>
      </x:c>
      <x:c r="U604" s="35" t="n">
        <x:v>2</x:v>
      </x:c>
      <x:c r="V604" s="35" t="n">
        <x:v>7</x:v>
      </x:c>
      <x:c r="W604" s="35" t="n">
        <x:v>17</x:v>
      </x:c>
      <x:c r="X604" s="35" t="n">
        <x:v>62</x:v>
      </x:c>
      <x:c r="Y604" s="35" t="n">
        <x:v>4</x:v>
      </x:c>
      <x:c r="Z604" s="35" t="n">
        <x:v>98</x:v>
      </x:c>
      <x:c r="AA604" s="35" t="n">
        <x:v>11</x:v>
      </x:c>
      <x:c r="AB604" s="35" t="n">
        <x:v>9</x:v>
      </x:c>
      <x:c r="AC604" s="35" t="n">
        <x:v>7</x:v>
      </x:c>
      <x:c r="AD604" s="35" t="n">
        <x:v>82</x:v>
      </x:c>
      <x:c r="AE604" s="35" t="n">
        <x:v>67</x:v>
      </x:c>
      <x:c r="AF604" s="35" t="n">
        <x:v>71</x:v>
      </x:c>
      <x:c r="AG604" s="35" t="n">
        <x:v>100</x:v>
      </x:c>
      <x:c r="AH604" s="35" t="n">
        <x:v>10</x:v>
      </x:c>
      <x:c r="AI604" s="37" t="n">
        <x:v>95.5</x:v>
      </x:c>
      <x:c r="AJ604" s="37" t="n">
        <x:v>95.1</x:v>
      </x:c>
      <x:c r="AK604" s="35" t="str">
        <x:v>Yes</x:v>
      </x:c>
      <x:c r="AL604" s="38" t="n">
        <x:f>IF(AA604=0,0,AB604/AA604)</x:f>
        <x:v>0.8181818181818182</x:v>
      </x:c>
      <x:c r="AM604" s="38" t="n">
        <x:f>IF(AB604=0,0,AC604/AB604)</x:f>
        <x:v>0.7777777777777778</x:v>
      </x:c>
      <x:c r="AN604" s="37" t="n">
        <x:f>ROUND((AD604*0.20+AE604*0.20+AF604*0.25+AG604*0.15+MIN(100,AC604*12)*0.20),1)</x:f>
        <x:v>79.4</x:v>
      </x:c>
      <x:c r="AO604" s="37" t="n">
        <x:f>ROUND(MAX(0,MIN(100,(X604*0.35)+(W604/45*100*0.20)+((5-O604)/4*100*0.15)+((5-P604)/4*100*0.10)+((6-Y604)/5*100*0.10)+((100-Z604)*0.10))),1)</x:f>
        <x:v>44.7</x:v>
      </x:c>
      <x:c r="AP604" s="37" t="str">
        <x:f>IF(AO604&gt;=70,"High",IF(AO604&gt;=40,"Moderate","Low"))</x:f>
        <x:v>Moderate</x:v>
      </x:c>
      <x:c r="AQ604" s="37" t="n">
        <x:f>ROUND(MAX(0,MIN(100,(O604/4*100*0.25)+(P604/4*100*0.20)+(Q604/4*100*0.15)+(Y604/5*100*0.20)+(100-AO604)*0.20)),1)</x:f>
        <x:v>73.3</x:v>
      </x:c>
      <x:c r="AR604" s="37" t="n">
        <x:f>ROUND((AI604*0.20+AJ604*0.15+AN604*0.18+AG604*0.12+Z604*0.15+AQ604*0.20),1)</x:f>
        <x:v>89</x:v>
      </x:c>
      <x:c r="AS604" s="39" t="n">
        <x:f>ROUND((AC604*AF604*120)+(AH604*350)+(MAX(0,AI604-75)*220)+(MAX(0,AQ604-60)*100),0)</x:f>
        <x:v>68980</x:v>
      </x:c>
    </x:row>
    <x:row r="605">
      <x:c r="A605" s="35" t="n">
        <x:v>604</x:v>
      </x:c>
      <x:c r="B605" s="35" t="n">
        <x:v>21</x:v>
      </x:c>
      <x:c r="C605" s="35" t="str">
        <x:v>Male</x:v>
      </x:c>
      <x:c r="D605" s="35" t="str">
        <x:v>Operations</x:v>
      </x:c>
      <x:c r="E605" s="35" t="str">
        <x:v>Quality Specialist</x:v>
      </x:c>
      <x:c r="F605" s="35" t="str">
        <x:v>Computer Science</x:v>
      </x:c>
      <x:c r="G605" s="35" t="str">
        <x:v>Married</x:v>
      </x:c>
      <x:c r="H605" s="35" t="n">
        <x:v>1</x:v>
      </x:c>
      <x:c r="I605" s="36" t="n">
        <x:v>4000</x:v>
      </x:c>
      <x:c r="J605" s="35" t="n">
        <x:v>0</x:v>
      </x:c>
      <x:c r="K605" s="35" t="n">
        <x:v>0</x:v>
      </x:c>
      <x:c r="L605" s="35" t="n">
        <x:v>0</x:v>
      </x:c>
      <x:c r="M605" s="35" t="n">
        <x:v>9</x:v>
      </x:c>
      <x:c r="N605" s="35" t="str">
        <x:v>No</x:v>
      </x:c>
      <x:c r="O605" s="35" t="n">
        <x:v>3</x:v>
      </x:c>
      <x:c r="P605" s="35" t="n">
        <x:v>3</x:v>
      </x:c>
      <x:c r="Q605" s="35" t="n">
        <x:v>2</x:v>
      </x:c>
      <x:c r="R605" s="35" t="n">
        <x:v>2</x:v>
      </x:c>
      <x:c r="S605" s="35" t="n">
        <x:v>3</x:v>
      </x:c>
      <x:c r="T605" s="35" t="n">
        <x:v>3</x:v>
      </x:c>
      <x:c r="U605" s="35" t="n">
        <x:v>2</x:v>
      </x:c>
      <x:c r="V605" s="35" t="n">
        <x:v>2</x:v>
      </x:c>
      <x:c r="W605" s="35" t="n">
        <x:v>0</x:v>
      </x:c>
      <x:c r="X605" s="35" t="n">
        <x:v>67</x:v>
      </x:c>
      <x:c r="Y605" s="35" t="n">
        <x:v>5</x:v>
      </x:c>
      <x:c r="Z605" s="35" t="n">
        <x:v>91</x:v>
      </x:c>
      <x:c r="AA605" s="35" t="n">
        <x:v>3</x:v>
      </x:c>
      <x:c r="AB605" s="35" t="n">
        <x:v>3</x:v>
      </x:c>
      <x:c r="AC605" s="35" t="n">
        <x:v>0</x:v>
      </x:c>
      <x:c r="AD605" s="35" t="n">
        <x:v>68</x:v>
      </x:c>
      <x:c r="AE605" s="35" t="n">
        <x:v>86</x:v>
      </x:c>
      <x:c r="AF605" s="35" t="n">
        <x:v>72</x:v>
      </x:c>
      <x:c r="AG605" s="35" t="n">
        <x:v>65</x:v>
      </x:c>
      <x:c r="AH605" s="35" t="n">
        <x:v>4</x:v>
      </x:c>
      <x:c r="AI605" s="37" t="n">
        <x:v>98.4</x:v>
      </x:c>
      <x:c r="AJ605" s="37" t="n">
        <x:v>88.6</x:v>
      </x:c>
      <x:c r="AK605" s="35" t="str">
        <x:v>No</x:v>
      </x:c>
      <x:c r="AL605" s="38" t="n">
        <x:f>IF(AA605=0,0,AB605/AA605)</x:f>
        <x:v>1</x:v>
      </x:c>
      <x:c r="AM605" s="38" t="n">
        <x:f>IF(AB605=0,0,AC605/AB605)</x:f>
        <x:v>0</x:v>
      </x:c>
      <x:c r="AN605" s="37" t="n">
        <x:f>ROUND((AD605*0.20+AE605*0.20+AF605*0.25+AG605*0.15+MIN(100,AC605*12)*0.20),1)</x:f>
        <x:v>58.6</x:v>
      </x:c>
      <x:c r="AO605" s="37" t="n">
        <x:f>ROUND(MAX(0,MIN(100,(X605*0.35)+(W605/45*100*0.20)+((5-O605)/4*100*0.15)+((5-P605)/4*100*0.10)+((6-Y605)/5*100*0.10)+((100-Z605)*0.10))),1)</x:f>
        <x:v>38.9</x:v>
      </x:c>
      <x:c r="AP605" s="37" t="str">
        <x:f>IF(AO605&gt;=70,"High",IF(AO605&gt;=40,"Moderate","Low"))</x:f>
        <x:v>Low</x:v>
      </x:c>
      <x:c r="AQ605" s="37" t="n">
        <x:f>ROUND(MAX(0,MIN(100,(O605/4*100*0.25)+(P605/4*100*0.20)+(Q605/4*100*0.15)+(Y605/5*100*0.20)+(100-AO605)*0.20)),1)</x:f>
        <x:v>73.5</x:v>
      </x:c>
      <x:c r="AR605" s="37" t="n">
        <x:f>ROUND((AI605*0.20+AJ605*0.15+AN605*0.18+AG605*0.12+Z605*0.15+AQ605*0.20),1)</x:f>
        <x:v>79.7</x:v>
      </x:c>
      <x:c r="AS605" s="39" t="n">
        <x:f>ROUND((AC605*AF605*120)+(AH605*350)+(MAX(0,AI605-75)*220)+(MAX(0,AQ605-60)*100),0)</x:f>
        <x:v>7898</x:v>
      </x:c>
    </x:row>
    <x:row r="606">
      <x:c r="A606" s="35" t="n">
        <x:v>605</x:v>
      </x:c>
      <x:c r="B606" s="35" t="n">
        <x:v>21</x:v>
      </x:c>
      <x:c r="C606" s="35" t="str">
        <x:v>Male</x:v>
      </x:c>
      <x:c r="D606" s="35" t="str">
        <x:v>Sales</x:v>
      </x:c>
      <x:c r="E606" s="35" t="str">
        <x:v>Sales Representative</x:v>
      </x:c>
      <x:c r="F606" s="35" t="str">
        <x:v>Marketing</x:v>
      </x:c>
      <x:c r="G606" s="35" t="str">
        <x:v>Single</x:v>
      </x:c>
      <x:c r="H606" s="35" t="n">
        <x:v>1</x:v>
      </x:c>
      <x:c r="I606" s="36" t="n">
        <x:v>4560</x:v>
      </x:c>
      <x:c r="J606" s="35" t="n">
        <x:v>0</x:v>
      </x:c>
      <x:c r="K606" s="35" t="n">
        <x:v>0</x:v>
      </x:c>
      <x:c r="L606" s="35" t="n">
        <x:v>0</x:v>
      </x:c>
      <x:c r="M606" s="35" t="n">
        <x:v>6</x:v>
      </x:c>
      <x:c r="N606" s="35" t="str">
        <x:v>No</x:v>
      </x:c>
      <x:c r="O606" s="35" t="n">
        <x:v>2</x:v>
      </x:c>
      <x:c r="P606" s="35" t="n">
        <x:v>2</x:v>
      </x:c>
      <x:c r="Q606" s="35" t="n">
        <x:v>4</x:v>
      </x:c>
      <x:c r="R606" s="35" t="n">
        <x:v>3</x:v>
      </x:c>
      <x:c r="S606" s="35" t="n">
        <x:v>3</x:v>
      </x:c>
      <x:c r="T606" s="35" t="n">
        <x:v>4</x:v>
      </x:c>
      <x:c r="U606" s="35" t="n">
        <x:v>0</x:v>
      </x:c>
      <x:c r="V606" s="35" t="n">
        <x:v>8</x:v>
      </x:c>
      <x:c r="W606" s="35" t="n">
        <x:v>4</x:v>
      </x:c>
      <x:c r="X606" s="35" t="n">
        <x:v>48</x:v>
      </x:c>
      <x:c r="Y606" s="35" t="n">
        <x:v>5</x:v>
      </x:c>
      <x:c r="Z606" s="35" t="n">
        <x:v>100</x:v>
      </x:c>
      <x:c r="AA606" s="35" t="n">
        <x:v>3</x:v>
      </x:c>
      <x:c r="AB606" s="35" t="n">
        <x:v>2</x:v>
      </x:c>
      <x:c r="AC606" s="35" t="n">
        <x:v>2</x:v>
      </x:c>
      <x:c r="AD606" s="35" t="n">
        <x:v>51</x:v>
      </x:c>
      <x:c r="AE606" s="35" t="n">
        <x:v>75</x:v>
      </x:c>
      <x:c r="AF606" s="35" t="n">
        <x:v>78</x:v>
      </x:c>
      <x:c r="AG606" s="35" t="n">
        <x:v>100</x:v>
      </x:c>
      <x:c r="AH606" s="35" t="n">
        <x:v>5</x:v>
      </x:c>
      <x:c r="AI606" s="37" t="n">
        <x:v>100</x:v>
      </x:c>
      <x:c r="AJ606" s="37" t="n">
        <x:v>94.4</x:v>
      </x:c>
      <x:c r="AK606" s="35" t="str">
        <x:v>No</x:v>
      </x:c>
      <x:c r="AL606" s="38" t="n">
        <x:f>IF(AA606=0,0,AB606/AA606)</x:f>
        <x:v>0.6666666666666666</x:v>
      </x:c>
      <x:c r="AM606" s="38" t="n">
        <x:f>IF(AB606=0,0,AC606/AB606)</x:f>
        <x:v>1</x:v>
      </x:c>
      <x:c r="AN606" s="37" t="n">
        <x:f>ROUND((AD606*0.20+AE606*0.20+AF606*0.25+AG606*0.15+MIN(100,AC606*12)*0.20),1)</x:f>
        <x:v>64.5</x:v>
      </x:c>
      <x:c r="AO606" s="37" t="n">
        <x:f>ROUND(MAX(0,MIN(100,(X606*0.35)+(W606/45*100*0.20)+((5-O606)/4*100*0.15)+((5-P606)/4*100*0.10)+((6-Y606)/5*100*0.10)+((100-Z606)*0.10))),1)</x:f>
        <x:v>39.3</x:v>
      </x:c>
      <x:c r="AP606" s="37" t="str">
        <x:f>IF(AO606&gt;=70,"High",IF(AO606&gt;=40,"Moderate","Low"))</x:f>
        <x:v>Low</x:v>
      </x:c>
      <x:c r="AQ606" s="37" t="n">
        <x:f>ROUND(MAX(0,MIN(100,(O606/4*100*0.25)+(P606/4*100*0.20)+(Q606/4*100*0.15)+(Y606/5*100*0.20)+(100-AO606)*0.20)),1)</x:f>
        <x:v>69.6</x:v>
      </x:c>
      <x:c r="AR606" s="37" t="n">
        <x:f>ROUND((AI606*0.20+AJ606*0.15+AN606*0.18+AG606*0.12+Z606*0.15+AQ606*0.20),1)</x:f>
        <x:v>86.7</x:v>
      </x:c>
      <x:c r="AS606" s="39" t="n">
        <x:f>ROUND((AC606*AF606*120)+(AH606*350)+(MAX(0,AI606-75)*220)+(MAX(0,AQ606-60)*100),0)</x:f>
        <x:v>26930</x:v>
      </x:c>
    </x:row>
    <x:row r="607">
      <x:c r="A607" s="35" t="n">
        <x:v>606</x:v>
      </x:c>
      <x:c r="B607" s="35" t="n">
        <x:v>36</x:v>
      </x:c>
      <x:c r="C607" s="35" t="str">
        <x:v>Male</x:v>
      </x:c>
      <x:c r="D607" s="35" t="str">
        <x:v>Research &amp; Development</x:v>
      </x:c>
      <x:c r="E607" s="35" t="str">
        <x:v>Research Scientist</x:v>
      </x:c>
      <x:c r="F607" s="35" t="str">
        <x:v>Marketing</x:v>
      </x:c>
      <x:c r="G607" s="35" t="str">
        <x:v>Married</x:v>
      </x:c>
      <x:c r="H607" s="35" t="n">
        <x:v>1</x:v>
      </x:c>
      <x:c r="I607" s="36" t="n">
        <x:v>6380</x:v>
      </x:c>
      <x:c r="J607" s="35" t="n">
        <x:v>9</x:v>
      </x:c>
      <x:c r="K607" s="35" t="n">
        <x:v>6</x:v>
      </x:c>
      <x:c r="L607" s="35" t="n">
        <x:v>4</x:v>
      </x:c>
      <x:c r="M607" s="35" t="n">
        <x:v>13</x:v>
      </x:c>
      <x:c r="N607" s="35" t="str">
        <x:v>Yes</x:v>
      </x:c>
      <x:c r="O607" s="35" t="n">
        <x:v>3</x:v>
      </x:c>
      <x:c r="P607" s="35" t="n">
        <x:v>2</x:v>
      </x:c>
      <x:c r="Q607" s="35" t="n">
        <x:v>3</x:v>
      </x:c>
      <x:c r="R607" s="35" t="n">
        <x:v>4</x:v>
      </x:c>
      <x:c r="S607" s="35" t="n">
        <x:v>4</x:v>
      </x:c>
      <x:c r="T607" s="35" t="n">
        <x:v>1</x:v>
      </x:c>
      <x:c r="U607" s="35" t="n">
        <x:v>0</x:v>
      </x:c>
      <x:c r="V607" s="35" t="n">
        <x:v>6</x:v>
      </x:c>
      <x:c r="W607" s="35" t="n">
        <x:v>25</x:v>
      </x:c>
      <x:c r="X607" s="35" t="n">
        <x:v>90</x:v>
      </x:c>
      <x:c r="Y607" s="35" t="n">
        <x:v>4</x:v>
      </x:c>
      <x:c r="Z607" s="35" t="n">
        <x:v>100</x:v>
      </x:c>
      <x:c r="AA607" s="35" t="n">
        <x:v>9</x:v>
      </x:c>
      <x:c r="AB607" s="35" t="n">
        <x:v>5</x:v>
      </x:c>
      <x:c r="AC607" s="35" t="n">
        <x:v>4</x:v>
      </x:c>
      <x:c r="AD607" s="35" t="n">
        <x:v>92</x:v>
      </x:c>
      <x:c r="AE607" s="35" t="n">
        <x:v>86</x:v>
      </x:c>
      <x:c r="AF607" s="35" t="n">
        <x:v>65</x:v>
      </x:c>
      <x:c r="AG607" s="35" t="n">
        <x:v>100</x:v>
      </x:c>
      <x:c r="AH607" s="35" t="n">
        <x:v>8</x:v>
      </x:c>
      <x:c r="AI607" s="37" t="n">
        <x:v>100</x:v>
      </x:c>
      <x:c r="AJ607" s="37" t="n">
        <x:v>100</x:v>
      </x:c>
      <x:c r="AK607" s="35" t="str">
        <x:v>No</x:v>
      </x:c>
      <x:c r="AL607" s="38" t="n">
        <x:f>IF(AA607=0,0,AB607/AA607)</x:f>
        <x:v>0.5555555555555556</x:v>
      </x:c>
      <x:c r="AM607" s="38" t="n">
        <x:f>IF(AB607=0,0,AC607/AB607)</x:f>
        <x:v>0.8</x:v>
      </x:c>
      <x:c r="AN607" s="37" t="n">
        <x:f>ROUND((AD607*0.20+AE607*0.20+AF607*0.25+AG607*0.15+MIN(100,AC607*12)*0.20),1)</x:f>
        <x:v>76.4</x:v>
      </x:c>
      <x:c r="AO607" s="37" t="n">
        <x:f>ROUND(MAX(0,MIN(100,(X607*0.35)+(W607/45*100*0.20)+((5-O607)/4*100*0.15)+((5-P607)/4*100*0.10)+((6-Y607)/5*100*0.10)+((100-Z607)*0.10))),1)</x:f>
        <x:v>61.6</x:v>
      </x:c>
      <x:c r="AP607" s="37" t="str">
        <x:f>IF(AO607&gt;=70,"High",IF(AO607&gt;=40,"Moderate","Low"))</x:f>
        <x:v>Moderate</x:v>
      </x:c>
      <x:c r="AQ607" s="37" t="n">
        <x:f>ROUND(MAX(0,MIN(100,(O607/4*100*0.25)+(P607/4*100*0.20)+(Q607/4*100*0.15)+(Y607/5*100*0.20)+(100-AO607)*0.20)),1)</x:f>
        <x:v>63.7</x:v>
      </x:c>
      <x:c r="AR607" s="37" t="n">
        <x:f>ROUND((AI607*0.20+AJ607*0.15+AN607*0.18+AG607*0.12+Z607*0.15+AQ607*0.20),1)</x:f>
        <x:v>88.5</x:v>
      </x:c>
      <x:c r="AS607" s="39" t="n">
        <x:f>ROUND((AC607*AF607*120)+(AH607*350)+(MAX(0,AI607-75)*220)+(MAX(0,AQ607-60)*100),0)</x:f>
        <x:v>39870</x:v>
      </x:c>
    </x:row>
    <x:row r="608">
      <x:c r="A608" s="35" t="n">
        <x:v>607</x:v>
      </x:c>
      <x:c r="B608" s="35" t="n">
        <x:v>38</x:v>
      </x:c>
      <x:c r="C608" s="35" t="str">
        <x:v>Male</x:v>
      </x:c>
      <x:c r="D608" s="35" t="str">
        <x:v>Sales</x:v>
      </x:c>
      <x:c r="E608" s="35" t="str">
        <x:v>Sales Executive</x:v>
      </x:c>
      <x:c r="F608" s="35" t="str">
        <x:v>Marketing</x:v>
      </x:c>
      <x:c r="G608" s="35" t="str">
        <x:v>Married</x:v>
      </x:c>
      <x:c r="H608" s="35" t="n">
        <x:v>2</x:v>
      </x:c>
      <x:c r="I608" s="36" t="n">
        <x:v>9900</x:v>
      </x:c>
      <x:c r="J608" s="35" t="n">
        <x:v>14</x:v>
      </x:c>
      <x:c r="K608" s="35" t="n">
        <x:v>11</x:v>
      </x:c>
      <x:c r="L608" s="35" t="n">
        <x:v>5</x:v>
      </x:c>
      <x:c r="M608" s="35" t="n">
        <x:v>10</x:v>
      </x:c>
      <x:c r="N608" s="35" t="str">
        <x:v>No</x:v>
      </x:c>
      <x:c r="O608" s="35" t="n">
        <x:v>3</x:v>
      </x:c>
      <x:c r="P608" s="35" t="n">
        <x:v>3</x:v>
      </x:c>
      <x:c r="Q608" s="35" t="n">
        <x:v>4</x:v>
      </x:c>
      <x:c r="R608" s="35" t="n">
        <x:v>2</x:v>
      </x:c>
      <x:c r="S608" s="35" t="n">
        <x:v>4</x:v>
      </x:c>
      <x:c r="T608" s="35" t="n">
        <x:v>6</x:v>
      </x:c>
      <x:c r="U608" s="35" t="n">
        <x:v>1</x:v>
      </x:c>
      <x:c r="V608" s="35" t="n">
        <x:v>0</x:v>
      </x:c>
      <x:c r="W608" s="35" t="n">
        <x:v>6</x:v>
      </x:c>
      <x:c r="X608" s="35" t="n">
        <x:v>54</x:v>
      </x:c>
      <x:c r="Y608" s="35" t="n">
        <x:v>5</x:v>
      </x:c>
      <x:c r="Z608" s="35" t="n">
        <x:v>96</x:v>
      </x:c>
      <x:c r="AA608" s="35" t="n">
        <x:v>3</x:v>
      </x:c>
      <x:c r="AB608" s="35" t="n">
        <x:v>3</x:v>
      </x:c>
      <x:c r="AC608" s="35" t="n">
        <x:v>3</x:v>
      </x:c>
      <x:c r="AD608" s="35" t="n">
        <x:v>65</x:v>
      </x:c>
      <x:c r="AE608" s="35" t="n">
        <x:v>91</x:v>
      </x:c>
      <x:c r="AF608" s="35" t="n">
        <x:v>71</x:v>
      </x:c>
      <x:c r="AG608" s="35" t="n">
        <x:v>76</x:v>
      </x:c>
      <x:c r="AH608" s="35" t="n">
        <x:v>7</x:v>
      </x:c>
      <x:c r="AI608" s="37" t="n">
        <x:v>100</x:v>
      </x:c>
      <x:c r="AJ608" s="37" t="n">
        <x:v>100</x:v>
      </x:c>
      <x:c r="AK608" s="35" t="str">
        <x:v>No</x:v>
      </x:c>
      <x:c r="AL608" s="38" t="n">
        <x:f>IF(AA608=0,0,AB608/AA608)</x:f>
        <x:v>1</x:v>
      </x:c>
      <x:c r="AM608" s="38" t="n">
        <x:f>IF(AB608=0,0,AC608/AB608)</x:f>
        <x:v>1</x:v>
      </x:c>
      <x:c r="AN608" s="37" t="n">
        <x:f>ROUND((AD608*0.20+AE608*0.20+AF608*0.25+AG608*0.15+MIN(100,AC608*12)*0.20),1)</x:f>
        <x:v>67.6</x:v>
      </x:c>
      <x:c r="AO608" s="37" t="n">
        <x:f>ROUND(MAX(0,MIN(100,(X608*0.35)+(W608/45*100*0.20)+((5-O608)/4*100*0.15)+((5-P608)/4*100*0.10)+((6-Y608)/5*100*0.10)+((100-Z608)*0.10))),1)</x:f>
        <x:v>36.5</x:v>
      </x:c>
      <x:c r="AP608" s="37" t="str">
        <x:f>IF(AO608&gt;=70,"High",IF(AO608&gt;=40,"Moderate","Low"))</x:f>
        <x:v>Low</x:v>
      </x:c>
      <x:c r="AQ608" s="37" t="n">
        <x:f>ROUND(MAX(0,MIN(100,(O608/4*100*0.25)+(P608/4*100*0.20)+(Q608/4*100*0.15)+(Y608/5*100*0.20)+(100-AO608)*0.20)),1)</x:f>
        <x:v>81.5</x:v>
      </x:c>
      <x:c r="AR608" s="37" t="n">
        <x:f>ROUND((AI608*0.20+AJ608*0.15+AN608*0.18+AG608*0.12+Z608*0.15+AQ608*0.20),1)</x:f>
        <x:v>87</x:v>
      </x:c>
      <x:c r="AS608" s="39" t="n">
        <x:f>ROUND((AC608*AF608*120)+(AH608*350)+(MAX(0,AI608-75)*220)+(MAX(0,AQ608-60)*100),0)</x:f>
        <x:v>35660</x:v>
      </x:c>
    </x:row>
    <x:row r="609">
      <x:c r="A609" s="35" t="n">
        <x:v>608</x:v>
      </x:c>
      <x:c r="B609" s="35" t="n">
        <x:v>49</x:v>
      </x:c>
      <x:c r="C609" s="35" t="str">
        <x:v>Male</x:v>
      </x:c>
      <x:c r="D609" s="35" t="str">
        <x:v>Finance</x:v>
      </x:c>
      <x:c r="E609" s="35" t="str">
        <x:v>Financial Analyst</x:v>
      </x:c>
      <x:c r="F609" s="35" t="str">
        <x:v>Technical Degree</x:v>
      </x:c>
      <x:c r="G609" s="35" t="str">
        <x:v>Single</x:v>
      </x:c>
      <x:c r="H609" s="35" t="n">
        <x:v>5</x:v>
      </x:c>
      <x:c r="I609" s="36" t="n">
        <x:v>31530</x:v>
      </x:c>
      <x:c r="J609" s="35" t="n">
        <x:v>15</x:v>
      </x:c>
      <x:c r="K609" s="35" t="n">
        <x:v>8</x:v>
      </x:c>
      <x:c r="L609" s="35" t="n">
        <x:v>3</x:v>
      </x:c>
      <x:c r="M609" s="35" t="n">
        <x:v>8</x:v>
      </x:c>
      <x:c r="N609" s="35" t="str">
        <x:v>No</x:v>
      </x:c>
      <x:c r="O609" s="35" t="n">
        <x:v>3</x:v>
      </x:c>
      <x:c r="P609" s="35" t="n">
        <x:v>3</x:v>
      </x:c>
      <x:c r="Q609" s="35" t="n">
        <x:v>4</x:v>
      </x:c>
      <x:c r="R609" s="35" t="n">
        <x:v>3</x:v>
      </x:c>
      <x:c r="S609" s="35" t="n">
        <x:v>3</x:v>
      </x:c>
      <x:c r="T609" s="35" t="n">
        <x:v>4</x:v>
      </x:c>
      <x:c r="U609" s="35" t="n">
        <x:v>3</x:v>
      </x:c>
      <x:c r="V609" s="35" t="n">
        <x:v>1</x:v>
      </x:c>
      <x:c r="W609" s="35" t="n">
        <x:v>14</x:v>
      </x:c>
      <x:c r="X609" s="35" t="n">
        <x:v>56</x:v>
      </x:c>
      <x:c r="Y609" s="35" t="n">
        <x:v>5</x:v>
      </x:c>
      <x:c r="Z609" s="35" t="n">
        <x:v>100</x:v>
      </x:c>
      <x:c r="AA609" s="35" t="n">
        <x:v>4</x:v>
      </x:c>
      <x:c r="AB609" s="35" t="n">
        <x:v>3</x:v>
      </x:c>
      <x:c r="AC609" s="35" t="n">
        <x:v>3</x:v>
      </x:c>
      <x:c r="AD609" s="35" t="n">
        <x:v>46</x:v>
      </x:c>
      <x:c r="AE609" s="35" t="n">
        <x:v>84</x:v>
      </x:c>
      <x:c r="AF609" s="35" t="n">
        <x:v>96</x:v>
      </x:c>
      <x:c r="AG609" s="35" t="n">
        <x:v>100</x:v>
      </x:c>
      <x:c r="AH609" s="35" t="n">
        <x:v>5</x:v>
      </x:c>
      <x:c r="AI609" s="37" t="n">
        <x:v>97.1</x:v>
      </x:c>
      <x:c r="AJ609" s="37" t="n">
        <x:v>93.3</x:v>
      </x:c>
      <x:c r="AK609" s="35" t="str">
        <x:v>No</x:v>
      </x:c>
      <x:c r="AL609" s="38" t="n">
        <x:f>IF(AA609=0,0,AB609/AA609)</x:f>
        <x:v>0.75</x:v>
      </x:c>
      <x:c r="AM609" s="38" t="n">
        <x:f>IF(AB609=0,0,AC609/AB609)</x:f>
        <x:v>1</x:v>
      </x:c>
      <x:c r="AN609" s="37" t="n">
        <x:f>ROUND((AD609*0.20+AE609*0.20+AF609*0.25+AG609*0.15+MIN(100,AC609*12)*0.20),1)</x:f>
        <x:v>72.2</x:v>
      </x:c>
      <x:c r="AO609" s="37" t="n">
        <x:f>ROUND(MAX(0,MIN(100,(X609*0.35)+(W609/45*100*0.20)+((5-O609)/4*100*0.15)+((5-P609)/4*100*0.10)+((6-Y609)/5*100*0.10)+((100-Z609)*0.10))),1)</x:f>
        <x:v>40.3</x:v>
      </x:c>
      <x:c r="AP609" s="37" t="str">
        <x:f>IF(AO609&gt;=70,"High",IF(AO609&gt;=40,"Moderate","Low"))</x:f>
        <x:v>Moderate</x:v>
      </x:c>
      <x:c r="AQ609" s="37" t="n">
        <x:f>ROUND(MAX(0,MIN(100,(O609/4*100*0.25)+(P609/4*100*0.20)+(Q609/4*100*0.15)+(Y609/5*100*0.20)+(100-AO609)*0.20)),1)</x:f>
        <x:v>80.7</x:v>
      </x:c>
      <x:c r="AR609" s="37" t="n">
        <x:f>ROUND((AI609*0.20+AJ609*0.15+AN609*0.18+AG609*0.12+Z609*0.15+AQ609*0.20),1)</x:f>
        <x:v>89.6</x:v>
      </x:c>
      <x:c r="AS609" s="39" t="n">
        <x:f>ROUND((AC609*AF609*120)+(AH609*350)+(MAX(0,AI609-75)*220)+(MAX(0,AQ609-60)*100),0)</x:f>
        <x:v>43242</x:v>
      </x:c>
    </x:row>
    <x:row r="610">
      <x:c r="A610" s="35" t="n">
        <x:v>609</x:v>
      </x:c>
      <x:c r="B610" s="35" t="n">
        <x:v>35</x:v>
      </x:c>
      <x:c r="C610" s="35" t="str">
        <x:v>Male</x:v>
      </x:c>
      <x:c r="D610" s="35" t="str">
        <x:v>Research &amp; Development</x:v>
      </x:c>
      <x:c r="E610" s="35" t="str">
        <x:v>Research Scientist</x:v>
      </x:c>
      <x:c r="F610" s="35" t="str">
        <x:v>Medical</x:v>
      </x:c>
      <x:c r="G610" s="35" t="str">
        <x:v>Married</x:v>
      </x:c>
      <x:c r="H610" s="35" t="n">
        <x:v>2</x:v>
      </x:c>
      <x:c r="I610" s="36" t="n">
        <x:v>7900</x:v>
      </x:c>
      <x:c r="J610" s="35" t="n">
        <x:v>9</x:v>
      </x:c>
      <x:c r="K610" s="35" t="n">
        <x:v>5</x:v>
      </x:c>
      <x:c r="L610" s="35" t="n">
        <x:v>2</x:v>
      </x:c>
      <x:c r="M610" s="35" t="n">
        <x:v>13</x:v>
      </x:c>
      <x:c r="N610" s="35" t="str">
        <x:v>No</x:v>
      </x:c>
      <x:c r="O610" s="35" t="n">
        <x:v>4</x:v>
      </x:c>
      <x:c r="P610" s="35" t="n">
        <x:v>3</x:v>
      </x:c>
      <x:c r="Q610" s="35" t="n">
        <x:v>2</x:v>
      </x:c>
      <x:c r="R610" s="35" t="n">
        <x:v>3</x:v>
      </x:c>
      <x:c r="S610" s="35" t="n">
        <x:v>3</x:v>
      </x:c>
      <x:c r="T610" s="35" t="n">
        <x:v>5</x:v>
      </x:c>
      <x:c r="U610" s="35" t="n">
        <x:v>1</x:v>
      </x:c>
      <x:c r="V610" s="35" t="n">
        <x:v>5</x:v>
      </x:c>
      <x:c r="W610" s="35" t="n">
        <x:v>17</x:v>
      </x:c>
      <x:c r="X610" s="35" t="n">
        <x:v>57</x:v>
      </x:c>
      <x:c r="Y610" s="35" t="n">
        <x:v>4</x:v>
      </x:c>
      <x:c r="Z610" s="35" t="n">
        <x:v>100</x:v>
      </x:c>
      <x:c r="AA610" s="35" t="n">
        <x:v>6</x:v>
      </x:c>
      <x:c r="AB610" s="35" t="n">
        <x:v>5</x:v>
      </x:c>
      <x:c r="AC610" s="35" t="n">
        <x:v>3</x:v>
      </x:c>
      <x:c r="AD610" s="35" t="n">
        <x:v>75</x:v>
      </x:c>
      <x:c r="AE610" s="35" t="n">
        <x:v>87</x:v>
      </x:c>
      <x:c r="AF610" s="35" t="n">
        <x:v>69</x:v>
      </x:c>
      <x:c r="AG610" s="35" t="n">
        <x:v>100</x:v>
      </x:c>
      <x:c r="AH610" s="35" t="n">
        <x:v>3</x:v>
      </x:c>
      <x:c r="AI610" s="37" t="n">
        <x:v>82.8</x:v>
      </x:c>
      <x:c r="AJ610" s="37" t="n">
        <x:v>93.1</x:v>
      </x:c>
      <x:c r="AK610" s="35" t="str">
        <x:v>No</x:v>
      </x:c>
      <x:c r="AL610" s="38" t="n">
        <x:f>IF(AA610=0,0,AB610/AA610)</x:f>
        <x:v>0.8333333333333334</x:v>
      </x:c>
      <x:c r="AM610" s="38" t="n">
        <x:f>IF(AB610=0,0,AC610/AB610)</x:f>
        <x:v>0.6</x:v>
      </x:c>
      <x:c r="AN610" s="37" t="n">
        <x:f>ROUND((AD610*0.20+AE610*0.20+AF610*0.25+AG610*0.15+MIN(100,AC610*12)*0.20),1)</x:f>
        <x:v>71.9</x:v>
      </x:c>
      <x:c r="AO610" s="37" t="n">
        <x:f>ROUND(MAX(0,MIN(100,(X610*0.35)+(W610/45*100*0.20)+((5-O610)/4*100*0.15)+((5-P610)/4*100*0.10)+((6-Y610)/5*100*0.10)+((100-Z610)*0.10))),1)</x:f>
        <x:v>40.3</x:v>
      </x:c>
      <x:c r="AP610" s="37" t="str">
        <x:f>IF(AO610&gt;=70,"High",IF(AO610&gt;=40,"Moderate","Low"))</x:f>
        <x:v>Moderate</x:v>
      </x:c>
      <x:c r="AQ610" s="37" t="n">
        <x:f>ROUND(MAX(0,MIN(100,(O610/4*100*0.25)+(P610/4*100*0.20)+(Q610/4*100*0.15)+(Y610/5*100*0.20)+(100-AO610)*0.20)),1)</x:f>
        <x:v>75.4</x:v>
      </x:c>
      <x:c r="AR610" s="37" t="n">
        <x:f>ROUND((AI610*0.20+AJ610*0.15+AN610*0.18+AG610*0.12+Z610*0.15+AQ610*0.20),1)</x:f>
        <x:v>85.5</x:v>
      </x:c>
      <x:c r="AS610" s="39" t="n">
        <x:f>ROUND((AC610*AF610*120)+(AH610*350)+(MAX(0,AI610-75)*220)+(MAX(0,AQ610-60)*100),0)</x:f>
        <x:v>29146</x:v>
      </x:c>
    </x:row>
    <x:row r="611">
      <x:c r="A611" s="35" t="n">
        <x:v>610</x:v>
      </x:c>
      <x:c r="B611" s="35" t="n">
        <x:v>39</x:v>
      </x:c>
      <x:c r="C611" s="35" t="str">
        <x:v>Female</x:v>
      </x:c>
      <x:c r="D611" s="35" t="str">
        <x:v>Sales</x:v>
      </x:c>
      <x:c r="E611" s="35" t="str">
        <x:v>Sales Representative</x:v>
      </x:c>
      <x:c r="F611" s="35" t="str">
        <x:v>Technical Degree</x:v>
      </x:c>
      <x:c r="G611" s="35" t="str">
        <x:v>Married</x:v>
      </x:c>
      <x:c r="H611" s="35" t="n">
        <x:v>2</x:v>
      </x:c>
      <x:c r="I611" s="36" t="n">
        <x:v>10550</x:v>
      </x:c>
      <x:c r="J611" s="35" t="n">
        <x:v>15</x:v>
      </x:c>
      <x:c r="K611" s="35" t="n">
        <x:v>7</x:v>
      </x:c>
      <x:c r="L611" s="35" t="n">
        <x:v>3</x:v>
      </x:c>
      <x:c r="M611" s="35" t="n">
        <x:v>21</x:v>
      </x:c>
      <x:c r="N611" s="35" t="str">
        <x:v>No</x:v>
      </x:c>
      <x:c r="O611" s="35" t="n">
        <x:v>2</x:v>
      </x:c>
      <x:c r="P611" s="35" t="n">
        <x:v>4</x:v>
      </x:c>
      <x:c r="Q611" s="35" t="n">
        <x:v>2</x:v>
      </x:c>
      <x:c r="R611" s="35" t="n">
        <x:v>3</x:v>
      </x:c>
      <x:c r="S611" s="35" t="n">
        <x:v>3</x:v>
      </x:c>
      <x:c r="T611" s="35" t="n">
        <x:v>3</x:v>
      </x:c>
      <x:c r="U611" s="35" t="n">
        <x:v>0</x:v>
      </x:c>
      <x:c r="V611" s="35" t="n">
        <x:v>1</x:v>
      </x:c>
      <x:c r="W611" s="35" t="n">
        <x:v>1</x:v>
      </x:c>
      <x:c r="X611" s="35" t="n">
        <x:v>70</x:v>
      </x:c>
      <x:c r="Y611" s="35" t="n">
        <x:v>5</x:v>
      </x:c>
      <x:c r="Z611" s="35" t="n">
        <x:v>100</x:v>
      </x:c>
      <x:c r="AA611" s="35" t="n">
        <x:v>6</x:v>
      </x:c>
      <x:c r="AB611" s="35" t="n">
        <x:v>4</x:v>
      </x:c>
      <x:c r="AC611" s="35" t="n">
        <x:v>3</x:v>
      </x:c>
      <x:c r="AD611" s="35" t="n">
        <x:v>90</x:v>
      </x:c>
      <x:c r="AE611" s="35" t="n">
        <x:v>67</x:v>
      </x:c>
      <x:c r="AF611" s="35" t="n">
        <x:v>89</x:v>
      </x:c>
      <x:c r="AG611" s="35" t="n">
        <x:v>100</x:v>
      </x:c>
      <x:c r="AH611" s="35" t="n">
        <x:v>6</x:v>
      </x:c>
      <x:c r="AI611" s="37" t="n">
        <x:v>100</x:v>
      </x:c>
      <x:c r="AJ611" s="37" t="n">
        <x:v>85.3</x:v>
      </x:c>
      <x:c r="AK611" s="35" t="str">
        <x:v>No</x:v>
      </x:c>
      <x:c r="AL611" s="38" t="n">
        <x:f>IF(AA611=0,0,AB611/AA611)</x:f>
        <x:v>0.6666666666666666</x:v>
      </x:c>
      <x:c r="AM611" s="38" t="n">
        <x:f>IF(AB611=0,0,AC611/AB611)</x:f>
        <x:v>0.75</x:v>
      </x:c>
      <x:c r="AN611" s="37" t="n">
        <x:f>ROUND((AD611*0.20+AE611*0.20+AF611*0.25+AG611*0.15+MIN(100,AC611*12)*0.20),1)</x:f>
        <x:v>75.9</x:v>
      </x:c>
      <x:c r="AO611" s="37" t="n">
        <x:f>ROUND(MAX(0,MIN(100,(X611*0.35)+(W611/45*100*0.20)+((5-O611)/4*100*0.15)+((5-P611)/4*100*0.10)+((6-Y611)/5*100*0.10)+((100-Z611)*0.10))),1)</x:f>
        <x:v>40.7</x:v>
      </x:c>
      <x:c r="AP611" s="37" t="str">
        <x:f>IF(AO611&gt;=70,"High",IF(AO611&gt;=40,"Moderate","Low"))</x:f>
        <x:v>Moderate</x:v>
      </x:c>
      <x:c r="AQ611" s="37" t="n">
        <x:f>ROUND(MAX(0,MIN(100,(O611/4*100*0.25)+(P611/4*100*0.20)+(Q611/4*100*0.15)+(Y611/5*100*0.20)+(100-AO611)*0.20)),1)</x:f>
        <x:v>71.9</x:v>
      </x:c>
      <x:c r="AR611" s="37" t="n">
        <x:f>ROUND((AI611*0.20+AJ611*0.15+AN611*0.18+AG611*0.12+Z611*0.15+AQ611*0.20),1)</x:f>
        <x:v>87.8</x:v>
      </x:c>
      <x:c r="AS611" s="39" t="n">
        <x:f>ROUND((AC611*AF611*120)+(AH611*350)+(MAX(0,AI611-75)*220)+(MAX(0,AQ611-60)*100),0)</x:f>
        <x:v>40830</x:v>
      </x:c>
    </x:row>
    <x:row r="612">
      <x:c r="A612" s="35" t="n">
        <x:v>611</x:v>
      </x:c>
      <x:c r="B612" s="35" t="n">
        <x:v>39</x:v>
      </x:c>
      <x:c r="C612" s="35" t="str">
        <x:v>Female</x:v>
      </x:c>
      <x:c r="D612" s="35" t="str">
        <x:v>Finance</x:v>
      </x:c>
      <x:c r="E612" s="35" t="str">
        <x:v>Financial Analyst</x:v>
      </x:c>
      <x:c r="F612" s="35" t="str">
        <x:v>Medical</x:v>
      </x:c>
      <x:c r="G612" s="35" t="str">
        <x:v>Married</x:v>
      </x:c>
      <x:c r="H612" s="35" t="n">
        <x:v>3</x:v>
      </x:c>
      <x:c r="I612" s="36" t="n">
        <x:v>11960</x:v>
      </x:c>
      <x:c r="J612" s="35" t="n">
        <x:v>8</x:v>
      </x:c>
      <x:c r="K612" s="35" t="n">
        <x:v>6</x:v>
      </x:c>
      <x:c r="L612" s="35" t="n">
        <x:v>3</x:v>
      </x:c>
      <x:c r="M612" s="35" t="n">
        <x:v>11</x:v>
      </x:c>
      <x:c r="N612" s="35" t="str">
        <x:v>Yes</x:v>
      </x:c>
      <x:c r="O612" s="35" t="n">
        <x:v>3</x:v>
      </x:c>
      <x:c r="P612" s="35" t="n">
        <x:v>4</x:v>
      </x:c>
      <x:c r="Q612" s="35" t="n">
        <x:v>2</x:v>
      </x:c>
      <x:c r="R612" s="35" t="n">
        <x:v>4</x:v>
      </x:c>
      <x:c r="S612" s="35" t="n">
        <x:v>3</x:v>
      </x:c>
      <x:c r="T612" s="35" t="n">
        <x:v>0</x:v>
      </x:c>
      <x:c r="U612" s="35" t="n">
        <x:v>1</x:v>
      </x:c>
      <x:c r="V612" s="35" t="n">
        <x:v>5</x:v>
      </x:c>
      <x:c r="W612" s="35" t="n">
        <x:v>22</x:v>
      </x:c>
      <x:c r="X612" s="35" t="n">
        <x:v>74</x:v>
      </x:c>
      <x:c r="Y612" s="35" t="n">
        <x:v>4</x:v>
      </x:c>
      <x:c r="Z612" s="35" t="n">
        <x:v>100</x:v>
      </x:c>
      <x:c r="AA612" s="35" t="n">
        <x:v>7</x:v>
      </x:c>
      <x:c r="AB612" s="35" t="n">
        <x:v>5</x:v>
      </x:c>
      <x:c r="AC612" s="35" t="n">
        <x:v>3</x:v>
      </x:c>
      <x:c r="AD612" s="35" t="n">
        <x:v>50</x:v>
      </x:c>
      <x:c r="AE612" s="35" t="n">
        <x:v>82</x:v>
      </x:c>
      <x:c r="AF612" s="35" t="n">
        <x:v>82</x:v>
      </x:c>
      <x:c r="AG612" s="35" t="n">
        <x:v>100</x:v>
      </x:c>
      <x:c r="AH612" s="35" t="n">
        <x:v>8</x:v>
      </x:c>
      <x:c r="AI612" s="37" t="n">
        <x:v>100</x:v>
      </x:c>
      <x:c r="AJ612" s="37" t="n">
        <x:v>100</x:v>
      </x:c>
      <x:c r="AK612" s="35" t="str">
        <x:v>No</x:v>
      </x:c>
      <x:c r="AL612" s="38" t="n">
        <x:f>IF(AA612=0,0,AB612/AA612)</x:f>
        <x:v>0.7142857142857143</x:v>
      </x:c>
      <x:c r="AM612" s="38" t="n">
        <x:f>IF(AB612=0,0,AC612/AB612)</x:f>
        <x:v>0.6</x:v>
      </x:c>
      <x:c r="AN612" s="37" t="n">
        <x:f>ROUND((AD612*0.20+AE612*0.20+AF612*0.25+AG612*0.15+MIN(100,AC612*12)*0.20),1)</x:f>
        <x:v>69.1</x:v>
      </x:c>
      <x:c r="AO612" s="37" t="n">
        <x:f>ROUND(MAX(0,MIN(100,(X612*0.35)+(W612/45*100*0.20)+((5-O612)/4*100*0.15)+((5-P612)/4*100*0.10)+((6-Y612)/5*100*0.10)+((100-Z612)*0.10))),1)</x:f>
        <x:v>49.7</x:v>
      </x:c>
      <x:c r="AP612" s="37" t="str">
        <x:f>IF(AO612&gt;=70,"High",IF(AO612&gt;=40,"Moderate","Low"))</x:f>
        <x:v>Moderate</x:v>
      </x:c>
      <x:c r="AQ612" s="37" t="n">
        <x:f>ROUND(MAX(0,MIN(100,(O612/4*100*0.25)+(P612/4*100*0.20)+(Q612/4*100*0.15)+(Y612/5*100*0.20)+(100-AO612)*0.20)),1)</x:f>
        <x:v>72.3</x:v>
      </x:c>
      <x:c r="AR612" s="37" t="n">
        <x:f>ROUND((AI612*0.20+AJ612*0.15+AN612*0.18+AG612*0.12+Z612*0.15+AQ612*0.20),1)</x:f>
        <x:v>88.9</x:v>
      </x:c>
      <x:c r="AS612" s="39" t="n">
        <x:f>ROUND((AC612*AF612*120)+(AH612*350)+(MAX(0,AI612-75)*220)+(MAX(0,AQ612-60)*100),0)</x:f>
        <x:v>39050</x:v>
      </x:c>
    </x:row>
    <x:row r="613">
      <x:c r="A613" s="35" t="n">
        <x:v>612</x:v>
      </x:c>
      <x:c r="B613" s="35" t="n">
        <x:v>33</x:v>
      </x:c>
      <x:c r="C613" s="35" t="str">
        <x:v>Female</x:v>
      </x:c>
      <x:c r="D613" s="35" t="str">
        <x:v>Human Resources</x:v>
      </x:c>
      <x:c r="E613" s="35" t="str">
        <x:v>HR Specialist</x:v>
      </x:c>
      <x:c r="F613" s="35" t="str">
        <x:v>Business</x:v>
      </x:c>
      <x:c r="G613" s="35" t="str">
        <x:v>Married</x:v>
      </x:c>
      <x:c r="H613" s="35" t="n">
        <x:v>3</x:v>
      </x:c>
      <x:c r="I613" s="36" t="n">
        <x:v>12610</x:v>
      </x:c>
      <x:c r="J613" s="35" t="n">
        <x:v>8</x:v>
      </x:c>
      <x:c r="K613" s="35" t="n">
        <x:v>5</x:v>
      </x:c>
      <x:c r="L613" s="35" t="n">
        <x:v>2</x:v>
      </x:c>
      <x:c r="M613" s="35" t="n">
        <x:v>20</x:v>
      </x:c>
      <x:c r="N613" s="35" t="str">
        <x:v>No</x:v>
      </x:c>
      <x:c r="O613" s="35" t="n">
        <x:v>4</x:v>
      </x:c>
      <x:c r="P613" s="35" t="n">
        <x:v>2</x:v>
      </x:c>
      <x:c r="Q613" s="35" t="n">
        <x:v>3</x:v>
      </x:c>
      <x:c r="R613" s="35" t="n">
        <x:v>3</x:v>
      </x:c>
      <x:c r="S613" s="35" t="n">
        <x:v>3</x:v>
      </x:c>
      <x:c r="T613" s="35" t="n">
        <x:v>1</x:v>
      </x:c>
      <x:c r="U613" s="35" t="n">
        <x:v>1</x:v>
      </x:c>
      <x:c r="V613" s="35" t="n">
        <x:v>13</x:v>
      </x:c>
      <x:c r="W613" s="35" t="n">
        <x:v>0</x:v>
      </x:c>
      <x:c r="X613" s="35" t="n">
        <x:v>64</x:v>
      </x:c>
      <x:c r="Y613" s="35" t="n">
        <x:v>4</x:v>
      </x:c>
      <x:c r="Z613" s="35" t="n">
        <x:v>100</x:v>
      </x:c>
      <x:c r="AA613" s="35" t="n">
        <x:v>4</x:v>
      </x:c>
      <x:c r="AB613" s="35" t="n">
        <x:v>4</x:v>
      </x:c>
      <x:c r="AC613" s="35" t="n">
        <x:v>4</x:v>
      </x:c>
      <x:c r="AD613" s="35" t="n">
        <x:v>74</x:v>
      </x:c>
      <x:c r="AE613" s="35" t="n">
        <x:v>76</x:v>
      </x:c>
      <x:c r="AF613" s="35" t="n">
        <x:v>81</x:v>
      </x:c>
      <x:c r="AG613" s="35" t="n">
        <x:v>100</x:v>
      </x:c>
      <x:c r="AH613" s="35" t="n">
        <x:v>10</x:v>
      </x:c>
      <x:c r="AI613" s="37" t="n">
        <x:v>91.8</x:v>
      </x:c>
      <x:c r="AJ613" s="37" t="n">
        <x:v>93.9</x:v>
      </x:c>
      <x:c r="AK613" s="35" t="str">
        <x:v>No</x:v>
      </x:c>
      <x:c r="AL613" s="38" t="n">
        <x:f>IF(AA613=0,0,AB613/AA613)</x:f>
        <x:v>1</x:v>
      </x:c>
      <x:c r="AM613" s="38" t="n">
        <x:f>IF(AB613=0,0,AC613/AB613)</x:f>
        <x:v>1</x:v>
      </x:c>
      <x:c r="AN613" s="37" t="n">
        <x:f>ROUND((AD613*0.20+AE613*0.20+AF613*0.25+AG613*0.15+MIN(100,AC613*12)*0.20),1)</x:f>
        <x:v>74.9</x:v>
      </x:c>
      <x:c r="AO613" s="37" t="n">
        <x:f>ROUND(MAX(0,MIN(100,(X613*0.35)+(W613/45*100*0.20)+((5-O613)/4*100*0.15)+((5-P613)/4*100*0.10)+((6-Y613)/5*100*0.10)+((100-Z613)*0.10))),1)</x:f>
        <x:v>37.7</x:v>
      </x:c>
      <x:c r="AP613" s="37" t="str">
        <x:f>IF(AO613&gt;=70,"High",IF(AO613&gt;=40,"Moderate","Low"))</x:f>
        <x:v>Low</x:v>
      </x:c>
      <x:c r="AQ613" s="37" t="n">
        <x:f>ROUND(MAX(0,MIN(100,(O613/4*100*0.25)+(P613/4*100*0.20)+(Q613/4*100*0.15)+(Y613/5*100*0.20)+(100-AO613)*0.20)),1)</x:f>
        <x:v>74.7</x:v>
      </x:c>
      <x:c r="AR613" s="37" t="n">
        <x:f>ROUND((AI613*0.20+AJ613*0.15+AN613*0.18+AG613*0.12+Z613*0.15+AQ613*0.20),1)</x:f>
        <x:v>87.9</x:v>
      </x:c>
      <x:c r="AS613" s="39" t="n">
        <x:f>ROUND((AC613*AF613*120)+(AH613*350)+(MAX(0,AI613-75)*220)+(MAX(0,AQ613-60)*100),0)</x:f>
        <x:v>47546</x:v>
      </x:c>
    </x:row>
    <x:row r="614">
      <x:c r="A614" s="35" t="n">
        <x:v>613</x:v>
      </x:c>
      <x:c r="B614" s="35" t="n">
        <x:v>33</x:v>
      </x:c>
      <x:c r="C614" s="35" t="str">
        <x:v>Male</x:v>
      </x:c>
      <x:c r="D614" s="35" t="str">
        <x:v>Finance</x:v>
      </x:c>
      <x:c r="E614" s="35" t="str">
        <x:v>Accountant</x:v>
      </x:c>
      <x:c r="F614" s="35" t="str">
        <x:v>Marketing</x:v>
      </x:c>
      <x:c r="G614" s="35" t="str">
        <x:v>Married</x:v>
      </x:c>
      <x:c r="H614" s="35" t="n">
        <x:v>2</x:v>
      </x:c>
      <x:c r="I614" s="36" t="n">
        <x:v>9500</x:v>
      </x:c>
      <x:c r="J614" s="35" t="n">
        <x:v>8</x:v>
      </x:c>
      <x:c r="K614" s="35" t="n">
        <x:v>6</x:v>
      </x:c>
      <x:c r="L614" s="35" t="n">
        <x:v>4</x:v>
      </x:c>
      <x:c r="M614" s="35" t="n">
        <x:v>15</x:v>
      </x:c>
      <x:c r="N614" s="35" t="str">
        <x:v>No</x:v>
      </x:c>
      <x:c r="O614" s="35" t="n">
        <x:v>3</x:v>
      </x:c>
      <x:c r="P614" s="35" t="n">
        <x:v>2</x:v>
      </x:c>
      <x:c r="Q614" s="35" t="n">
        <x:v>2</x:v>
      </x:c>
      <x:c r="R614" s="35" t="n">
        <x:v>4</x:v>
      </x:c>
      <x:c r="S614" s="35" t="n">
        <x:v>3</x:v>
      </x:c>
      <x:c r="T614" s="35" t="n">
        <x:v>1</x:v>
      </x:c>
      <x:c r="U614" s="35" t="n">
        <x:v>0</x:v>
      </x:c>
      <x:c r="V614" s="35" t="n">
        <x:v>9</x:v>
      </x:c>
      <x:c r="W614" s="35" t="n">
        <x:v>0</x:v>
      </x:c>
      <x:c r="X614" s="35" t="n">
        <x:v>81</x:v>
      </x:c>
      <x:c r="Y614" s="35" t="n">
        <x:v>4</x:v>
      </x:c>
      <x:c r="Z614" s="35" t="n">
        <x:v>100</x:v>
      </x:c>
      <x:c r="AA614" s="35" t="n">
        <x:v>6</x:v>
      </x:c>
      <x:c r="AB614" s="35" t="n">
        <x:v>4</x:v>
      </x:c>
      <x:c r="AC614" s="35" t="n">
        <x:v>4</x:v>
      </x:c>
      <x:c r="AD614" s="35" t="n">
        <x:v>73</x:v>
      </x:c>
      <x:c r="AE614" s="35" t="n">
        <x:v>84</x:v>
      </x:c>
      <x:c r="AF614" s="35" t="n">
        <x:v>77</x:v>
      </x:c>
      <x:c r="AG614" s="35" t="n">
        <x:v>100</x:v>
      </x:c>
      <x:c r="AH614" s="35" t="n">
        <x:v>7</x:v>
      </x:c>
      <x:c r="AI614" s="37" t="n">
        <x:v>97.4</x:v>
      </x:c>
      <x:c r="AJ614" s="37" t="n">
        <x:v>96.9</x:v>
      </x:c>
      <x:c r="AK614" s="35" t="str">
        <x:v>No</x:v>
      </x:c>
      <x:c r="AL614" s="38" t="n">
        <x:f>IF(AA614=0,0,AB614/AA614)</x:f>
        <x:v>0.6666666666666666</x:v>
      </x:c>
      <x:c r="AM614" s="38" t="n">
        <x:f>IF(AB614=0,0,AC614/AB614)</x:f>
        <x:v>1</x:v>
      </x:c>
      <x:c r="AN614" s="37" t="n">
        <x:f>ROUND((AD614*0.20+AE614*0.20+AF614*0.25+AG614*0.15+MIN(100,AC614*12)*0.20),1)</x:f>
        <x:v>75.3</x:v>
      </x:c>
      <x:c r="AO614" s="37" t="n">
        <x:f>ROUND(MAX(0,MIN(100,(X614*0.35)+(W614/45*100*0.20)+((5-O614)/4*100*0.15)+((5-P614)/4*100*0.10)+((6-Y614)/5*100*0.10)+((100-Z614)*0.10))),1)</x:f>
        <x:v>47.3</x:v>
      </x:c>
      <x:c r="AP614" s="37" t="str">
        <x:f>IF(AO614&gt;=70,"High",IF(AO614&gt;=40,"Moderate","Low"))</x:f>
        <x:v>Moderate</x:v>
      </x:c>
      <x:c r="AQ614" s="37" t="n">
        <x:f>ROUND(MAX(0,MIN(100,(O614/4*100*0.25)+(P614/4*100*0.20)+(Q614/4*100*0.15)+(Y614/5*100*0.20)+(100-AO614)*0.20)),1)</x:f>
        <x:v>62.8</x:v>
      </x:c>
      <x:c r="AR614" s="37" t="n">
        <x:f>ROUND((AI614*0.20+AJ614*0.15+AN614*0.18+AG614*0.12+Z614*0.15+AQ614*0.20),1)</x:f>
        <x:v>87.1</x:v>
      </x:c>
      <x:c r="AS614" s="39" t="n">
        <x:f>ROUND((AC614*AF614*120)+(AH614*350)+(MAX(0,AI614-75)*220)+(MAX(0,AQ614-60)*100),0)</x:f>
        <x:v>44618</x:v>
      </x:c>
    </x:row>
    <x:row r="615">
      <x:c r="A615" s="35" t="n">
        <x:v>614</x:v>
      </x:c>
      <x:c r="B615" s="35" t="n">
        <x:v>34</x:v>
      </x:c>
      <x:c r="C615" s="35" t="str">
        <x:v>Male</x:v>
      </x:c>
      <x:c r="D615" s="35" t="str">
        <x:v>Operations</x:v>
      </x:c>
      <x:c r="E615" s="35" t="str">
        <x:v>Operations Specialist</x:v>
      </x:c>
      <x:c r="F615" s="35" t="str">
        <x:v>Life Sciences</x:v>
      </x:c>
      <x:c r="G615" s="35" t="str">
        <x:v>Single</x:v>
      </x:c>
      <x:c r="H615" s="35" t="n">
        <x:v>2</x:v>
      </x:c>
      <x:c r="I615" s="36" t="n">
        <x:v>11310</x:v>
      </x:c>
      <x:c r="J615" s="35" t="n">
        <x:v>10</x:v>
      </x:c>
      <x:c r="K615" s="35" t="n">
        <x:v>6</x:v>
      </x:c>
      <x:c r="L615" s="35" t="n">
        <x:v>3</x:v>
      </x:c>
      <x:c r="M615" s="35" t="n">
        <x:v>2</x:v>
      </x:c>
      <x:c r="N615" s="35" t="str">
        <x:v>No</x:v>
      </x:c>
      <x:c r="O615" s="35" t="n">
        <x:v>3</x:v>
      </x:c>
      <x:c r="P615" s="35" t="n">
        <x:v>3</x:v>
      </x:c>
      <x:c r="Q615" s="35" t="n">
        <x:v>2</x:v>
      </x:c>
      <x:c r="R615" s="35" t="n">
        <x:v>3</x:v>
      </x:c>
      <x:c r="S615" s="35" t="n">
        <x:v>3</x:v>
      </x:c>
      <x:c r="T615" s="35" t="n">
        <x:v>0</x:v>
      </x:c>
      <x:c r="U615" s="35" t="n">
        <x:v>1</x:v>
      </x:c>
      <x:c r="V615" s="35" t="n">
        <x:v>8</x:v>
      </x:c>
      <x:c r="W615" s="35" t="n">
        <x:v>0</x:v>
      </x:c>
      <x:c r="X615" s="35" t="n">
        <x:v>61</x:v>
      </x:c>
      <x:c r="Y615" s="35" t="n">
        <x:v>5</x:v>
      </x:c>
      <x:c r="Z615" s="35" t="n">
        <x:v>98</x:v>
      </x:c>
      <x:c r="AA615" s="35" t="n">
        <x:v>4</x:v>
      </x:c>
      <x:c r="AB615" s="35" t="n">
        <x:v>3</x:v>
      </x:c>
      <x:c r="AC615" s="35" t="n">
        <x:v>2</x:v>
      </x:c>
      <x:c r="AD615" s="35" t="n">
        <x:v>95</x:v>
      </x:c>
      <x:c r="AE615" s="35" t="n">
        <x:v>62</x:v>
      </x:c>
      <x:c r="AF615" s="35" t="n">
        <x:v>72</x:v>
      </x:c>
      <x:c r="AG615" s="35" t="n">
        <x:v>100</x:v>
      </x:c>
      <x:c r="AH615" s="35" t="n">
        <x:v>5</x:v>
      </x:c>
      <x:c r="AI615" s="37" t="n">
        <x:v>90.2</x:v>
      </x:c>
      <x:c r="AJ615" s="37" t="n">
        <x:v>87.7</x:v>
      </x:c>
      <x:c r="AK615" s="35" t="str">
        <x:v>No</x:v>
      </x:c>
      <x:c r="AL615" s="38" t="n">
        <x:f>IF(AA615=0,0,AB615/AA615)</x:f>
        <x:v>0.75</x:v>
      </x:c>
      <x:c r="AM615" s="38" t="n">
        <x:f>IF(AB615=0,0,AC615/AB615)</x:f>
        <x:v>0.6666666666666666</x:v>
      </x:c>
      <x:c r="AN615" s="37" t="n">
        <x:f>ROUND((AD615*0.20+AE615*0.20+AF615*0.25+AG615*0.15+MIN(100,AC615*12)*0.20),1)</x:f>
        <x:v>69.2</x:v>
      </x:c>
      <x:c r="AO615" s="37" t="n">
        <x:f>ROUND(MAX(0,MIN(100,(X615*0.35)+(W615/45*100*0.20)+((5-O615)/4*100*0.15)+((5-P615)/4*100*0.10)+((6-Y615)/5*100*0.10)+((100-Z615)*0.10))),1)</x:f>
        <x:v>36.1</x:v>
      </x:c>
      <x:c r="AP615" s="37" t="str">
        <x:f>IF(AO615&gt;=70,"High",IF(AO615&gt;=40,"Moderate","Low"))</x:f>
        <x:v>Low</x:v>
      </x:c>
      <x:c r="AQ615" s="37" t="n">
        <x:f>ROUND(MAX(0,MIN(100,(O615/4*100*0.25)+(P615/4*100*0.20)+(Q615/4*100*0.15)+(Y615/5*100*0.20)+(100-AO615)*0.20)),1)</x:f>
        <x:v>74</x:v>
      </x:c>
      <x:c r="AR615" s="37" t="n">
        <x:f>ROUND((AI615*0.20+AJ615*0.15+AN615*0.18+AG615*0.12+Z615*0.15+AQ615*0.20),1)</x:f>
        <x:v>85.2</x:v>
      </x:c>
      <x:c r="AS615" s="39" t="n">
        <x:f>ROUND((AC615*AF615*120)+(AH615*350)+(MAX(0,AI615-75)*220)+(MAX(0,AQ615-60)*100),0)</x:f>
        <x:v>23774</x:v>
      </x:c>
    </x:row>
    <x:row r="616">
      <x:c r="A616" s="35" t="n">
        <x:v>615</x:v>
      </x:c>
      <x:c r="B616" s="35" t="n">
        <x:v>27</x:v>
      </x:c>
      <x:c r="C616" s="35" t="str">
        <x:v>Female</x:v>
      </x:c>
      <x:c r="D616" s="35" t="str">
        <x:v>Human Resources</x:v>
      </x:c>
      <x:c r="E616" s="35" t="str">
        <x:v>Talent Development Specialist</x:v>
      </x:c>
      <x:c r="F616" s="35" t="str">
        <x:v>Technical Degree</x:v>
      </x:c>
      <x:c r="G616" s="35" t="str">
        <x:v>Divorced</x:v>
      </x:c>
      <x:c r="H616" s="35" t="n">
        <x:v>1</x:v>
      </x:c>
      <x:c r="I616" s="36" t="n">
        <x:v>7660</x:v>
      </x:c>
      <x:c r="J616" s="35" t="n">
        <x:v>3</x:v>
      </x:c>
      <x:c r="K616" s="35" t="n">
        <x:v>2</x:v>
      </x:c>
      <x:c r="L616" s="35" t="n">
        <x:v>1</x:v>
      </x:c>
      <x:c r="M616" s="35" t="n">
        <x:v>13</x:v>
      </x:c>
      <x:c r="N616" s="35" t="str">
        <x:v>No</x:v>
      </x:c>
      <x:c r="O616" s="35" t="n">
        <x:v>2</x:v>
      </x:c>
      <x:c r="P616" s="35" t="n">
        <x:v>1</x:v>
      </x:c>
      <x:c r="Q616" s="35" t="n">
        <x:v>4</x:v>
      </x:c>
      <x:c r="R616" s="35" t="n">
        <x:v>3</x:v>
      </x:c>
      <x:c r="S616" s="35" t="n">
        <x:v>3</x:v>
      </x:c>
      <x:c r="T616" s="35" t="n">
        <x:v>3</x:v>
      </x:c>
      <x:c r="U616" s="35" t="n">
        <x:v>1</x:v>
      </x:c>
      <x:c r="V616" s="35" t="n">
        <x:v>4</x:v>
      </x:c>
      <x:c r="W616" s="35" t="n">
        <x:v>4</x:v>
      </x:c>
      <x:c r="X616" s="35" t="n">
        <x:v>51</x:v>
      </x:c>
      <x:c r="Y616" s="35" t="n">
        <x:v>4</x:v>
      </x:c>
      <x:c r="Z616" s="35" t="n">
        <x:v>86</x:v>
      </x:c>
      <x:c r="AA616" s="35" t="n">
        <x:v>2</x:v>
      </x:c>
      <x:c r="AB616" s="35" t="n">
        <x:v>1</x:v>
      </x:c>
      <x:c r="AC616" s="35" t="n">
        <x:v>1</x:v>
      </x:c>
      <x:c r="AD616" s="35" t="n">
        <x:v>50</x:v>
      </x:c>
      <x:c r="AE616" s="35" t="n">
        <x:v>71</x:v>
      </x:c>
      <x:c r="AF616" s="35" t="n">
        <x:v>87</x:v>
      </x:c>
      <x:c r="AG616" s="35" t="n">
        <x:v>95</x:v>
      </x:c>
      <x:c r="AH616" s="35" t="n">
        <x:v>5</x:v>
      </x:c>
      <x:c r="AI616" s="37" t="n">
        <x:v>92</x:v>
      </x:c>
      <x:c r="AJ616" s="37" t="n">
        <x:v>94.6</x:v>
      </x:c>
      <x:c r="AK616" s="35" t="str">
        <x:v>No</x:v>
      </x:c>
      <x:c r="AL616" s="38" t="n">
        <x:f>IF(AA616=0,0,AB616/AA616)</x:f>
        <x:v>0.5</x:v>
      </x:c>
      <x:c r="AM616" s="38" t="n">
        <x:f>IF(AB616=0,0,AC616/AB616)</x:f>
        <x:v>1</x:v>
      </x:c>
      <x:c r="AN616" s="37" t="n">
        <x:f>ROUND((AD616*0.20+AE616*0.20+AF616*0.25+AG616*0.15+MIN(100,AC616*12)*0.20),1)</x:f>
        <x:v>62.6</x:v>
      </x:c>
      <x:c r="AO616" s="37" t="n">
        <x:f>ROUND(MAX(0,MIN(100,(X616*0.35)+(W616/45*100*0.20)+((5-O616)/4*100*0.15)+((5-P616)/4*100*0.10)+((6-Y616)/5*100*0.10)+((100-Z616)*0.10))),1)</x:f>
        <x:v>46.3</x:v>
      </x:c>
      <x:c r="AP616" s="37" t="str">
        <x:f>IF(AO616&gt;=70,"High",IF(AO616&gt;=40,"Moderate","Low"))</x:f>
        <x:v>Moderate</x:v>
      </x:c>
      <x:c r="AQ616" s="37" t="n">
        <x:f>ROUND(MAX(0,MIN(100,(O616/4*100*0.25)+(P616/4*100*0.20)+(Q616/4*100*0.15)+(Y616/5*100*0.20)+(100-AO616)*0.20)),1)</x:f>
        <x:v>59.2</x:v>
      </x:c>
      <x:c r="AR616" s="37" t="n">
        <x:f>ROUND((AI616*0.20+AJ616*0.15+AN616*0.18+AG616*0.12+Z616*0.15+AQ616*0.20),1)</x:f>
        <x:v>80</x:v>
      </x:c>
      <x:c r="AS616" s="39" t="n">
        <x:f>ROUND((AC616*AF616*120)+(AH616*350)+(MAX(0,AI616-75)*220)+(MAX(0,AQ616-60)*100),0)</x:f>
        <x:v>15930</x:v>
      </x:c>
    </x:row>
    <x:row r="617">
      <x:c r="A617" s="35" t="n">
        <x:v>616</x:v>
      </x:c>
      <x:c r="B617" s="35" t="n">
        <x:v>40</x:v>
      </x:c>
      <x:c r="C617" s="35" t="str">
        <x:v>Male</x:v>
      </x:c>
      <x:c r="D617" s="35" t="str">
        <x:v>Operations</x:v>
      </x:c>
      <x:c r="E617" s="35" t="str">
        <x:v>Quality Specialist</x:v>
      </x:c>
      <x:c r="F617" s="35" t="str">
        <x:v>Life Sciences</x:v>
      </x:c>
      <x:c r="G617" s="35" t="str">
        <x:v>Single</x:v>
      </x:c>
      <x:c r="H617" s="35" t="n">
        <x:v>3</x:v>
      </x:c>
      <x:c r="I617" s="36" t="n">
        <x:v>11520</x:v>
      </x:c>
      <x:c r="J617" s="35" t="n">
        <x:v>11</x:v>
      </x:c>
      <x:c r="K617" s="35" t="n">
        <x:v>9</x:v>
      </x:c>
      <x:c r="L617" s="35" t="n">
        <x:v>6</x:v>
      </x:c>
      <x:c r="M617" s="35" t="n">
        <x:v>7</x:v>
      </x:c>
      <x:c r="N617" s="35" t="str">
        <x:v>No</x:v>
      </x:c>
      <x:c r="O617" s="35" t="n">
        <x:v>3</x:v>
      </x:c>
      <x:c r="P617" s="35" t="n">
        <x:v>2</x:v>
      </x:c>
      <x:c r="Q617" s="35" t="n">
        <x:v>3</x:v>
      </x:c>
      <x:c r="R617" s="35" t="n">
        <x:v>4</x:v>
      </x:c>
      <x:c r="S617" s="35" t="n">
        <x:v>3</x:v>
      </x:c>
      <x:c r="T617" s="35" t="n">
        <x:v>2</x:v>
      </x:c>
      <x:c r="U617" s="35" t="n">
        <x:v>0</x:v>
      </x:c>
      <x:c r="V617" s="35" t="n">
        <x:v>10</x:v>
      </x:c>
      <x:c r="W617" s="35" t="n">
        <x:v>0</x:v>
      </x:c>
      <x:c r="X617" s="35" t="n">
        <x:v>72</x:v>
      </x:c>
      <x:c r="Y617" s="35" t="n">
        <x:v>5</x:v>
      </x:c>
      <x:c r="Z617" s="35" t="n">
        <x:v>99</x:v>
      </x:c>
      <x:c r="AA617" s="35" t="n">
        <x:v>3</x:v>
      </x:c>
      <x:c r="AB617" s="35" t="n">
        <x:v>3</x:v>
      </x:c>
      <x:c r="AC617" s="35" t="n">
        <x:v>3</x:v>
      </x:c>
      <x:c r="AD617" s="35" t="n">
        <x:v>75</x:v>
      </x:c>
      <x:c r="AE617" s="35" t="n">
        <x:v>88</x:v>
      </x:c>
      <x:c r="AF617" s="35" t="n">
        <x:v>75</x:v>
      </x:c>
      <x:c r="AG617" s="35" t="n">
        <x:v>100</x:v>
      </x:c>
      <x:c r="AH617" s="35" t="n">
        <x:v>5</x:v>
      </x:c>
      <x:c r="AI617" s="37" t="n">
        <x:v>100</x:v>
      </x:c>
      <x:c r="AJ617" s="37" t="n">
        <x:v>96</x:v>
      </x:c>
      <x:c r="AK617" s="35" t="str">
        <x:v>No</x:v>
      </x:c>
      <x:c r="AL617" s="38" t="n">
        <x:f>IF(AA617=0,0,AB617/AA617)</x:f>
        <x:v>1</x:v>
      </x:c>
      <x:c r="AM617" s="38" t="n">
        <x:f>IF(AB617=0,0,AC617/AB617)</x:f>
        <x:v>1</x:v>
      </x:c>
      <x:c r="AN617" s="37" t="n">
        <x:f>ROUND((AD617*0.20+AE617*0.20+AF617*0.25+AG617*0.15+MIN(100,AC617*12)*0.20),1)</x:f>
        <x:v>73.6</x:v>
      </x:c>
      <x:c r="AO617" s="37" t="n">
        <x:f>ROUND(MAX(0,MIN(100,(X617*0.35)+(W617/45*100*0.20)+((5-O617)/4*100*0.15)+((5-P617)/4*100*0.10)+((6-Y617)/5*100*0.10)+((100-Z617)*0.10))),1)</x:f>
        <x:v>42.3</x:v>
      </x:c>
      <x:c r="AP617" s="37" t="str">
        <x:f>IF(AO617&gt;=70,"High",IF(AO617&gt;=40,"Moderate","Low"))</x:f>
        <x:v>Moderate</x:v>
      </x:c>
      <x:c r="AQ617" s="37" t="n">
        <x:f>ROUND(MAX(0,MIN(100,(O617/4*100*0.25)+(P617/4*100*0.20)+(Q617/4*100*0.15)+(Y617/5*100*0.20)+(100-AO617)*0.20)),1)</x:f>
        <x:v>71.5</x:v>
      </x:c>
      <x:c r="AR617" s="37" t="n">
        <x:f>ROUND((AI617*0.20+AJ617*0.15+AN617*0.18+AG617*0.12+Z617*0.15+AQ617*0.20),1)</x:f>
        <x:v>88.8</x:v>
      </x:c>
      <x:c r="AS617" s="39" t="n">
        <x:f>ROUND((AC617*AF617*120)+(AH617*350)+(MAX(0,AI617-75)*220)+(MAX(0,AQ617-60)*100),0)</x:f>
        <x:v>35400</x:v>
      </x:c>
    </x:row>
    <x:row r="618">
      <x:c r="A618" s="35" t="n">
        <x:v>617</x:v>
      </x:c>
      <x:c r="B618" s="35" t="n">
        <x:v>32</x:v>
      </x:c>
      <x:c r="C618" s="35" t="str">
        <x:v>Female</x:v>
      </x:c>
      <x:c r="D618" s="35" t="str">
        <x:v>Marketing</x:v>
      </x:c>
      <x:c r="E618" s="35" t="str">
        <x:v>Digital Marketing Analyst</x:v>
      </x:c>
      <x:c r="F618" s="35" t="str">
        <x:v>Human Resources</x:v>
      </x:c>
      <x:c r="G618" s="35" t="str">
        <x:v>Married</x:v>
      </x:c>
      <x:c r="H618" s="35" t="n">
        <x:v>3</x:v>
      </x:c>
      <x:c r="I618" s="36" t="n">
        <x:v>11740</x:v>
      </x:c>
      <x:c r="J618" s="35" t="n">
        <x:v>8</x:v>
      </x:c>
      <x:c r="K618" s="35" t="n">
        <x:v>2</x:v>
      </x:c>
      <x:c r="L618" s="35" t="n">
        <x:v>1</x:v>
      </x:c>
      <x:c r="M618" s="35" t="n">
        <x:v>2</x:v>
      </x:c>
      <x:c r="N618" s="35" t="str">
        <x:v>Yes</x:v>
      </x:c>
      <x:c r="O618" s="35" t="n">
        <x:v>2</x:v>
      </x:c>
      <x:c r="P618" s="35" t="n">
        <x:v>3</x:v>
      </x:c>
      <x:c r="Q618" s="35" t="n">
        <x:v>3</x:v>
      </x:c>
      <x:c r="R618" s="35" t="n">
        <x:v>4</x:v>
      </x:c>
      <x:c r="S618" s="35" t="n">
        <x:v>3</x:v>
      </x:c>
      <x:c r="T618" s="35" t="n">
        <x:v>4</x:v>
      </x:c>
      <x:c r="U618" s="35" t="n">
        <x:v>3</x:v>
      </x:c>
      <x:c r="V618" s="35" t="n">
        <x:v>10</x:v>
      </x:c>
      <x:c r="W618" s="35" t="n">
        <x:v>14</x:v>
      </x:c>
      <x:c r="X618" s="35" t="n">
        <x:v>65</x:v>
      </x:c>
      <x:c r="Y618" s="35" t="n">
        <x:v>5</x:v>
      </x:c>
      <x:c r="Z618" s="35" t="n">
        <x:v>100</x:v>
      </x:c>
      <x:c r="AA618" s="35" t="n">
        <x:v>8</x:v>
      </x:c>
      <x:c r="AB618" s="35" t="n">
        <x:v>6</x:v>
      </x:c>
      <x:c r="AC618" s="35" t="n">
        <x:v>6</x:v>
      </x:c>
      <x:c r="AD618" s="35" t="n">
        <x:v>74</x:v>
      </x:c>
      <x:c r="AE618" s="35" t="n">
        <x:v>71</x:v>
      </x:c>
      <x:c r="AF618" s="35" t="n">
        <x:v>86</x:v>
      </x:c>
      <x:c r="AG618" s="35" t="n">
        <x:v>100</x:v>
      </x:c>
      <x:c r="AH618" s="35" t="n">
        <x:v>10</x:v>
      </x:c>
      <x:c r="AI618" s="37" t="n">
        <x:v>97.7</x:v>
      </x:c>
      <x:c r="AJ618" s="37" t="n">
        <x:v>100</x:v>
      </x:c>
      <x:c r="AK618" s="35" t="str">
        <x:v>No</x:v>
      </x:c>
      <x:c r="AL618" s="38" t="n">
        <x:f>IF(AA618=0,0,AB618/AA618)</x:f>
        <x:v>0.75</x:v>
      </x:c>
      <x:c r="AM618" s="38" t="n">
        <x:f>IF(AB618=0,0,AC618/AB618)</x:f>
        <x:v>1</x:v>
      </x:c>
      <x:c r="AN618" s="37" t="n">
        <x:f>ROUND((AD618*0.20+AE618*0.20+AF618*0.25+AG618*0.15+MIN(100,AC618*12)*0.20),1)</x:f>
        <x:v>79.9</x:v>
      </x:c>
      <x:c r="AO618" s="37" t="n">
        <x:f>ROUND(MAX(0,MIN(100,(X618*0.35)+(W618/45*100*0.20)+((5-O618)/4*100*0.15)+((5-P618)/4*100*0.10)+((6-Y618)/5*100*0.10)+((100-Z618)*0.10))),1)</x:f>
        <x:v>47.2</x:v>
      </x:c>
      <x:c r="AP618" s="37" t="str">
        <x:f>IF(AO618&gt;=70,"High",IF(AO618&gt;=40,"Moderate","Low"))</x:f>
        <x:v>Moderate</x:v>
      </x:c>
      <x:c r="AQ618" s="37" t="n">
        <x:f>ROUND(MAX(0,MIN(100,(O618/4*100*0.25)+(P618/4*100*0.20)+(Q618/4*100*0.15)+(Y618/5*100*0.20)+(100-AO618)*0.20)),1)</x:f>
        <x:v>69.3</x:v>
      </x:c>
      <x:c r="AR618" s="37" t="n">
        <x:f>ROUND((AI618*0.20+AJ618*0.15+AN618*0.18+AG618*0.12+Z618*0.15+AQ618*0.20),1)</x:f>
        <x:v>89.8</x:v>
      </x:c>
      <x:c r="AS618" s="39" t="n">
        <x:f>ROUND((AC618*AF618*120)+(AH618*350)+(MAX(0,AI618-75)*220)+(MAX(0,AQ618-60)*100),0)</x:f>
        <x:v>71344</x:v>
      </x:c>
    </x:row>
    <x:row r="619">
      <x:c r="A619" s="35" t="n">
        <x:v>618</x:v>
      </x:c>
      <x:c r="B619" s="35" t="n">
        <x:v>42</x:v>
      </x:c>
      <x:c r="C619" s="35" t="str">
        <x:v>Male</x:v>
      </x:c>
      <x:c r="D619" s="35" t="str">
        <x:v>Sales</x:v>
      </x:c>
      <x:c r="E619" s="35" t="str">
        <x:v>Account Manager</x:v>
      </x:c>
      <x:c r="F619" s="35" t="str">
        <x:v>Life Sciences</x:v>
      </x:c>
      <x:c r="G619" s="35" t="str">
        <x:v>Married</x:v>
      </x:c>
      <x:c r="H619" s="35" t="n">
        <x:v>2</x:v>
      </x:c>
      <x:c r="I619" s="36" t="n">
        <x:v>7180</x:v>
      </x:c>
      <x:c r="J619" s="35" t="n">
        <x:v>11</x:v>
      </x:c>
      <x:c r="K619" s="35" t="n">
        <x:v>3</x:v>
      </x:c>
      <x:c r="L619" s="35" t="n">
        <x:v>1</x:v>
      </x:c>
      <x:c r="M619" s="35" t="n">
        <x:v>1</x:v>
      </x:c>
      <x:c r="N619" s="35" t="str">
        <x:v>No</x:v>
      </x:c>
      <x:c r="O619" s="35" t="n">
        <x:v>2</x:v>
      </x:c>
      <x:c r="P619" s="35" t="n">
        <x:v>4</x:v>
      </x:c>
      <x:c r="Q619" s="35" t="n">
        <x:v>3</x:v>
      </x:c>
      <x:c r="R619" s="35" t="n">
        <x:v>3</x:v>
      </x:c>
      <x:c r="S619" s="35" t="n">
        <x:v>4</x:v>
      </x:c>
      <x:c r="T619" s="35" t="n">
        <x:v>6</x:v>
      </x:c>
      <x:c r="U619" s="35" t="n">
        <x:v>1</x:v>
      </x:c>
      <x:c r="V619" s="35" t="n">
        <x:v>8</x:v>
      </x:c>
      <x:c r="W619" s="35" t="n">
        <x:v>15</x:v>
      </x:c>
      <x:c r="X619" s="35" t="n">
        <x:v>40</x:v>
      </x:c>
      <x:c r="Y619" s="35" t="n">
        <x:v>5</x:v>
      </x:c>
      <x:c r="Z619" s="35" t="n">
        <x:v>100</x:v>
      </x:c>
      <x:c r="AA619" s="35" t="n">
        <x:v>4</x:v>
      </x:c>
      <x:c r="AB619" s="35" t="n">
        <x:v>4</x:v>
      </x:c>
      <x:c r="AC619" s="35" t="n">
        <x:v>4</x:v>
      </x:c>
      <x:c r="AD619" s="35" t="n">
        <x:v>96</x:v>
      </x:c>
      <x:c r="AE619" s="35" t="n">
        <x:v>84</x:v>
      </x:c>
      <x:c r="AF619" s="35" t="n">
        <x:v>63</x:v>
      </x:c>
      <x:c r="AG619" s="35" t="n">
        <x:v>78</x:v>
      </x:c>
      <x:c r="AH619" s="35" t="n">
        <x:v>12</x:v>
      </x:c>
      <x:c r="AI619" s="37" t="n">
        <x:v>100</x:v>
      </x:c>
      <x:c r="AJ619" s="37" t="n">
        <x:v>100</x:v>
      </x:c>
      <x:c r="AK619" s="35" t="str">
        <x:v>No</x:v>
      </x:c>
      <x:c r="AL619" s="38" t="n">
        <x:f>IF(AA619=0,0,AB619/AA619)</x:f>
        <x:v>1</x:v>
      </x:c>
      <x:c r="AM619" s="38" t="n">
        <x:f>IF(AB619=0,0,AC619/AB619)</x:f>
        <x:v>1</x:v>
      </x:c>
      <x:c r="AN619" s="37" t="n">
        <x:f>ROUND((AD619*0.20+AE619*0.20+AF619*0.25+AG619*0.15+MIN(100,AC619*12)*0.20),1)</x:f>
        <x:v>73.1</x:v>
      </x:c>
      <x:c r="AO619" s="37" t="n">
        <x:f>ROUND(MAX(0,MIN(100,(X619*0.35)+(W619/45*100*0.20)+((5-O619)/4*100*0.15)+((5-P619)/4*100*0.10)+((6-Y619)/5*100*0.10)+((100-Z619)*0.10))),1)</x:f>
        <x:v>36.4</x:v>
      </x:c>
      <x:c r="AP619" s="37" t="str">
        <x:f>IF(AO619&gt;=70,"High",IF(AO619&gt;=40,"Moderate","Low"))</x:f>
        <x:v>Low</x:v>
      </x:c>
      <x:c r="AQ619" s="37" t="n">
        <x:f>ROUND(MAX(0,MIN(100,(O619/4*100*0.25)+(P619/4*100*0.20)+(Q619/4*100*0.15)+(Y619/5*100*0.20)+(100-AO619)*0.20)),1)</x:f>
        <x:v>76.5</x:v>
      </x:c>
      <x:c r="AR619" s="37" t="n">
        <x:f>ROUND((AI619*0.20+AJ619*0.15+AN619*0.18+AG619*0.12+Z619*0.15+AQ619*0.20),1)</x:f>
        <x:v>87.8</x:v>
      </x:c>
      <x:c r="AS619" s="39" t="n">
        <x:f>ROUND((AC619*AF619*120)+(AH619*350)+(MAX(0,AI619-75)*220)+(MAX(0,AQ619-60)*100),0)</x:f>
        <x:v>41590</x:v>
      </x:c>
    </x:row>
    <x:row r="620">
      <x:c r="A620" s="35" t="n">
        <x:v>619</x:v>
      </x:c>
      <x:c r="B620" s="35" t="n">
        <x:v>39</x:v>
      </x:c>
      <x:c r="C620" s="35" t="str">
        <x:v>Female</x:v>
      </x:c>
      <x:c r="D620" s="35" t="str">
        <x:v>Finance</x:v>
      </x:c>
      <x:c r="E620" s="35" t="str">
        <x:v>Accountant</x:v>
      </x:c>
      <x:c r="F620" s="35" t="str">
        <x:v>Marketing</x:v>
      </x:c>
      <x:c r="G620" s="35" t="str">
        <x:v>Divorced</x:v>
      </x:c>
      <x:c r="H620" s="35" t="n">
        <x:v>2</x:v>
      </x:c>
      <x:c r="I620" s="36" t="n">
        <x:v>8240</x:v>
      </x:c>
      <x:c r="J620" s="35" t="n">
        <x:v>11</x:v>
      </x:c>
      <x:c r="K620" s="35" t="n">
        <x:v>6</x:v>
      </x:c>
      <x:c r="L620" s="35" t="n">
        <x:v>5</x:v>
      </x:c>
      <x:c r="M620" s="35" t="n">
        <x:v>10</x:v>
      </x:c>
      <x:c r="N620" s="35" t="str">
        <x:v>No</x:v>
      </x:c>
      <x:c r="O620" s="35" t="n">
        <x:v>3</x:v>
      </x:c>
      <x:c r="P620" s="35" t="n">
        <x:v>3</x:v>
      </x:c>
      <x:c r="Q620" s="35" t="n">
        <x:v>2</x:v>
      </x:c>
      <x:c r="R620" s="35" t="n">
        <x:v>3</x:v>
      </x:c>
      <x:c r="S620" s="35" t="n">
        <x:v>3</x:v>
      </x:c>
      <x:c r="T620" s="35" t="n">
        <x:v>2</x:v>
      </x:c>
      <x:c r="U620" s="35" t="n">
        <x:v>0</x:v>
      </x:c>
      <x:c r="V620" s="35" t="n">
        <x:v>10</x:v>
      </x:c>
      <x:c r="W620" s="35" t="n">
        <x:v>0</x:v>
      </x:c>
      <x:c r="X620" s="35" t="n">
        <x:v>54</x:v>
      </x:c>
      <x:c r="Y620" s="35" t="n">
        <x:v>4</x:v>
      </x:c>
      <x:c r="Z620" s="35" t="n">
        <x:v>100</x:v>
      </x:c>
      <x:c r="AA620" s="35" t="n">
        <x:v>3</x:v>
      </x:c>
      <x:c r="AB620" s="35" t="n">
        <x:v>3</x:v>
      </x:c>
      <x:c r="AC620" s="35" t="n">
        <x:v>3</x:v>
      </x:c>
      <x:c r="AD620" s="35" t="n">
        <x:v>73</x:v>
      </x:c>
      <x:c r="AE620" s="35" t="n">
        <x:v>71</x:v>
      </x:c>
      <x:c r="AF620" s="35" t="n">
        <x:v>72</x:v>
      </x:c>
      <x:c r="AG620" s="35" t="n">
        <x:v>92</x:v>
      </x:c>
      <x:c r="AH620" s="35" t="n">
        <x:v>4</x:v>
      </x:c>
      <x:c r="AI620" s="37" t="n">
        <x:v>100</x:v>
      </x:c>
      <x:c r="AJ620" s="37" t="n">
        <x:v>92.9</x:v>
      </x:c>
      <x:c r="AK620" s="35" t="str">
        <x:v>Yes</x:v>
      </x:c>
      <x:c r="AL620" s="38" t="n">
        <x:f>IF(AA620=0,0,AB620/AA620)</x:f>
        <x:v>1</x:v>
      </x:c>
      <x:c r="AM620" s="38" t="n">
        <x:f>IF(AB620=0,0,AC620/AB620)</x:f>
        <x:v>1</x:v>
      </x:c>
      <x:c r="AN620" s="37" t="n">
        <x:f>ROUND((AD620*0.20+AE620*0.20+AF620*0.25+AG620*0.15+MIN(100,AC620*12)*0.20),1)</x:f>
        <x:v>67.8</x:v>
      </x:c>
      <x:c r="AO620" s="37" t="n">
        <x:f>ROUND(MAX(0,MIN(100,(X620*0.35)+(W620/45*100*0.20)+((5-O620)/4*100*0.15)+((5-P620)/4*100*0.10)+((6-Y620)/5*100*0.10)+((100-Z620)*0.10))),1)</x:f>
        <x:v>35.4</x:v>
      </x:c>
      <x:c r="AP620" s="37" t="str">
        <x:f>IF(AO620&gt;=70,"High",IF(AO620&gt;=40,"Moderate","Low"))</x:f>
        <x:v>Low</x:v>
      </x:c>
      <x:c r="AQ620" s="37" t="n">
        <x:f>ROUND(MAX(0,MIN(100,(O620/4*100*0.25)+(P620/4*100*0.20)+(Q620/4*100*0.15)+(Y620/5*100*0.20)+(100-AO620)*0.20)),1)</x:f>
        <x:v>70.2</x:v>
      </x:c>
      <x:c r="AR620" s="37" t="n">
        <x:f>ROUND((AI620*0.20+AJ620*0.15+AN620*0.18+AG620*0.12+Z620*0.15+AQ620*0.20),1)</x:f>
        <x:v>86.2</x:v>
      </x:c>
      <x:c r="AS620" s="39" t="n">
        <x:f>ROUND((AC620*AF620*120)+(AH620*350)+(MAX(0,AI620-75)*220)+(MAX(0,AQ620-60)*100),0)</x:f>
        <x:v>33840</x:v>
      </x:c>
    </x:row>
    <x:row r="621">
      <x:c r="A621" s="35" t="n">
        <x:v>620</x:v>
      </x:c>
      <x:c r="B621" s="35" t="n">
        <x:v>44</x:v>
      </x:c>
      <x:c r="C621" s="35" t="str">
        <x:v>Female</x:v>
      </x:c>
      <x:c r="D621" s="35" t="str">
        <x:v>Sales</x:v>
      </x:c>
      <x:c r="E621" s="35" t="str">
        <x:v>Sales Executive</x:v>
      </x:c>
      <x:c r="F621" s="35" t="str">
        <x:v>Life Sciences</x:v>
      </x:c>
      <x:c r="G621" s="35" t="str">
        <x:v>Married</x:v>
      </x:c>
      <x:c r="H621" s="35" t="n">
        <x:v>3</x:v>
      </x:c>
      <x:c r="I621" s="36" t="n">
        <x:v>10300</x:v>
      </x:c>
      <x:c r="J621" s="35" t="n">
        <x:v>10</x:v>
      </x:c>
      <x:c r="K621" s="35" t="n">
        <x:v>3</x:v>
      </x:c>
      <x:c r="L621" s="35" t="n">
        <x:v>2</x:v>
      </x:c>
      <x:c r="M621" s="35" t="n">
        <x:v>7</x:v>
      </x:c>
      <x:c r="N621" s="35" t="str">
        <x:v>No</x:v>
      </x:c>
      <x:c r="O621" s="35" t="n">
        <x:v>3</x:v>
      </x:c>
      <x:c r="P621" s="35" t="n">
        <x:v>4</x:v>
      </x:c>
      <x:c r="Q621" s="35" t="n">
        <x:v>3</x:v>
      </x:c>
      <x:c r="R621" s="35" t="n">
        <x:v>4</x:v>
      </x:c>
      <x:c r="S621" s="35" t="n">
        <x:v>3</x:v>
      </x:c>
      <x:c r="T621" s="35" t="n">
        <x:v>0</x:v>
      </x:c>
      <x:c r="U621" s="35" t="n">
        <x:v>2</x:v>
      </x:c>
      <x:c r="V621" s="35" t="n">
        <x:v>5</x:v>
      </x:c>
      <x:c r="W621" s="35" t="n">
        <x:v>8</x:v>
      </x:c>
      <x:c r="X621" s="35" t="n">
        <x:v>60</x:v>
      </x:c>
      <x:c r="Y621" s="35" t="n">
        <x:v>5</x:v>
      </x:c>
      <x:c r="Z621" s="35" t="n">
        <x:v>100</x:v>
      </x:c>
      <x:c r="AA621" s="35" t="n">
        <x:v>3</x:v>
      </x:c>
      <x:c r="AB621" s="35" t="n">
        <x:v>3</x:v>
      </x:c>
      <x:c r="AC621" s="35" t="n">
        <x:v>2</x:v>
      </x:c>
      <x:c r="AD621" s="35" t="n">
        <x:v>54</x:v>
      </x:c>
      <x:c r="AE621" s="35" t="n">
        <x:v>84</x:v>
      </x:c>
      <x:c r="AF621" s="35" t="n">
        <x:v>78</x:v>
      </x:c>
      <x:c r="AG621" s="35" t="n">
        <x:v>100</x:v>
      </x:c>
      <x:c r="AH621" s="35" t="n">
        <x:v>7</x:v>
      </x:c>
      <x:c r="AI621" s="37" t="n">
        <x:v>100</x:v>
      </x:c>
      <x:c r="AJ621" s="37" t="n">
        <x:v>93.2</x:v>
      </x:c>
      <x:c r="AK621" s="35" t="str">
        <x:v>No</x:v>
      </x:c>
      <x:c r="AL621" s="38" t="n">
        <x:f>IF(AA621=0,0,AB621/AA621)</x:f>
        <x:v>1</x:v>
      </x:c>
      <x:c r="AM621" s="38" t="n">
        <x:f>IF(AB621=0,0,AC621/AB621)</x:f>
        <x:v>0.6666666666666666</x:v>
      </x:c>
      <x:c r="AN621" s="37" t="n">
        <x:f>ROUND((AD621*0.20+AE621*0.20+AF621*0.25+AG621*0.15+MIN(100,AC621*12)*0.20),1)</x:f>
        <x:v>66.9</x:v>
      </x:c>
      <x:c r="AO621" s="37" t="n">
        <x:f>ROUND(MAX(0,MIN(100,(X621*0.35)+(W621/45*100*0.20)+((5-O621)/4*100*0.15)+((5-P621)/4*100*0.10)+((6-Y621)/5*100*0.10)+((100-Z621)*0.10))),1)</x:f>
        <x:v>36.6</x:v>
      </x:c>
      <x:c r="AP621" s="37" t="str">
        <x:f>IF(AO621&gt;=70,"High",IF(AO621&gt;=40,"Moderate","Low"))</x:f>
        <x:v>Low</x:v>
      </x:c>
      <x:c r="AQ621" s="37" t="n">
        <x:f>ROUND(MAX(0,MIN(100,(O621/4*100*0.25)+(P621/4*100*0.20)+(Q621/4*100*0.15)+(Y621/5*100*0.20)+(100-AO621)*0.20)),1)</x:f>
        <x:v>82.7</x:v>
      </x:c>
      <x:c r="AR621" s="37" t="n">
        <x:f>ROUND((AI621*0.20+AJ621*0.15+AN621*0.18+AG621*0.12+Z621*0.15+AQ621*0.20),1)</x:f>
        <x:v>89.6</x:v>
      </x:c>
      <x:c r="AS621" s="39" t="n">
        <x:f>ROUND((AC621*AF621*120)+(AH621*350)+(MAX(0,AI621-75)*220)+(MAX(0,AQ621-60)*100),0)</x:f>
        <x:v>28940</x:v>
      </x:c>
    </x:row>
    <x:row r="622">
      <x:c r="A622" s="35" t="n">
        <x:v>621</x:v>
      </x:c>
      <x:c r="B622" s="35" t="n">
        <x:v>42</x:v>
      </x:c>
      <x:c r="C622" s="35" t="str">
        <x:v>Female</x:v>
      </x:c>
      <x:c r="D622" s="35" t="str">
        <x:v>Human Resources</x:v>
      </x:c>
      <x:c r="E622" s="35" t="str">
        <x:v>Talent Development Specialist</x:v>
      </x:c>
      <x:c r="F622" s="35" t="str">
        <x:v>Life Sciences</x:v>
      </x:c>
      <x:c r="G622" s="35" t="str">
        <x:v>Married</x:v>
      </x:c>
      <x:c r="H622" s="35" t="n">
        <x:v>3</x:v>
      </x:c>
      <x:c r="I622" s="36" t="n">
        <x:v>15570</x:v>
      </x:c>
      <x:c r="J622" s="35" t="n">
        <x:v>16</x:v>
      </x:c>
      <x:c r="K622" s="35" t="n">
        <x:v>14</x:v>
      </x:c>
      <x:c r="L622" s="35" t="n">
        <x:v>7</x:v>
      </x:c>
      <x:c r="M622" s="35" t="n">
        <x:v>5</x:v>
      </x:c>
      <x:c r="N622" s="35" t="str">
        <x:v>No</x:v>
      </x:c>
      <x:c r="O622" s="35" t="n">
        <x:v>3</x:v>
      </x:c>
      <x:c r="P622" s="35" t="n">
        <x:v>3</x:v>
      </x:c>
      <x:c r="Q622" s="35" t="n">
        <x:v>3</x:v>
      </x:c>
      <x:c r="R622" s="35" t="n">
        <x:v>2</x:v>
      </x:c>
      <x:c r="S622" s="35" t="n">
        <x:v>3</x:v>
      </x:c>
      <x:c r="T622" s="35" t="n">
        <x:v>1</x:v>
      </x:c>
      <x:c r="U622" s="35" t="n">
        <x:v>0</x:v>
      </x:c>
      <x:c r="V622" s="35" t="n">
        <x:v>3</x:v>
      </x:c>
      <x:c r="W622" s="35" t="n">
        <x:v>11</x:v>
      </x:c>
      <x:c r="X622" s="35" t="n">
        <x:v>65</x:v>
      </x:c>
      <x:c r="Y622" s="35" t="n">
        <x:v>4</x:v>
      </x:c>
      <x:c r="Z622" s="35" t="n">
        <x:v>96</x:v>
      </x:c>
      <x:c r="AA622" s="35" t="n">
        <x:v>3</x:v>
      </x:c>
      <x:c r="AB622" s="35" t="n">
        <x:v>1</x:v>
      </x:c>
      <x:c r="AC622" s="35" t="n">
        <x:v>1</x:v>
      </x:c>
      <x:c r="AD622" s="35" t="n">
        <x:v>87</x:v>
      </x:c>
      <x:c r="AE622" s="35" t="n">
        <x:v>81</x:v>
      </x:c>
      <x:c r="AF622" s="35" t="n">
        <x:v>75</x:v>
      </x:c>
      <x:c r="AG622" s="35" t="n">
        <x:v>91</x:v>
      </x:c>
      <x:c r="AH622" s="35" t="n">
        <x:v>4</x:v>
      </x:c>
      <x:c r="AI622" s="37" t="n">
        <x:v>91.8</x:v>
      </x:c>
      <x:c r="AJ622" s="37" t="n">
        <x:v>92.3</x:v>
      </x:c>
      <x:c r="AK622" s="35" t="str">
        <x:v>No</x:v>
      </x:c>
      <x:c r="AL622" s="38" t="n">
        <x:f>IF(AA622=0,0,AB622/AA622)</x:f>
        <x:v>0.3333333333333333</x:v>
      </x:c>
      <x:c r="AM622" s="38" t="n">
        <x:f>IF(AB622=0,0,AC622/AB622)</x:f>
        <x:v>1</x:v>
      </x:c>
      <x:c r="AN622" s="37" t="n">
        <x:f>ROUND((AD622*0.20+AE622*0.20+AF622*0.25+AG622*0.15+MIN(100,AC622*12)*0.20),1)</x:f>
        <x:v>68.4</x:v>
      </x:c>
      <x:c r="AO622" s="37" t="n">
        <x:f>ROUND(MAX(0,MIN(100,(X622*0.35)+(W622/45*100*0.20)+((5-O622)/4*100*0.15)+((5-P622)/4*100*0.10)+((6-Y622)/5*100*0.10)+((100-Z622)*0.10))),1)</x:f>
        <x:v>44.5</x:v>
      </x:c>
      <x:c r="AP622" s="37" t="str">
        <x:f>IF(AO622&gt;=70,"High",IF(AO622&gt;=40,"Moderate","Low"))</x:f>
        <x:v>Moderate</x:v>
      </x:c>
      <x:c r="AQ622" s="37" t="n">
        <x:f>ROUND(MAX(0,MIN(100,(O622/4*100*0.25)+(P622/4*100*0.20)+(Q622/4*100*0.15)+(Y622/5*100*0.20)+(100-AO622)*0.20)),1)</x:f>
        <x:v>72.1</x:v>
      </x:c>
      <x:c r="AR622" s="37" t="n">
        <x:f>ROUND((AI622*0.20+AJ622*0.15+AN622*0.18+AG622*0.12+Z622*0.15+AQ622*0.20),1)</x:f>
        <x:v>84.3</x:v>
      </x:c>
      <x:c r="AS622" s="39" t="n">
        <x:f>ROUND((AC622*AF622*120)+(AH622*350)+(MAX(0,AI622-75)*220)+(MAX(0,AQ622-60)*100),0)</x:f>
        <x:v>15306</x:v>
      </x:c>
    </x:row>
    <x:row r="623">
      <x:c r="A623" s="35" t="n">
        <x:v>622</x:v>
      </x:c>
      <x:c r="B623" s="35" t="n">
        <x:v>38</x:v>
      </x:c>
      <x:c r="C623" s="35" t="str">
        <x:v>Female</x:v>
      </x:c>
      <x:c r="D623" s="35" t="str">
        <x:v>Finance</x:v>
      </x:c>
      <x:c r="E623" s="35" t="str">
        <x:v>Finance Manager</x:v>
      </x:c>
      <x:c r="F623" s="35" t="str">
        <x:v>Computer Science</x:v>
      </x:c>
      <x:c r="G623" s="35" t="str">
        <x:v>Married</x:v>
      </x:c>
      <x:c r="H623" s="35" t="n">
        <x:v>3</x:v>
      </x:c>
      <x:c r="I623" s="36" t="n">
        <x:v>7820</x:v>
      </x:c>
      <x:c r="J623" s="35" t="n">
        <x:v>11</x:v>
      </x:c>
      <x:c r="K623" s="35" t="n">
        <x:v>3</x:v>
      </x:c>
      <x:c r="L623" s="35" t="n">
        <x:v>1</x:v>
      </x:c>
      <x:c r="M623" s="35" t="n">
        <x:v>10</x:v>
      </x:c>
      <x:c r="N623" s="35" t="str">
        <x:v>No</x:v>
      </x:c>
      <x:c r="O623" s="35" t="n">
        <x:v>2</x:v>
      </x:c>
      <x:c r="P623" s="35" t="n">
        <x:v>3</x:v>
      </x:c>
      <x:c r="Q623" s="35" t="n">
        <x:v>2</x:v>
      </x:c>
      <x:c r="R623" s="35" t="n">
        <x:v>3</x:v>
      </x:c>
      <x:c r="S623" s="35" t="n">
        <x:v>3</x:v>
      </x:c>
      <x:c r="T623" s="35" t="n">
        <x:v>3</x:v>
      </x:c>
      <x:c r="U623" s="35" t="n">
        <x:v>0</x:v>
      </x:c>
      <x:c r="V623" s="35" t="n">
        <x:v>11</x:v>
      </x:c>
      <x:c r="W623" s="35" t="n">
        <x:v>7</x:v>
      </x:c>
      <x:c r="X623" s="35" t="n">
        <x:v>76</x:v>
      </x:c>
      <x:c r="Y623" s="35" t="n">
        <x:v>4</x:v>
      </x:c>
      <x:c r="Z623" s="35" t="n">
        <x:v>100</x:v>
      </x:c>
      <x:c r="AA623" s="35" t="n">
        <x:v>8</x:v>
      </x:c>
      <x:c r="AB623" s="35" t="n">
        <x:v>6</x:v>
      </x:c>
      <x:c r="AC623" s="35" t="n">
        <x:v>3</x:v>
      </x:c>
      <x:c r="AD623" s="35" t="n">
        <x:v>88</x:v>
      </x:c>
      <x:c r="AE623" s="35" t="n">
        <x:v>42</x:v>
      </x:c>
      <x:c r="AF623" s="35" t="n">
        <x:v>71</x:v>
      </x:c>
      <x:c r="AG623" s="35" t="n">
        <x:v>98</x:v>
      </x:c>
      <x:c r="AH623" s="35" t="n">
        <x:v>9</x:v>
      </x:c>
      <x:c r="AI623" s="37" t="n">
        <x:v>97.5</x:v>
      </x:c>
      <x:c r="AJ623" s="37" t="n">
        <x:v>86.9</x:v>
      </x:c>
      <x:c r="AK623" s="35" t="str">
        <x:v>Yes</x:v>
      </x:c>
      <x:c r="AL623" s="38" t="n">
        <x:f>IF(AA623=0,0,AB623/AA623)</x:f>
        <x:v>0.75</x:v>
      </x:c>
      <x:c r="AM623" s="38" t="n">
        <x:f>IF(AB623=0,0,AC623/AB623)</x:f>
        <x:v>0.5</x:v>
      </x:c>
      <x:c r="AN623" s="37" t="n">
        <x:f>ROUND((AD623*0.20+AE623*0.20+AF623*0.25+AG623*0.15+MIN(100,AC623*12)*0.20),1)</x:f>
        <x:v>65.7</x:v>
      </x:c>
      <x:c r="AO623" s="37" t="n">
        <x:f>ROUND(MAX(0,MIN(100,(X623*0.35)+(W623/45*100*0.20)+((5-O623)/4*100*0.15)+((5-P623)/4*100*0.10)+((6-Y623)/5*100*0.10)+((100-Z623)*0.10))),1)</x:f>
        <x:v>50</x:v>
      </x:c>
      <x:c r="AP623" s="37" t="str">
        <x:f>IF(AO623&gt;=70,"High",IF(AO623&gt;=40,"Moderate","Low"))</x:f>
        <x:v>Moderate</x:v>
      </x:c>
      <x:c r="AQ623" s="37" t="n">
        <x:f>ROUND(MAX(0,MIN(100,(O623/4*100*0.25)+(P623/4*100*0.20)+(Q623/4*100*0.15)+(Y623/5*100*0.20)+(100-AO623)*0.20)),1)</x:f>
        <x:v>61</x:v>
      </x:c>
      <x:c r="AR623" s="37" t="n">
        <x:f>ROUND((AI623*0.20+AJ623*0.15+AN623*0.18+AG623*0.12+Z623*0.15+AQ623*0.20),1)</x:f>
        <x:v>83.3</x:v>
      </x:c>
      <x:c r="AS623" s="39" t="n">
        <x:f>ROUND((AC623*AF623*120)+(AH623*350)+(MAX(0,AI623-75)*220)+(MAX(0,AQ623-60)*100),0)</x:f>
        <x:v>33760</x:v>
      </x:c>
    </x:row>
    <x:row r="624">
      <x:c r="A624" s="35" t="n">
        <x:v>623</x:v>
      </x:c>
      <x:c r="B624" s="35" t="n">
        <x:v>48</x:v>
      </x:c>
      <x:c r="C624" s="35" t="str">
        <x:v>Male</x:v>
      </x:c>
      <x:c r="D624" s="35" t="str">
        <x:v>Operations</x:v>
      </x:c>
      <x:c r="E624" s="35" t="str">
        <x:v>Operations Manager</x:v>
      </x:c>
      <x:c r="F624" s="35" t="str">
        <x:v>Technical Degree</x:v>
      </x:c>
      <x:c r="G624" s="35" t="str">
        <x:v>Divorced</x:v>
      </x:c>
      <x:c r="H624" s="35" t="n">
        <x:v>5</x:v>
      </x:c>
      <x:c r="I624" s="36" t="n">
        <x:v>27770</x:v>
      </x:c>
      <x:c r="J624" s="35" t="n">
        <x:v>18</x:v>
      </x:c>
      <x:c r="K624" s="35" t="n">
        <x:v>5</x:v>
      </x:c>
      <x:c r="L624" s="35" t="n">
        <x:v>2</x:v>
      </x:c>
      <x:c r="M624" s="35" t="n">
        <x:v>34</x:v>
      </x:c>
      <x:c r="N624" s="35" t="str">
        <x:v>No</x:v>
      </x:c>
      <x:c r="O624" s="35" t="n">
        <x:v>3</x:v>
      </x:c>
      <x:c r="P624" s="35" t="n">
        <x:v>4</x:v>
      </x:c>
      <x:c r="Q624" s="35" t="n">
        <x:v>2</x:v>
      </x:c>
      <x:c r="R624" s="35" t="n">
        <x:v>3</x:v>
      </x:c>
      <x:c r="S624" s="35" t="n">
        <x:v>3</x:v>
      </x:c>
      <x:c r="T624" s="35" t="n">
        <x:v>3</x:v>
      </x:c>
      <x:c r="U624" s="35" t="n">
        <x:v>3</x:v>
      </x:c>
      <x:c r="V624" s="35" t="n">
        <x:v>2</x:v>
      </x:c>
      <x:c r="W624" s="35" t="n">
        <x:v>4</x:v>
      </x:c>
      <x:c r="X624" s="35" t="n">
        <x:v>68</x:v>
      </x:c>
      <x:c r="Y624" s="35" t="n">
        <x:v>5</x:v>
      </x:c>
      <x:c r="Z624" s="35" t="n">
        <x:v>100</x:v>
      </x:c>
      <x:c r="AA624" s="35" t="n">
        <x:v>6</x:v>
      </x:c>
      <x:c r="AB624" s="35" t="n">
        <x:v>3</x:v>
      </x:c>
      <x:c r="AC624" s="35" t="n">
        <x:v>3</x:v>
      </x:c>
      <x:c r="AD624" s="35" t="n">
        <x:v>77</x:v>
      </x:c>
      <x:c r="AE624" s="35" t="n">
        <x:v>77</x:v>
      </x:c>
      <x:c r="AF624" s="35" t="n">
        <x:v>82</x:v>
      </x:c>
      <x:c r="AG624" s="35" t="n">
        <x:v>90</x:v>
      </x:c>
      <x:c r="AH624" s="35" t="n">
        <x:v>8</x:v>
      </x:c>
      <x:c r="AI624" s="37" t="n">
        <x:v>100</x:v>
      </x:c>
      <x:c r="AJ624" s="37" t="n">
        <x:v>90.6</x:v>
      </x:c>
      <x:c r="AK624" s="35" t="str">
        <x:v>No</x:v>
      </x:c>
      <x:c r="AL624" s="38" t="n">
        <x:f>IF(AA624=0,0,AB624/AA624)</x:f>
        <x:v>0.5</x:v>
      </x:c>
      <x:c r="AM624" s="38" t="n">
        <x:f>IF(AB624=0,0,AC624/AB624)</x:f>
        <x:v>1</x:v>
      </x:c>
      <x:c r="AN624" s="37" t="n">
        <x:f>ROUND((AD624*0.20+AE624*0.20+AF624*0.25+AG624*0.15+MIN(100,AC624*12)*0.20),1)</x:f>
        <x:v>72</x:v>
      </x:c>
      <x:c r="AO624" s="37" t="n">
        <x:f>ROUND(MAX(0,MIN(100,(X624*0.35)+(W624/45*100*0.20)+((5-O624)/4*100*0.15)+((5-P624)/4*100*0.10)+((6-Y624)/5*100*0.10)+((100-Z624)*0.10))),1)</x:f>
        <x:v>37.6</x:v>
      </x:c>
      <x:c r="AP624" s="37" t="str">
        <x:f>IF(AO624&gt;=70,"High",IF(AO624&gt;=40,"Moderate","Low"))</x:f>
        <x:v>Low</x:v>
      </x:c>
      <x:c r="AQ624" s="37" t="n">
        <x:f>ROUND(MAX(0,MIN(100,(O624/4*100*0.25)+(P624/4*100*0.20)+(Q624/4*100*0.15)+(Y624/5*100*0.20)+(100-AO624)*0.20)),1)</x:f>
        <x:v>78.7</x:v>
      </x:c>
      <x:c r="AR624" s="37" t="n">
        <x:f>ROUND((AI624*0.20+AJ624*0.15+AN624*0.18+AG624*0.12+Z624*0.15+AQ624*0.20),1)</x:f>
        <x:v>88.1</x:v>
      </x:c>
      <x:c r="AS624" s="39" t="n">
        <x:f>ROUND((AC624*AF624*120)+(AH624*350)+(MAX(0,AI624-75)*220)+(MAX(0,AQ624-60)*100),0)</x:f>
        <x:v>39690</x:v>
      </x:c>
    </x:row>
    <x:row r="625">
      <x:c r="A625" s="35" t="n">
        <x:v>624</x:v>
      </x:c>
      <x:c r="B625" s="35" t="n">
        <x:v>35</x:v>
      </x:c>
      <x:c r="C625" s="35" t="str">
        <x:v>Male</x:v>
      </x:c>
      <x:c r="D625" s="35" t="str">
        <x:v>Human Resources</x:v>
      </x:c>
      <x:c r="E625" s="35" t="str">
        <x:v>HR Specialist</x:v>
      </x:c>
      <x:c r="F625" s="35" t="str">
        <x:v>Business</x:v>
      </x:c>
      <x:c r="G625" s="35" t="str">
        <x:v>Single</x:v>
      </x:c>
      <x:c r="H625" s="35" t="n">
        <x:v>2</x:v>
      </x:c>
      <x:c r="I625" s="36" t="n">
        <x:v>5480</x:v>
      </x:c>
      <x:c r="J625" s="35" t="n">
        <x:v>11</x:v>
      </x:c>
      <x:c r="K625" s="35" t="n">
        <x:v>8</x:v>
      </x:c>
      <x:c r="L625" s="35" t="n">
        <x:v>2</x:v>
      </x:c>
      <x:c r="M625" s="35" t="n">
        <x:v>3</x:v>
      </x:c>
      <x:c r="N625" s="35" t="str">
        <x:v>No</x:v>
      </x:c>
      <x:c r="O625" s="35" t="n">
        <x:v>2</x:v>
      </x:c>
      <x:c r="P625" s="35" t="n">
        <x:v>3</x:v>
      </x:c>
      <x:c r="Q625" s="35" t="n">
        <x:v>2</x:v>
      </x:c>
      <x:c r="R625" s="35" t="n">
        <x:v>3</x:v>
      </x:c>
      <x:c r="S625" s="35" t="n">
        <x:v>3</x:v>
      </x:c>
      <x:c r="T625" s="35" t="n">
        <x:v>1</x:v>
      </x:c>
      <x:c r="U625" s="35" t="n">
        <x:v>0</x:v>
      </x:c>
      <x:c r="V625" s="35" t="n">
        <x:v>13</x:v>
      </x:c>
      <x:c r="W625" s="35" t="n">
        <x:v>6</x:v>
      </x:c>
      <x:c r="X625" s="35" t="n">
        <x:v>69</x:v>
      </x:c>
      <x:c r="Y625" s="35" t="n">
        <x:v>3</x:v>
      </x:c>
      <x:c r="Z625" s="35" t="n">
        <x:v>91</x:v>
      </x:c>
      <x:c r="AA625" s="35" t="n">
        <x:v>2</x:v>
      </x:c>
      <x:c r="AB625" s="35" t="n">
        <x:v>1</x:v>
      </x:c>
      <x:c r="AC625" s="35" t="n">
        <x:v>0</x:v>
      </x:c>
      <x:c r="AD625" s="35" t="n">
        <x:v>52</x:v>
      </x:c>
      <x:c r="AE625" s="35" t="n">
        <x:v>84</x:v>
      </x:c>
      <x:c r="AF625" s="35" t="n">
        <x:v>80</x:v>
      </x:c>
      <x:c r="AG625" s="35" t="n">
        <x:v>82</x:v>
      </x:c>
      <x:c r="AH625" s="35" t="n">
        <x:v>5</x:v>
      </x:c>
      <x:c r="AI625" s="37" t="n">
        <x:v>90.6</x:v>
      </x:c>
      <x:c r="AJ625" s="37" t="n">
        <x:v>91.6</x:v>
      </x:c>
      <x:c r="AK625" s="35" t="str">
        <x:v>No</x:v>
      </x:c>
      <x:c r="AL625" s="38" t="n">
        <x:f>IF(AA625=0,0,AB625/AA625)</x:f>
        <x:v>0.5</x:v>
      </x:c>
      <x:c r="AM625" s="38" t="n">
        <x:f>IF(AB625=0,0,AC625/AB625)</x:f>
        <x:v>0</x:v>
      </x:c>
      <x:c r="AN625" s="37" t="n">
        <x:f>ROUND((AD625*0.20+AE625*0.20+AF625*0.25+AG625*0.15+MIN(100,AC625*12)*0.20),1)</x:f>
        <x:v>59.5</x:v>
      </x:c>
      <x:c r="AO625" s="37" t="n">
        <x:f>ROUND(MAX(0,MIN(100,(X625*0.35)+(W625/45*100*0.20)+((5-O625)/4*100*0.15)+((5-P625)/4*100*0.10)+((6-Y625)/5*100*0.10)+((100-Z625)*0.10))),1)</x:f>
        <x:v>50</x:v>
      </x:c>
      <x:c r="AP625" s="37" t="str">
        <x:f>IF(AO625&gt;=70,"High",IF(AO625&gt;=40,"Moderate","Low"))</x:f>
        <x:v>Moderate</x:v>
      </x:c>
      <x:c r="AQ625" s="37" t="n">
        <x:f>ROUND(MAX(0,MIN(100,(O625/4*100*0.25)+(P625/4*100*0.20)+(Q625/4*100*0.15)+(Y625/5*100*0.20)+(100-AO625)*0.20)),1)</x:f>
        <x:v>57</x:v>
      </x:c>
      <x:c r="AR625" s="37" t="n">
        <x:f>ROUND((AI625*0.20+AJ625*0.15+AN625*0.18+AG625*0.12+Z625*0.15+AQ625*0.20),1)</x:f>
        <x:v>77.5</x:v>
      </x:c>
      <x:c r="AS625" s="39" t="n">
        <x:f>ROUND((AC625*AF625*120)+(AH625*350)+(MAX(0,AI625-75)*220)+(MAX(0,AQ625-60)*100),0)</x:f>
        <x:v>5182</x:v>
      </x:c>
    </x:row>
    <x:row r="626">
      <x:c r="A626" s="35" t="n">
        <x:v>625</x:v>
      </x:c>
      <x:c r="B626" s="35" t="n">
        <x:v>41</x:v>
      </x:c>
      <x:c r="C626" s="35" t="str">
        <x:v>Female</x:v>
      </x:c>
      <x:c r="D626" s="35" t="str">
        <x:v>Information Technology</x:v>
      </x:c>
      <x:c r="E626" s="35" t="str">
        <x:v>Systems Analyst</x:v>
      </x:c>
      <x:c r="F626" s="35" t="str">
        <x:v>Technical Degree</x:v>
      </x:c>
      <x:c r="G626" s="35" t="str">
        <x:v>Married</x:v>
      </x:c>
      <x:c r="H626" s="35" t="n">
        <x:v>4</x:v>
      </x:c>
      <x:c r="I626" s="36" t="n">
        <x:v>13950</x:v>
      </x:c>
      <x:c r="J626" s="35" t="n">
        <x:v>11</x:v>
      </x:c>
      <x:c r="K626" s="35" t="n">
        <x:v>6</x:v>
      </x:c>
      <x:c r="L626" s="35" t="n">
        <x:v>4</x:v>
      </x:c>
      <x:c r="M626" s="35" t="n">
        <x:v>4</x:v>
      </x:c>
      <x:c r="N626" s="35" t="str">
        <x:v>No</x:v>
      </x:c>
      <x:c r="O626" s="35" t="n">
        <x:v>2</x:v>
      </x:c>
      <x:c r="P626" s="35" t="n">
        <x:v>3</x:v>
      </x:c>
      <x:c r="Q626" s="35" t="n">
        <x:v>3</x:v>
      </x:c>
      <x:c r="R626" s="35" t="n">
        <x:v>3</x:v>
      </x:c>
      <x:c r="S626" s="35" t="n">
        <x:v>3</x:v>
      </x:c>
      <x:c r="T626" s="35" t="n">
        <x:v>2</x:v>
      </x:c>
      <x:c r="U626" s="35" t="n">
        <x:v>1</x:v>
      </x:c>
      <x:c r="V626" s="35" t="n">
        <x:v>14</x:v>
      </x:c>
      <x:c r="W626" s="35" t="n">
        <x:v>4</x:v>
      </x:c>
      <x:c r="X626" s="35" t="n">
        <x:v>68</x:v>
      </x:c>
      <x:c r="Y626" s="35" t="n">
        <x:v>5</x:v>
      </x:c>
      <x:c r="Z626" s="35" t="n">
        <x:v>95</x:v>
      </x:c>
      <x:c r="AA626" s="35" t="n">
        <x:v>9</x:v>
      </x:c>
      <x:c r="AB626" s="35" t="n">
        <x:v>6</x:v>
      </x:c>
      <x:c r="AC626" s="35" t="n">
        <x:v>3</x:v>
      </x:c>
      <x:c r="AD626" s="35" t="n">
        <x:v>76</x:v>
      </x:c>
      <x:c r="AE626" s="35" t="n">
        <x:v>72</x:v>
      </x:c>
      <x:c r="AF626" s="35" t="n">
        <x:v>97</x:v>
      </x:c>
      <x:c r="AG626" s="35" t="n">
        <x:v>81</x:v>
      </x:c>
      <x:c r="AH626" s="35" t="n">
        <x:v>9</x:v>
      </x:c>
      <x:c r="AI626" s="37" t="n">
        <x:v>100</x:v>
      </x:c>
      <x:c r="AJ626" s="37" t="n">
        <x:v>89.2</x:v>
      </x:c>
      <x:c r="AK626" s="35" t="str">
        <x:v>No</x:v>
      </x:c>
      <x:c r="AL626" s="38" t="n">
        <x:f>IF(AA626=0,0,AB626/AA626)</x:f>
        <x:v>0.6666666666666666</x:v>
      </x:c>
      <x:c r="AM626" s="38" t="n">
        <x:f>IF(AB626=0,0,AC626/AB626)</x:f>
        <x:v>0.5</x:v>
      </x:c>
      <x:c r="AN626" s="37" t="n">
        <x:f>ROUND((AD626*0.20+AE626*0.20+AF626*0.25+AG626*0.15+MIN(100,AC626*12)*0.20),1)</x:f>
        <x:v>73.2</x:v>
      </x:c>
      <x:c r="AO626" s="37" t="n">
        <x:f>ROUND(MAX(0,MIN(100,(X626*0.35)+(W626/45*100*0.20)+((5-O626)/4*100*0.15)+((5-P626)/4*100*0.10)+((6-Y626)/5*100*0.10)+((100-Z626)*0.10))),1)</x:f>
        <x:v>44.3</x:v>
      </x:c>
      <x:c r="AP626" s="37" t="str">
        <x:f>IF(AO626&gt;=70,"High",IF(AO626&gt;=40,"Moderate","Low"))</x:f>
        <x:v>Moderate</x:v>
      </x:c>
      <x:c r="AQ626" s="37" t="n">
        <x:f>ROUND(MAX(0,MIN(100,(O626/4*100*0.25)+(P626/4*100*0.20)+(Q626/4*100*0.15)+(Y626/5*100*0.20)+(100-AO626)*0.20)),1)</x:f>
        <x:v>69.9</x:v>
      </x:c>
      <x:c r="AR626" s="37" t="n">
        <x:f>ROUND((AI626*0.20+AJ626*0.15+AN626*0.18+AG626*0.12+Z626*0.15+AQ626*0.20),1)</x:f>
        <x:v>84.5</x:v>
      </x:c>
      <x:c r="AS626" s="39" t="n">
        <x:f>ROUND((AC626*AF626*120)+(AH626*350)+(MAX(0,AI626-75)*220)+(MAX(0,AQ626-60)*100),0)</x:f>
        <x:v>44560</x:v>
      </x:c>
    </x:row>
    <x:row r="627">
      <x:c r="A627" s="35" t="n">
        <x:v>626</x:v>
      </x:c>
      <x:c r="B627" s="35" t="n">
        <x:v>40</x:v>
      </x:c>
      <x:c r="C627" s="35" t="str">
        <x:v>Female</x:v>
      </x:c>
      <x:c r="D627" s="35" t="str">
        <x:v>Research &amp; Development</x:v>
      </x:c>
      <x:c r="E627" s="35" t="str">
        <x:v>Laboratory Technician</x:v>
      </x:c>
      <x:c r="F627" s="35" t="str">
        <x:v>Technical Degree</x:v>
      </x:c>
      <x:c r="G627" s="35" t="str">
        <x:v>Divorced</x:v>
      </x:c>
      <x:c r="H627" s="35" t="n">
        <x:v>3</x:v>
      </x:c>
      <x:c r="I627" s="36" t="n">
        <x:v>11390</x:v>
      </x:c>
      <x:c r="J627" s="35" t="n">
        <x:v>9</x:v>
      </x:c>
      <x:c r="K627" s="35" t="n">
        <x:v>4</x:v>
      </x:c>
      <x:c r="L627" s="35" t="n">
        <x:v>3</x:v>
      </x:c>
      <x:c r="M627" s="35" t="n">
        <x:v>1</x:v>
      </x:c>
      <x:c r="N627" s="35" t="str">
        <x:v>No</x:v>
      </x:c>
      <x:c r="O627" s="35" t="n">
        <x:v>4</x:v>
      </x:c>
      <x:c r="P627" s="35" t="n">
        <x:v>3</x:v>
      </x:c>
      <x:c r="Q627" s="35" t="n">
        <x:v>4</x:v>
      </x:c>
      <x:c r="R627" s="35" t="n">
        <x:v>4</x:v>
      </x:c>
      <x:c r="S627" s="35" t="n">
        <x:v>3</x:v>
      </x:c>
      <x:c r="T627" s="35" t="n">
        <x:v>3</x:v>
      </x:c>
      <x:c r="U627" s="35" t="n">
        <x:v>0</x:v>
      </x:c>
      <x:c r="V627" s="35" t="n">
        <x:v>8</x:v>
      </x:c>
      <x:c r="W627" s="35" t="n">
        <x:v>11</x:v>
      </x:c>
      <x:c r="X627" s="35" t="n">
        <x:v>81</x:v>
      </x:c>
      <x:c r="Y627" s="35" t="n">
        <x:v>5</x:v>
      </x:c>
      <x:c r="Z627" s="35" t="n">
        <x:v>100</x:v>
      </x:c>
      <x:c r="AA627" s="35" t="n">
        <x:v>5</x:v>
      </x:c>
      <x:c r="AB627" s="35" t="n">
        <x:v>5</x:v>
      </x:c>
      <x:c r="AC627" s="35" t="n">
        <x:v>4</x:v>
      </x:c>
      <x:c r="AD627" s="35" t="n">
        <x:v>77</x:v>
      </x:c>
      <x:c r="AE627" s="35" t="n">
        <x:v>74</x:v>
      </x:c>
      <x:c r="AF627" s="35" t="n">
        <x:v>100</x:v>
      </x:c>
      <x:c r="AG627" s="35" t="n">
        <x:v>97</x:v>
      </x:c>
      <x:c r="AH627" s="35" t="n">
        <x:v>10</x:v>
      </x:c>
      <x:c r="AI627" s="37" t="n">
        <x:v>100</x:v>
      </x:c>
      <x:c r="AJ627" s="37" t="n">
        <x:v>85.6</x:v>
      </x:c>
      <x:c r="AK627" s="35" t="str">
        <x:v>No</x:v>
      </x:c>
      <x:c r="AL627" s="38" t="n">
        <x:f>IF(AA627=0,0,AB627/AA627)</x:f>
        <x:v>1</x:v>
      </x:c>
      <x:c r="AM627" s="38" t="n">
        <x:f>IF(AB627=0,0,AC627/AB627)</x:f>
        <x:v>0.8</x:v>
      </x:c>
      <x:c r="AN627" s="37" t="n">
        <x:f>ROUND((AD627*0.20+AE627*0.20+AF627*0.25+AG627*0.15+MIN(100,AC627*12)*0.20),1)</x:f>
        <x:v>79.4</x:v>
      </x:c>
      <x:c r="AO627" s="37" t="n">
        <x:f>ROUND(MAX(0,MIN(100,(X627*0.35)+(W627/45*100*0.20)+((5-O627)/4*100*0.15)+((5-P627)/4*100*0.10)+((6-Y627)/5*100*0.10)+((100-Z627)*0.10))),1)</x:f>
        <x:v>44</x:v>
      </x:c>
      <x:c r="AP627" s="37" t="str">
        <x:f>IF(AO627&gt;=70,"High",IF(AO627&gt;=40,"Moderate","Low"))</x:f>
        <x:v>Moderate</x:v>
      </x:c>
      <x:c r="AQ627" s="37" t="n">
        <x:f>ROUND(MAX(0,MIN(100,(O627/4*100*0.25)+(P627/4*100*0.20)+(Q627/4*100*0.15)+(Y627/5*100*0.20)+(100-AO627)*0.20)),1)</x:f>
        <x:v>86.2</x:v>
      </x:c>
      <x:c r="AR627" s="37" t="n">
        <x:f>ROUND((AI627*0.20+AJ627*0.15+AN627*0.18+AG627*0.12+Z627*0.15+AQ627*0.20),1)</x:f>
        <x:v>91</x:v>
      </x:c>
      <x:c r="AS627" s="39" t="n">
        <x:f>ROUND((AC627*AF627*120)+(AH627*350)+(MAX(0,AI627-75)*220)+(MAX(0,AQ627-60)*100),0)</x:f>
        <x:v>59620</x:v>
      </x:c>
    </x:row>
    <x:row r="628">
      <x:c r="A628" s="35" t="n">
        <x:v>627</x:v>
      </x:c>
      <x:c r="B628" s="35" t="n">
        <x:v>28</x:v>
      </x:c>
      <x:c r="C628" s="35" t="str">
        <x:v>Female</x:v>
      </x:c>
      <x:c r="D628" s="35" t="str">
        <x:v>Sales</x:v>
      </x:c>
      <x:c r="E628" s="35" t="str">
        <x:v>Sales Representative</x:v>
      </x:c>
      <x:c r="F628" s="35" t="str">
        <x:v>Marketing</x:v>
      </x:c>
      <x:c r="G628" s="35" t="str">
        <x:v>Single</x:v>
      </x:c>
      <x:c r="H628" s="35" t="n">
        <x:v>1</x:v>
      </x:c>
      <x:c r="I628" s="36" t="n">
        <x:v>4000</x:v>
      </x:c>
      <x:c r="J628" s="35" t="n">
        <x:v>5</x:v>
      </x:c>
      <x:c r="K628" s="35" t="n">
        <x:v>3</x:v>
      </x:c>
      <x:c r="L628" s="35" t="n">
        <x:v>1</x:v>
      </x:c>
      <x:c r="M628" s="35" t="n">
        <x:v>3</x:v>
      </x:c>
      <x:c r="N628" s="35" t="str">
        <x:v>No</x:v>
      </x:c>
      <x:c r="O628" s="35" t="n">
        <x:v>2</x:v>
      </x:c>
      <x:c r="P628" s="35" t="n">
        <x:v>3</x:v>
      </x:c>
      <x:c r="Q628" s="35" t="n">
        <x:v>3</x:v>
      </x:c>
      <x:c r="R628" s="35" t="n">
        <x:v>2</x:v>
      </x:c>
      <x:c r="S628" s="35" t="n">
        <x:v>3</x:v>
      </x:c>
      <x:c r="T628" s="35" t="n">
        <x:v>2</x:v>
      </x:c>
      <x:c r="U628" s="35" t="n">
        <x:v>1</x:v>
      </x:c>
      <x:c r="V628" s="35" t="n">
        <x:v>3</x:v>
      </x:c>
      <x:c r="W628" s="35" t="n">
        <x:v>10</x:v>
      </x:c>
      <x:c r="X628" s="35" t="n">
        <x:v>63</x:v>
      </x:c>
      <x:c r="Y628" s="35" t="n">
        <x:v>5</x:v>
      </x:c>
      <x:c r="Z628" s="35" t="n">
        <x:v>97</x:v>
      </x:c>
      <x:c r="AA628" s="35" t="n">
        <x:v>6</x:v>
      </x:c>
      <x:c r="AB628" s="35" t="n">
        <x:v>6</x:v>
      </x:c>
      <x:c r="AC628" s="35" t="n">
        <x:v>4</x:v>
      </x:c>
      <x:c r="AD628" s="35" t="n">
        <x:v>66</x:v>
      </x:c>
      <x:c r="AE628" s="35" t="n">
        <x:v>85</x:v>
      </x:c>
      <x:c r="AF628" s="35" t="n">
        <x:v>75</x:v>
      </x:c>
      <x:c r="AG628" s="35" t="n">
        <x:v>94</x:v>
      </x:c>
      <x:c r="AH628" s="35" t="n">
        <x:v>7</x:v>
      </x:c>
      <x:c r="AI628" s="37" t="n">
        <x:v>100</x:v>
      </x:c>
      <x:c r="AJ628" s="37" t="n">
        <x:v>95.2</x:v>
      </x:c>
      <x:c r="AK628" s="35" t="str">
        <x:v>No</x:v>
      </x:c>
      <x:c r="AL628" s="38" t="n">
        <x:f>IF(AA628=0,0,AB628/AA628)</x:f>
        <x:v>1</x:v>
      </x:c>
      <x:c r="AM628" s="38" t="n">
        <x:f>IF(AB628=0,0,AC628/AB628)</x:f>
        <x:v>0.6666666666666666</x:v>
      </x:c>
      <x:c r="AN628" s="37" t="n">
        <x:f>ROUND((AD628*0.20+AE628*0.20+AF628*0.25+AG628*0.15+MIN(100,AC628*12)*0.20),1)</x:f>
        <x:v>72.7</x:v>
      </x:c>
      <x:c r="AO628" s="37" t="n">
        <x:f>ROUND(MAX(0,MIN(100,(X628*0.35)+(W628/45*100*0.20)+((5-O628)/4*100*0.15)+((5-P628)/4*100*0.10)+((6-Y628)/5*100*0.10)+((100-Z628)*0.10))),1)</x:f>
        <x:v>45</x:v>
      </x:c>
      <x:c r="AP628" s="37" t="str">
        <x:f>IF(AO628&gt;=70,"High",IF(AO628&gt;=40,"Moderate","Low"))</x:f>
        <x:v>Moderate</x:v>
      </x:c>
      <x:c r="AQ628" s="37" t="n">
        <x:f>ROUND(MAX(0,MIN(100,(O628/4*100*0.25)+(P628/4*100*0.20)+(Q628/4*100*0.15)+(Y628/5*100*0.20)+(100-AO628)*0.20)),1)</x:f>
        <x:v>69.8</x:v>
      </x:c>
      <x:c r="AR628" s="37" t="n">
        <x:f>ROUND((AI628*0.20+AJ628*0.15+AN628*0.18+AG628*0.12+Z628*0.15+AQ628*0.20),1)</x:f>
        <x:v>87.2</x:v>
      </x:c>
      <x:c r="AS628" s="39" t="n">
        <x:f>ROUND((AC628*AF628*120)+(AH628*350)+(MAX(0,AI628-75)*220)+(MAX(0,AQ628-60)*100),0)</x:f>
        <x:v>44930</x:v>
      </x:c>
    </x:row>
    <x:row r="629">
      <x:c r="A629" s="35" t="n">
        <x:v>628</x:v>
      </x:c>
      <x:c r="B629" s="35" t="n">
        <x:v>35</x:v>
      </x:c>
      <x:c r="C629" s="35" t="str">
        <x:v>Female</x:v>
      </x:c>
      <x:c r="D629" s="35" t="str">
        <x:v>Marketing</x:v>
      </x:c>
      <x:c r="E629" s="35" t="str">
        <x:v>Marketing Manager</x:v>
      </x:c>
      <x:c r="F629" s="35" t="str">
        <x:v>Technical Degree</x:v>
      </x:c>
      <x:c r="G629" s="35" t="str">
        <x:v>Married</x:v>
      </x:c>
      <x:c r="H629" s="35" t="n">
        <x:v>1</x:v>
      </x:c>
      <x:c r="I629" s="36" t="n">
        <x:v>6280</x:v>
      </x:c>
      <x:c r="J629" s="35" t="n">
        <x:v>8</x:v>
      </x:c>
      <x:c r="K629" s="35" t="n">
        <x:v>4</x:v>
      </x:c>
      <x:c r="L629" s="35" t="n">
        <x:v>3</x:v>
      </x:c>
      <x:c r="M629" s="35" t="n">
        <x:v>9</x:v>
      </x:c>
      <x:c r="N629" s="35" t="str">
        <x:v>Yes</x:v>
      </x:c>
      <x:c r="O629" s="35" t="n">
        <x:v>2</x:v>
      </x:c>
      <x:c r="P629" s="35" t="n">
        <x:v>2</x:v>
      </x:c>
      <x:c r="Q629" s="35" t="n">
        <x:v>3</x:v>
      </x:c>
      <x:c r="R629" s="35" t="n">
        <x:v>2</x:v>
      </x:c>
      <x:c r="S629" s="35" t="n">
        <x:v>3</x:v>
      </x:c>
      <x:c r="T629" s="35" t="n">
        <x:v>4</x:v>
      </x:c>
      <x:c r="U629" s="35" t="n">
        <x:v>1</x:v>
      </x:c>
      <x:c r="V629" s="35" t="n">
        <x:v>6</x:v>
      </x:c>
      <x:c r="W629" s="35" t="n">
        <x:v>17</x:v>
      </x:c>
      <x:c r="X629" s="35" t="n">
        <x:v>97</x:v>
      </x:c>
      <x:c r="Y629" s="35" t="n">
        <x:v>2</x:v>
      </x:c>
      <x:c r="Z629" s="35" t="n">
        <x:v>79</x:v>
      </x:c>
      <x:c r="AA629" s="35" t="n">
        <x:v>4</x:v>
      </x:c>
      <x:c r="AB629" s="35" t="n">
        <x:v>2</x:v>
      </x:c>
      <x:c r="AC629" s="35" t="n">
        <x:v>2</x:v>
      </x:c>
      <x:c r="AD629" s="35" t="n">
        <x:v>54</x:v>
      </x:c>
      <x:c r="AE629" s="35" t="n">
        <x:v>74</x:v>
      </x:c>
      <x:c r="AF629" s="35" t="n">
        <x:v>69</x:v>
      </x:c>
      <x:c r="AG629" s="35" t="n">
        <x:v>73</x:v>
      </x:c>
      <x:c r="AH629" s="35" t="n">
        <x:v>5</x:v>
      </x:c>
      <x:c r="AI629" s="37" t="n">
        <x:v>94.4</x:v>
      </x:c>
      <x:c r="AJ629" s="37" t="n">
        <x:v>88.4</x:v>
      </x:c>
      <x:c r="AK629" s="35" t="str">
        <x:v>Yes</x:v>
      </x:c>
      <x:c r="AL629" s="38" t="n">
        <x:f>IF(AA629=0,0,AB629/AA629)</x:f>
        <x:v>0.5</x:v>
      </x:c>
      <x:c r="AM629" s="38" t="n">
        <x:f>IF(AB629=0,0,AC629/AB629)</x:f>
        <x:v>1</x:v>
      </x:c>
      <x:c r="AN629" s="37" t="n">
        <x:f>ROUND((AD629*0.20+AE629*0.20+AF629*0.25+AG629*0.15+MIN(100,AC629*12)*0.20),1)</x:f>
        <x:v>58.6</x:v>
      </x:c>
      <x:c r="AO629" s="37" t="n">
        <x:f>ROUND(MAX(0,MIN(100,(X629*0.35)+(W629/45*100*0.20)+((5-O629)/4*100*0.15)+((5-P629)/4*100*0.10)+((6-Y629)/5*100*0.10)+((100-Z629)*0.10))),1)</x:f>
        <x:v>70.4</x:v>
      </x:c>
      <x:c r="AP629" s="37" t="str">
        <x:f>IF(AO629&gt;=70,"High",IF(AO629&gt;=40,"Moderate","Low"))</x:f>
        <x:v>High</x:v>
      </x:c>
      <x:c r="AQ629" s="37" t="n">
        <x:f>ROUND(MAX(0,MIN(100,(O629/4*100*0.25)+(P629/4*100*0.20)+(Q629/4*100*0.15)+(Y629/5*100*0.20)+(100-AO629)*0.20)),1)</x:f>
        <x:v>47.7</x:v>
      </x:c>
      <x:c r="AR629" s="37" t="n">
        <x:f>ROUND((AI629*0.20+AJ629*0.15+AN629*0.18+AG629*0.12+Z629*0.15+AQ629*0.20),1)</x:f>
        <x:v>72.8</x:v>
      </x:c>
      <x:c r="AS629" s="39" t="n">
        <x:f>ROUND((AC629*AF629*120)+(AH629*350)+(MAX(0,AI629-75)*220)+(MAX(0,AQ629-60)*100),0)</x:f>
        <x:v>22578</x:v>
      </x:c>
    </x:row>
    <x:row r="630">
      <x:c r="A630" s="35" t="n">
        <x:v>629</x:v>
      </x:c>
      <x:c r="B630" s="35" t="n">
        <x:v>23</x:v>
      </x:c>
      <x:c r="C630" s="35" t="str">
        <x:v>Male</x:v>
      </x:c>
      <x:c r="D630" s="35" t="str">
        <x:v>Research &amp; Development</x:v>
      </x:c>
      <x:c r="E630" s="35" t="str">
        <x:v>Research Scientist</x:v>
      </x:c>
      <x:c r="F630" s="35" t="str">
        <x:v>Human Resources</x:v>
      </x:c>
      <x:c r="G630" s="35" t="str">
        <x:v>Married</x:v>
      </x:c>
      <x:c r="H630" s="35" t="n">
        <x:v>1</x:v>
      </x:c>
      <x:c r="I630" s="36" t="n">
        <x:v>4000</x:v>
      </x:c>
      <x:c r="J630" s="35" t="n">
        <x:v>1</x:v>
      </x:c>
      <x:c r="K630" s="35" t="n">
        <x:v>1</x:v>
      </x:c>
      <x:c r="L630" s="35" t="n">
        <x:v>0</x:v>
      </x:c>
      <x:c r="M630" s="35" t="n">
        <x:v>16</x:v>
      </x:c>
      <x:c r="N630" s="35" t="str">
        <x:v>Yes</x:v>
      </x:c>
      <x:c r="O630" s="35" t="n">
        <x:v>3</x:v>
      </x:c>
      <x:c r="P630" s="35" t="n">
        <x:v>3</x:v>
      </x:c>
      <x:c r="Q630" s="35" t="n">
        <x:v>3</x:v>
      </x:c>
      <x:c r="R630" s="35" t="n">
        <x:v>4</x:v>
      </x:c>
      <x:c r="S630" s="35" t="n">
        <x:v>3</x:v>
      </x:c>
      <x:c r="T630" s="35" t="n">
        <x:v>2</x:v>
      </x:c>
      <x:c r="U630" s="35" t="n">
        <x:v>0</x:v>
      </x:c>
      <x:c r="V630" s="35" t="n">
        <x:v>8</x:v>
      </x:c>
      <x:c r="W630" s="35" t="n">
        <x:v>23</x:v>
      </x:c>
      <x:c r="X630" s="35" t="n">
        <x:v>55</x:v>
      </x:c>
      <x:c r="Y630" s="35" t="n">
        <x:v>4</x:v>
      </x:c>
      <x:c r="Z630" s="35" t="n">
        <x:v>100</x:v>
      </x:c>
      <x:c r="AA630" s="35" t="n">
        <x:v>14</x:v>
      </x:c>
      <x:c r="AB630" s="35" t="n">
        <x:v>11</x:v>
      </x:c>
      <x:c r="AC630" s="35" t="n">
        <x:v>10</x:v>
      </x:c>
      <x:c r="AD630" s="35" t="n">
        <x:v>96</x:v>
      </x:c>
      <x:c r="AE630" s="35" t="n">
        <x:v>84</x:v>
      </x:c>
      <x:c r="AF630" s="35" t="n">
        <x:v>100</x:v>
      </x:c>
      <x:c r="AG630" s="35" t="n">
        <x:v>100</x:v>
      </x:c>
      <x:c r="AH630" s="35" t="n">
        <x:v>12</x:v>
      </x:c>
      <x:c r="AI630" s="37" t="n">
        <x:v>100</x:v>
      </x:c>
      <x:c r="AJ630" s="37" t="n">
        <x:v>91.5</x:v>
      </x:c>
      <x:c r="AK630" s="35" t="str">
        <x:v>No</x:v>
      </x:c>
      <x:c r="AL630" s="38" t="n">
        <x:f>IF(AA630=0,0,AB630/AA630)</x:f>
        <x:v>0.7857142857142857</x:v>
      </x:c>
      <x:c r="AM630" s="38" t="n">
        <x:f>IF(AB630=0,0,AC630/AB630)</x:f>
        <x:v>0.9090909090909091</x:v>
      </x:c>
      <x:c r="AN630" s="37" t="n">
        <x:f>ROUND((AD630*0.20+AE630*0.20+AF630*0.25+AG630*0.15+MIN(100,AC630*12)*0.20),1)</x:f>
        <x:v>96</x:v>
      </x:c>
      <x:c r="AO630" s="37" t="n">
        <x:f>ROUND(MAX(0,MIN(100,(X630*0.35)+(W630/45*100*0.20)+((5-O630)/4*100*0.15)+((5-P630)/4*100*0.10)+((6-Y630)/5*100*0.10)+((100-Z630)*0.10))),1)</x:f>
        <x:v>46</x:v>
      </x:c>
      <x:c r="AP630" s="37" t="str">
        <x:f>IF(AO630&gt;=70,"High",IF(AO630&gt;=40,"Moderate","Low"))</x:f>
        <x:v>Moderate</x:v>
      </x:c>
      <x:c r="AQ630" s="37" t="n">
        <x:f>ROUND(MAX(0,MIN(100,(O630/4*100*0.25)+(P630/4*100*0.20)+(Q630/4*100*0.15)+(Y630/5*100*0.20)+(100-AO630)*0.20)),1)</x:f>
        <x:v>71.8</x:v>
      </x:c>
      <x:c r="AR630" s="37" t="n">
        <x:f>ROUND((AI630*0.20+AJ630*0.15+AN630*0.18+AG630*0.12+Z630*0.15+AQ630*0.20),1)</x:f>
        <x:v>92.4</x:v>
      </x:c>
      <x:c r="AS630" s="39" t="n">
        <x:f>ROUND((AC630*AF630*120)+(AH630*350)+(MAX(0,AI630-75)*220)+(MAX(0,AQ630-60)*100),0)</x:f>
        <x:v>130880</x:v>
      </x:c>
    </x:row>
    <x:row r="631">
      <x:c r="A631" s="35" t="n">
        <x:v>630</x:v>
      </x:c>
      <x:c r="B631" s="35" t="n">
        <x:v>39</x:v>
      </x:c>
      <x:c r="C631" s="35" t="str">
        <x:v>Male</x:v>
      </x:c>
      <x:c r="D631" s="35" t="str">
        <x:v>Human Resources</x:v>
      </x:c>
      <x:c r="E631" s="35" t="str">
        <x:v>Talent Development Specialist</x:v>
      </x:c>
      <x:c r="F631" s="35" t="str">
        <x:v>Technical Degree</x:v>
      </x:c>
      <x:c r="G631" s="35" t="str">
        <x:v>Married</x:v>
      </x:c>
      <x:c r="H631" s="35" t="n">
        <x:v>3</x:v>
      </x:c>
      <x:c r="I631" s="36" t="n">
        <x:v>11520</x:v>
      </x:c>
      <x:c r="J631" s="35" t="n">
        <x:v>11</x:v>
      </x:c>
      <x:c r="K631" s="35" t="n">
        <x:v>7</x:v>
      </x:c>
      <x:c r="L631" s="35" t="n">
        <x:v>5</x:v>
      </x:c>
      <x:c r="M631" s="35" t="n">
        <x:v>12</x:v>
      </x:c>
      <x:c r="N631" s="35" t="str">
        <x:v>No</x:v>
      </x:c>
      <x:c r="O631" s="35" t="n">
        <x:v>3</x:v>
      </x:c>
      <x:c r="P631" s="35" t="n">
        <x:v>4</x:v>
      </x:c>
      <x:c r="Q631" s="35" t="n">
        <x:v>2</x:v>
      </x:c>
      <x:c r="R631" s="35" t="n">
        <x:v>3</x:v>
      </x:c>
      <x:c r="S631" s="35" t="n">
        <x:v>3</x:v>
      </x:c>
      <x:c r="T631" s="35" t="n">
        <x:v>4</x:v>
      </x:c>
      <x:c r="U631" s="35" t="n">
        <x:v>1</x:v>
      </x:c>
      <x:c r="V631" s="35" t="n">
        <x:v>3</x:v>
      </x:c>
      <x:c r="W631" s="35" t="n">
        <x:v>10</x:v>
      </x:c>
      <x:c r="X631" s="35" t="n">
        <x:v>58</x:v>
      </x:c>
      <x:c r="Y631" s="35" t="n">
        <x:v>4</x:v>
      </x:c>
      <x:c r="Z631" s="35" t="n">
        <x:v>100</x:v>
      </x:c>
      <x:c r="AA631" s="35" t="n">
        <x:v>5</x:v>
      </x:c>
      <x:c r="AB631" s="35" t="n">
        <x:v>1</x:v>
      </x:c>
      <x:c r="AC631" s="35" t="n">
        <x:v>0</x:v>
      </x:c>
      <x:c r="AD631" s="35" t="n">
        <x:v>96</x:v>
      </x:c>
      <x:c r="AE631" s="35" t="n">
        <x:v>89</x:v>
      </x:c>
      <x:c r="AF631" s="35" t="n">
        <x:v>100</x:v>
      </x:c>
      <x:c r="AG631" s="35" t="n">
        <x:v>98</x:v>
      </x:c>
      <x:c r="AH631" s="35" t="n">
        <x:v>3</x:v>
      </x:c>
      <x:c r="AI631" s="37" t="n">
        <x:v>100</x:v>
      </x:c>
      <x:c r="AJ631" s="37" t="n">
        <x:v>100</x:v>
      </x:c>
      <x:c r="AK631" s="35" t="str">
        <x:v>No</x:v>
      </x:c>
      <x:c r="AL631" s="38" t="n">
        <x:f>IF(AA631=0,0,AB631/AA631)</x:f>
        <x:v>0.2</x:v>
      </x:c>
      <x:c r="AM631" s="38" t="n">
        <x:f>IF(AB631=0,0,AC631/AB631)</x:f>
        <x:v>0</x:v>
      </x:c>
      <x:c r="AN631" s="37" t="n">
        <x:f>ROUND((AD631*0.20+AE631*0.20+AF631*0.25+AG631*0.15+MIN(100,AC631*12)*0.20),1)</x:f>
        <x:v>76.7</x:v>
      </x:c>
      <x:c r="AO631" s="37" t="n">
        <x:f>ROUND(MAX(0,MIN(100,(X631*0.35)+(W631/45*100*0.20)+((5-O631)/4*100*0.15)+((5-P631)/4*100*0.10)+((6-Y631)/5*100*0.10)+((100-Z631)*0.10))),1)</x:f>
        <x:v>38.7</x:v>
      </x:c>
      <x:c r="AP631" s="37" t="str">
        <x:f>IF(AO631&gt;=70,"High",IF(AO631&gt;=40,"Moderate","Low"))</x:f>
        <x:v>Low</x:v>
      </x:c>
      <x:c r="AQ631" s="37" t="n">
        <x:f>ROUND(MAX(0,MIN(100,(O631/4*100*0.25)+(P631/4*100*0.20)+(Q631/4*100*0.15)+(Y631/5*100*0.20)+(100-AO631)*0.20)),1)</x:f>
        <x:v>74.5</x:v>
      </x:c>
      <x:c r="AR631" s="37" t="n">
        <x:f>ROUND((AI631*0.20+AJ631*0.15+AN631*0.18+AG631*0.12+Z631*0.15+AQ631*0.20),1)</x:f>
        <x:v>90.5</x:v>
      </x:c>
      <x:c r="AS631" s="39" t="n">
        <x:f>ROUND((AC631*AF631*120)+(AH631*350)+(MAX(0,AI631-75)*220)+(MAX(0,AQ631-60)*100),0)</x:f>
        <x:v>8000</x:v>
      </x:c>
    </x:row>
    <x:row r="632">
      <x:c r="A632" s="35" t="n">
        <x:v>631</x:v>
      </x:c>
      <x:c r="B632" s="35" t="n">
        <x:v>41</x:v>
      </x:c>
      <x:c r="C632" s="35" t="str">
        <x:v>Male</x:v>
      </x:c>
      <x:c r="D632" s="35" t="str">
        <x:v>Research &amp; Development</x:v>
      </x:c>
      <x:c r="E632" s="35" t="str">
        <x:v>Research Scientist</x:v>
      </x:c>
      <x:c r="F632" s="35" t="str">
        <x:v>Technical Degree</x:v>
      </x:c>
      <x:c r="G632" s="35" t="str">
        <x:v>Married</x:v>
      </x:c>
      <x:c r="H632" s="35" t="n">
        <x:v>2</x:v>
      </x:c>
      <x:c r="I632" s="36" t="n">
        <x:v>6680</x:v>
      </x:c>
      <x:c r="J632" s="35" t="n">
        <x:v>14</x:v>
      </x:c>
      <x:c r="K632" s="35" t="n">
        <x:v>8</x:v>
      </x:c>
      <x:c r="L632" s="35" t="n">
        <x:v>3</x:v>
      </x:c>
      <x:c r="M632" s="35" t="n">
        <x:v>22</x:v>
      </x:c>
      <x:c r="N632" s="35" t="str">
        <x:v>No</x:v>
      </x:c>
      <x:c r="O632" s="35" t="n">
        <x:v>3</x:v>
      </x:c>
      <x:c r="P632" s="35" t="n">
        <x:v>3</x:v>
      </x:c>
      <x:c r="Q632" s="35" t="n">
        <x:v>4</x:v>
      </x:c>
      <x:c r="R632" s="35" t="n">
        <x:v>3</x:v>
      </x:c>
      <x:c r="S632" s="35" t="n">
        <x:v>3</x:v>
      </x:c>
      <x:c r="T632" s="35" t="n">
        <x:v>2</x:v>
      </x:c>
      <x:c r="U632" s="35" t="n">
        <x:v>1</x:v>
      </x:c>
      <x:c r="V632" s="35" t="n">
        <x:v>10</x:v>
      </x:c>
      <x:c r="W632" s="35" t="n">
        <x:v>0</x:v>
      </x:c>
      <x:c r="X632" s="35" t="n">
        <x:v>62</x:v>
      </x:c>
      <x:c r="Y632" s="35" t="n">
        <x:v>5</x:v>
      </x:c>
      <x:c r="Z632" s="35" t="n">
        <x:v>100</x:v>
      </x:c>
      <x:c r="AA632" s="35" t="n">
        <x:v>4</x:v>
      </x:c>
      <x:c r="AB632" s="35" t="n">
        <x:v>3</x:v>
      </x:c>
      <x:c r="AC632" s="35" t="n">
        <x:v>3</x:v>
      </x:c>
      <x:c r="AD632" s="35" t="n">
        <x:v>78</x:v>
      </x:c>
      <x:c r="AE632" s="35" t="n">
        <x:v>72</x:v>
      </x:c>
      <x:c r="AF632" s="35" t="n">
        <x:v>69</x:v>
      </x:c>
      <x:c r="AG632" s="35" t="n">
        <x:v>87</x:v>
      </x:c>
      <x:c r="AH632" s="35" t="n">
        <x:v>3</x:v>
      </x:c>
      <x:c r="AI632" s="37" t="n">
        <x:v>99.4</x:v>
      </x:c>
      <x:c r="AJ632" s="37" t="n">
        <x:v>98.8</x:v>
      </x:c>
      <x:c r="AK632" s="35" t="str">
        <x:v>No</x:v>
      </x:c>
      <x:c r="AL632" s="38" t="n">
        <x:f>IF(AA632=0,0,AB632/AA632)</x:f>
        <x:v>0.75</x:v>
      </x:c>
      <x:c r="AM632" s="38" t="n">
        <x:f>IF(AB632=0,0,AC632/AB632)</x:f>
        <x:v>1</x:v>
      </x:c>
      <x:c r="AN632" s="37" t="n">
        <x:f>ROUND((AD632*0.20+AE632*0.20+AF632*0.25+AG632*0.15+MIN(100,AC632*12)*0.20),1)</x:f>
        <x:v>67.5</x:v>
      </x:c>
      <x:c r="AO632" s="37" t="n">
        <x:f>ROUND(MAX(0,MIN(100,(X632*0.35)+(W632/45*100*0.20)+((5-O632)/4*100*0.15)+((5-P632)/4*100*0.10)+((6-Y632)/5*100*0.10)+((100-Z632)*0.10))),1)</x:f>
        <x:v>36.2</x:v>
      </x:c>
      <x:c r="AP632" s="37" t="str">
        <x:f>IF(AO632&gt;=70,"High",IF(AO632&gt;=40,"Moderate","Low"))</x:f>
        <x:v>Low</x:v>
      </x:c>
      <x:c r="AQ632" s="37" t="n">
        <x:f>ROUND(MAX(0,MIN(100,(O632/4*100*0.25)+(P632/4*100*0.20)+(Q632/4*100*0.15)+(Y632/5*100*0.20)+(100-AO632)*0.20)),1)</x:f>
        <x:v>81.5</x:v>
      </x:c>
      <x:c r="AR632" s="37" t="n">
        <x:f>ROUND((AI632*0.20+AJ632*0.15+AN632*0.18+AG632*0.12+Z632*0.15+AQ632*0.20),1)</x:f>
        <x:v>88.6</x:v>
      </x:c>
      <x:c r="AS632" s="39" t="n">
        <x:f>ROUND((AC632*AF632*120)+(AH632*350)+(MAX(0,AI632-75)*220)+(MAX(0,AQ632-60)*100),0)</x:f>
        <x:v>33408</x:v>
      </x:c>
    </x:row>
    <x:row r="633">
      <x:c r="A633" s="35" t="n">
        <x:v>632</x:v>
      </x:c>
      <x:c r="B633" s="35" t="n">
        <x:v>32</x:v>
      </x:c>
      <x:c r="C633" s="35" t="str">
        <x:v>Female</x:v>
      </x:c>
      <x:c r="D633" s="35" t="str">
        <x:v>Research &amp; Development</x:v>
      </x:c>
      <x:c r="E633" s="35" t="str">
        <x:v>R&amp;D Manager</x:v>
      </x:c>
      <x:c r="F633" s="35" t="str">
        <x:v>Medical</x:v>
      </x:c>
      <x:c r="G633" s="35" t="str">
        <x:v>Married</x:v>
      </x:c>
      <x:c r="H633" s="35" t="n">
        <x:v>3</x:v>
      </x:c>
      <x:c r="I633" s="36" t="n">
        <x:v>14580</x:v>
      </x:c>
      <x:c r="J633" s="35" t="n">
        <x:v>5</x:v>
      </x:c>
      <x:c r="K633" s="35" t="n">
        <x:v>3</x:v>
      </x:c>
      <x:c r="L633" s="35" t="n">
        <x:v>2</x:v>
      </x:c>
      <x:c r="M633" s="35" t="n">
        <x:v>10</x:v>
      </x:c>
      <x:c r="N633" s="35" t="str">
        <x:v>No</x:v>
      </x:c>
      <x:c r="O633" s="35" t="n">
        <x:v>2</x:v>
      </x:c>
      <x:c r="P633" s="35" t="n">
        <x:v>2</x:v>
      </x:c>
      <x:c r="Q633" s="35" t="n">
        <x:v>3</x:v>
      </x:c>
      <x:c r="R633" s="35" t="n">
        <x:v>3</x:v>
      </x:c>
      <x:c r="S633" s="35" t="n">
        <x:v>3</x:v>
      </x:c>
      <x:c r="T633" s="35" t="n">
        <x:v>2</x:v>
      </x:c>
      <x:c r="U633" s="35" t="n">
        <x:v>1</x:v>
      </x:c>
      <x:c r="V633" s="35" t="n">
        <x:v>7</x:v>
      </x:c>
      <x:c r="W633" s="35" t="n">
        <x:v>1</x:v>
      </x:c>
      <x:c r="X633" s="35" t="n">
        <x:v>67</x:v>
      </x:c>
      <x:c r="Y633" s="35" t="n">
        <x:v>4</x:v>
      </x:c>
      <x:c r="Z633" s="35" t="n">
        <x:v>100</x:v>
      </x:c>
      <x:c r="AA633" s="35" t="n">
        <x:v>2</x:v>
      </x:c>
      <x:c r="AB633" s="35" t="n">
        <x:v>1</x:v>
      </x:c>
      <x:c r="AC633" s="35" t="n">
        <x:v>1</x:v>
      </x:c>
      <x:c r="AD633" s="35" t="n">
        <x:v>73</x:v>
      </x:c>
      <x:c r="AE633" s="35" t="n">
        <x:v>78</x:v>
      </x:c>
      <x:c r="AF633" s="35" t="n">
        <x:v>79</x:v>
      </x:c>
      <x:c r="AG633" s="35" t="n">
        <x:v>93</x:v>
      </x:c>
      <x:c r="AH633" s="35" t="n">
        <x:v>2</x:v>
      </x:c>
      <x:c r="AI633" s="37" t="n">
        <x:v>98.4</x:v>
      </x:c>
      <x:c r="AJ633" s="37" t="n">
        <x:v>100</x:v>
      </x:c>
      <x:c r="AK633" s="35" t="str">
        <x:v>No</x:v>
      </x:c>
      <x:c r="AL633" s="38" t="n">
        <x:f>IF(AA633=0,0,AB633/AA633)</x:f>
        <x:v>0.5</x:v>
      </x:c>
      <x:c r="AM633" s="38" t="n">
        <x:f>IF(AB633=0,0,AC633/AB633)</x:f>
        <x:v>1</x:v>
      </x:c>
      <x:c r="AN633" s="37" t="n">
        <x:f>ROUND((AD633*0.20+AE633*0.20+AF633*0.25+AG633*0.15+MIN(100,AC633*12)*0.20),1)</x:f>
        <x:v>66.3</x:v>
      </x:c>
      <x:c r="AO633" s="37" t="n">
        <x:f>ROUND(MAX(0,MIN(100,(X633*0.35)+(W633/45*100*0.20)+((5-O633)/4*100*0.15)+((5-P633)/4*100*0.10)+((6-Y633)/5*100*0.10)+((100-Z633)*0.10))),1)</x:f>
        <x:v>46.6</x:v>
      </x:c>
      <x:c r="AP633" s="37" t="str">
        <x:f>IF(AO633&gt;=70,"High",IF(AO633&gt;=40,"Moderate","Low"))</x:f>
        <x:v>Moderate</x:v>
      </x:c>
      <x:c r="AQ633" s="37" t="n">
        <x:f>ROUND(MAX(0,MIN(100,(O633/4*100*0.25)+(P633/4*100*0.20)+(Q633/4*100*0.15)+(Y633/5*100*0.20)+(100-AO633)*0.20)),1)</x:f>
        <x:v>60.4</x:v>
      </x:c>
      <x:c r="AR633" s="37" t="n">
        <x:f>ROUND((AI633*0.20+AJ633*0.15+AN633*0.18+AG633*0.12+Z633*0.15+AQ633*0.20),1)</x:f>
        <x:v>84.9</x:v>
      </x:c>
      <x:c r="AS633" s="39" t="n">
        <x:f>ROUND((AC633*AF633*120)+(AH633*350)+(MAX(0,AI633-75)*220)+(MAX(0,AQ633-60)*100),0)</x:f>
        <x:v>15368</x:v>
      </x:c>
    </x:row>
    <x:row r="634">
      <x:c r="A634" s="35" t="n">
        <x:v>633</x:v>
      </x:c>
      <x:c r="B634" s="35" t="n">
        <x:v>43</x:v>
      </x:c>
      <x:c r="C634" s="35" t="str">
        <x:v>Female</x:v>
      </x:c>
      <x:c r="D634" s="35" t="str">
        <x:v>Finance</x:v>
      </x:c>
      <x:c r="E634" s="35" t="str">
        <x:v>Finance Manager</x:v>
      </x:c>
      <x:c r="F634" s="35" t="str">
        <x:v>Human Resources</x:v>
      </x:c>
      <x:c r="G634" s="35" t="str">
        <x:v>Single</x:v>
      </x:c>
      <x:c r="H634" s="35" t="n">
        <x:v>4</x:v>
      </x:c>
      <x:c r="I634" s="36" t="n">
        <x:v>25530</x:v>
      </x:c>
      <x:c r="J634" s="35" t="n">
        <x:v>11</x:v>
      </x:c>
      <x:c r="K634" s="35" t="n">
        <x:v>8</x:v>
      </x:c>
      <x:c r="L634" s="35" t="n">
        <x:v>6</x:v>
      </x:c>
      <x:c r="M634" s="35" t="n">
        <x:v>3</x:v>
      </x:c>
      <x:c r="N634" s="35" t="str">
        <x:v>No</x:v>
      </x:c>
      <x:c r="O634" s="35" t="n">
        <x:v>3</x:v>
      </x:c>
      <x:c r="P634" s="35" t="n">
        <x:v>3</x:v>
      </x:c>
      <x:c r="Q634" s="35" t="n">
        <x:v>2</x:v>
      </x:c>
      <x:c r="R634" s="35" t="n">
        <x:v>3</x:v>
      </x:c>
      <x:c r="S634" s="35" t="n">
        <x:v>3</x:v>
      </x:c>
      <x:c r="T634" s="35" t="n">
        <x:v>5</x:v>
      </x:c>
      <x:c r="U634" s="35" t="n">
        <x:v>1</x:v>
      </x:c>
      <x:c r="V634" s="35" t="n">
        <x:v>8</x:v>
      </x:c>
      <x:c r="W634" s="35" t="n">
        <x:v>7</x:v>
      </x:c>
      <x:c r="X634" s="35" t="n">
        <x:v>51</x:v>
      </x:c>
      <x:c r="Y634" s="35" t="n">
        <x:v>4</x:v>
      </x:c>
      <x:c r="Z634" s="35" t="n">
        <x:v>100</x:v>
      </x:c>
      <x:c r="AA634" s="35" t="n">
        <x:v>14</x:v>
      </x:c>
      <x:c r="AB634" s="35" t="n">
        <x:v>12</x:v>
      </x:c>
      <x:c r="AC634" s="35" t="n">
        <x:v>9</x:v>
      </x:c>
      <x:c r="AD634" s="35" t="n">
        <x:v>89</x:v>
      </x:c>
      <x:c r="AE634" s="35" t="n">
        <x:v>89</x:v>
      </x:c>
      <x:c r="AF634" s="35" t="n">
        <x:v>100</x:v>
      </x:c>
      <x:c r="AG634" s="35" t="n">
        <x:v>87</x:v>
      </x:c>
      <x:c r="AH634" s="35" t="n">
        <x:v>12</x:v>
      </x:c>
      <x:c r="AI634" s="37" t="n">
        <x:v>89.6</x:v>
      </x:c>
      <x:c r="AJ634" s="37" t="n">
        <x:v>97</x:v>
      </x:c>
      <x:c r="AK634" s="35" t="str">
        <x:v>No</x:v>
      </x:c>
      <x:c r="AL634" s="38" t="n">
        <x:f>IF(AA634=0,0,AB634/AA634)</x:f>
        <x:v>0.8571428571428571</x:v>
      </x:c>
      <x:c r="AM634" s="38" t="n">
        <x:f>IF(AB634=0,0,AC634/AB634)</x:f>
        <x:v>0.75</x:v>
      </x:c>
      <x:c r="AN634" s="37" t="n">
        <x:f>ROUND((AD634*0.20+AE634*0.20+AF634*0.25+AG634*0.15+MIN(100,AC634*12)*0.20),1)</x:f>
        <x:v>93.7</x:v>
      </x:c>
      <x:c r="AO634" s="37" t="n">
        <x:f>ROUND(MAX(0,MIN(100,(X634*0.35)+(W634/45*100*0.20)+((5-O634)/4*100*0.15)+((5-P634)/4*100*0.10)+((6-Y634)/5*100*0.10)+((100-Z634)*0.10))),1)</x:f>
        <x:v>37.5</x:v>
      </x:c>
      <x:c r="AP634" s="37" t="str">
        <x:f>IF(AO634&gt;=70,"High",IF(AO634&gt;=40,"Moderate","Low"))</x:f>
        <x:v>Low</x:v>
      </x:c>
      <x:c r="AQ634" s="37" t="n">
        <x:f>ROUND(MAX(0,MIN(100,(O634/4*100*0.25)+(P634/4*100*0.20)+(Q634/4*100*0.15)+(Y634/5*100*0.20)+(100-AO634)*0.20)),1)</x:f>
        <x:v>69.8</x:v>
      </x:c>
      <x:c r="AR634" s="37" t="n">
        <x:f>ROUND((AI634*0.20+AJ634*0.15+AN634*0.18+AG634*0.12+Z634*0.15+AQ634*0.20),1)</x:f>
        <x:v>88.7</x:v>
      </x:c>
      <x:c r="AS634" s="39" t="n">
        <x:f>ROUND((AC634*AF634*120)+(AH634*350)+(MAX(0,AI634-75)*220)+(MAX(0,AQ634-60)*100),0)</x:f>
        <x:v>116392</x:v>
      </x:c>
    </x:row>
    <x:row r="635">
      <x:c r="A635" s="35" t="n">
        <x:v>634</x:v>
      </x:c>
      <x:c r="B635" s="35" t="n">
        <x:v>43</x:v>
      </x:c>
      <x:c r="C635" s="35" t="str">
        <x:v>Female</x:v>
      </x:c>
      <x:c r="D635" s="35" t="str">
        <x:v>Information Technology</x:v>
      </x:c>
      <x:c r="E635" s="35" t="str">
        <x:v>Systems Analyst</x:v>
      </x:c>
      <x:c r="F635" s="35" t="str">
        <x:v>Life Sciences</x:v>
      </x:c>
      <x:c r="G635" s="35" t="str">
        <x:v>Single</x:v>
      </x:c>
      <x:c r="H635" s="35" t="n">
        <x:v>3</x:v>
      </x:c>
      <x:c r="I635" s="36" t="n">
        <x:v>11390</x:v>
      </x:c>
      <x:c r="J635" s="35" t="n">
        <x:v>15</x:v>
      </x:c>
      <x:c r="K635" s="35" t="n">
        <x:v>8</x:v>
      </x:c>
      <x:c r="L635" s="35" t="n">
        <x:v>6</x:v>
      </x:c>
      <x:c r="M635" s="35" t="n">
        <x:v>5</x:v>
      </x:c>
      <x:c r="N635" s="35" t="str">
        <x:v>Yes</x:v>
      </x:c>
      <x:c r="O635" s="35" t="n">
        <x:v>2</x:v>
      </x:c>
      <x:c r="P635" s="35" t="n">
        <x:v>2</x:v>
      </x:c>
      <x:c r="Q635" s="35" t="n">
        <x:v>2</x:v>
      </x:c>
      <x:c r="R635" s="35" t="n">
        <x:v>3</x:v>
      </x:c>
      <x:c r="S635" s="35" t="n">
        <x:v>3</x:v>
      </x:c>
      <x:c r="T635" s="35" t="n">
        <x:v>1</x:v>
      </x:c>
      <x:c r="U635" s="35" t="n">
        <x:v>2</x:v>
      </x:c>
      <x:c r="V635" s="35" t="n">
        <x:v>11</x:v>
      </x:c>
      <x:c r="W635" s="35" t="n">
        <x:v>7</x:v>
      </x:c>
      <x:c r="X635" s="35" t="n">
        <x:v>66</x:v>
      </x:c>
      <x:c r="Y635" s="35" t="n">
        <x:v>4</x:v>
      </x:c>
      <x:c r="Z635" s="35" t="n">
        <x:v>93</x:v>
      </x:c>
      <x:c r="AA635" s="35" t="n">
        <x:v>7</x:v>
      </x:c>
      <x:c r="AB635" s="35" t="n">
        <x:v>5</x:v>
      </x:c>
      <x:c r="AC635" s="35" t="n">
        <x:v>5</x:v>
      </x:c>
      <x:c r="AD635" s="35" t="n">
        <x:v>81</x:v>
      </x:c>
      <x:c r="AE635" s="35" t="n">
        <x:v>69</x:v>
      </x:c>
      <x:c r="AF635" s="35" t="n">
        <x:v>90</x:v>
      </x:c>
      <x:c r="AG635" s="35" t="n">
        <x:v>87</x:v>
      </x:c>
      <x:c r="AH635" s="35" t="n">
        <x:v>10</x:v>
      </x:c>
      <x:c r="AI635" s="37" t="n">
        <x:v>95.1</x:v>
      </x:c>
      <x:c r="AJ635" s="37" t="n">
        <x:v>81.3</x:v>
      </x:c>
      <x:c r="AK635" s="35" t="str">
        <x:v>No</x:v>
      </x:c>
      <x:c r="AL635" s="38" t="n">
        <x:f>IF(AA635=0,0,AB635/AA635)</x:f>
        <x:v>0.7142857142857143</x:v>
      </x:c>
      <x:c r="AM635" s="38" t="n">
        <x:f>IF(AB635=0,0,AC635/AB635)</x:f>
        <x:v>1</x:v>
      </x:c>
      <x:c r="AN635" s="37" t="n">
        <x:f>ROUND((AD635*0.20+AE635*0.20+AF635*0.25+AG635*0.15+MIN(100,AC635*12)*0.20),1)</x:f>
        <x:v>77.6</x:v>
      </x:c>
      <x:c r="AO635" s="37" t="n">
        <x:f>ROUND(MAX(0,MIN(100,(X635*0.35)+(W635/45*100*0.20)+((5-O635)/4*100*0.15)+((5-P635)/4*100*0.10)+((6-Y635)/5*100*0.10)+((100-Z635)*0.10))),1)</x:f>
        <x:v>49.7</x:v>
      </x:c>
      <x:c r="AP635" s="37" t="str">
        <x:f>IF(AO635&gt;=70,"High",IF(AO635&gt;=40,"Moderate","Low"))</x:f>
        <x:v>Moderate</x:v>
      </x:c>
      <x:c r="AQ635" s="37" t="n">
        <x:f>ROUND(MAX(0,MIN(100,(O635/4*100*0.25)+(P635/4*100*0.20)+(Q635/4*100*0.15)+(Y635/5*100*0.20)+(100-AO635)*0.20)),1)</x:f>
        <x:v>56.1</x:v>
      </x:c>
      <x:c r="AR635" s="37" t="n">
        <x:f>ROUND((AI635*0.20+AJ635*0.15+AN635*0.18+AG635*0.12+Z635*0.15+AQ635*0.20),1)</x:f>
        <x:v>80.8</x:v>
      </x:c>
      <x:c r="AS635" s="39" t="n">
        <x:f>ROUND((AC635*AF635*120)+(AH635*350)+(MAX(0,AI635-75)*220)+(MAX(0,AQ635-60)*100),0)</x:f>
        <x:v>61922</x:v>
      </x:c>
    </x:row>
    <x:row r="636">
      <x:c r="A636" s="35" t="n">
        <x:v>635</x:v>
      </x:c>
      <x:c r="B636" s="35" t="n">
        <x:v>34</x:v>
      </x:c>
      <x:c r="C636" s="35" t="str">
        <x:v>Female</x:v>
      </x:c>
      <x:c r="D636" s="35" t="str">
        <x:v>Finance</x:v>
      </x:c>
      <x:c r="E636" s="35" t="str">
        <x:v>Accountant</x:v>
      </x:c>
      <x:c r="F636" s="35" t="str">
        <x:v>Life Sciences</x:v>
      </x:c>
      <x:c r="G636" s="35" t="str">
        <x:v>Divorced</x:v>
      </x:c>
      <x:c r="H636" s="35" t="n">
        <x:v>2</x:v>
      </x:c>
      <x:c r="I636" s="36" t="n">
        <x:v>9690</x:v>
      </x:c>
      <x:c r="J636" s="35" t="n">
        <x:v>10</x:v>
      </x:c>
      <x:c r="K636" s="35" t="n">
        <x:v>4</x:v>
      </x:c>
      <x:c r="L636" s="35" t="n">
        <x:v>3</x:v>
      </x:c>
      <x:c r="M636" s="35" t="n">
        <x:v>22</x:v>
      </x:c>
      <x:c r="N636" s="35" t="str">
        <x:v>Yes</x:v>
      </x:c>
      <x:c r="O636" s="35" t="n">
        <x:v>2</x:v>
      </x:c>
      <x:c r="P636" s="35" t="n">
        <x:v>2</x:v>
      </x:c>
      <x:c r="Q636" s="35" t="n">
        <x:v>4</x:v>
      </x:c>
      <x:c r="R636" s="35" t="n">
        <x:v>3</x:v>
      </x:c>
      <x:c r="S636" s="35" t="n">
        <x:v>3</x:v>
      </x:c>
      <x:c r="T636" s="35" t="n">
        <x:v>2</x:v>
      </x:c>
      <x:c r="U636" s="35" t="n">
        <x:v>1</x:v>
      </x:c>
      <x:c r="V636" s="35" t="n">
        <x:v>7</x:v>
      </x:c>
      <x:c r="W636" s="35" t="n">
        <x:v>25</x:v>
      </x:c>
      <x:c r="X636" s="35" t="n">
        <x:v>73</x:v>
      </x:c>
      <x:c r="Y636" s="35" t="n">
        <x:v>5</x:v>
      </x:c>
      <x:c r="Z636" s="35" t="n">
        <x:v>99</x:v>
      </x:c>
      <x:c r="AA636" s="35" t="n">
        <x:v>1</x:v>
      </x:c>
      <x:c r="AB636" s="35" t="n">
        <x:v>1</x:v>
      </x:c>
      <x:c r="AC636" s="35" t="n">
        <x:v>1</x:v>
      </x:c>
      <x:c r="AD636" s="35" t="n">
        <x:v>74</x:v>
      </x:c>
      <x:c r="AE636" s="35" t="n">
        <x:v>75</x:v>
      </x:c>
      <x:c r="AF636" s="35" t="n">
        <x:v>86</x:v>
      </x:c>
      <x:c r="AG636" s="35" t="n">
        <x:v>98</x:v>
      </x:c>
      <x:c r="AH636" s="35" t="n">
        <x:v>6</x:v>
      </x:c>
      <x:c r="AI636" s="37" t="n">
        <x:v>100</x:v>
      </x:c>
      <x:c r="AJ636" s="37" t="n">
        <x:v>90.8</x:v>
      </x:c>
      <x:c r="AK636" s="35" t="str">
        <x:v>No</x:v>
      </x:c>
      <x:c r="AL636" s="38" t="n">
        <x:f>IF(AA636=0,0,AB636/AA636)</x:f>
        <x:v>1</x:v>
      </x:c>
      <x:c r="AM636" s="38" t="n">
        <x:f>IF(AB636=0,0,AC636/AB636)</x:f>
        <x:v>1</x:v>
      </x:c>
      <x:c r="AN636" s="37" t="n">
        <x:f>ROUND((AD636*0.20+AE636*0.20+AF636*0.25+AG636*0.15+MIN(100,AC636*12)*0.20),1)</x:f>
        <x:v>68.4</x:v>
      </x:c>
      <x:c r="AO636" s="37" t="n">
        <x:f>ROUND(MAX(0,MIN(100,(X636*0.35)+(W636/45*100*0.20)+((5-O636)/4*100*0.15)+((5-P636)/4*100*0.10)+((6-Y636)/5*100*0.10)+((100-Z636)*0.10))),1)</x:f>
        <x:v>57.5</x:v>
      </x:c>
      <x:c r="AP636" s="37" t="str">
        <x:f>IF(AO636&gt;=70,"High",IF(AO636&gt;=40,"Moderate","Low"))</x:f>
        <x:v>Moderate</x:v>
      </x:c>
      <x:c r="AQ636" s="37" t="n">
        <x:f>ROUND(MAX(0,MIN(100,(O636/4*100*0.25)+(P636/4*100*0.20)+(Q636/4*100*0.15)+(Y636/5*100*0.20)+(100-AO636)*0.20)),1)</x:f>
        <x:v>66</x:v>
      </x:c>
      <x:c r="AR636" s="37" t="n">
        <x:f>ROUND((AI636*0.20+AJ636*0.15+AN636*0.18+AG636*0.12+Z636*0.15+AQ636*0.20),1)</x:f>
        <x:v>85.7</x:v>
      </x:c>
      <x:c r="AS636" s="39" t="n">
        <x:f>ROUND((AC636*AF636*120)+(AH636*350)+(MAX(0,AI636-75)*220)+(MAX(0,AQ636-60)*100),0)</x:f>
        <x:v>18520</x:v>
      </x:c>
    </x:row>
    <x:row r="637">
      <x:c r="A637" s="35" t="n">
        <x:v>636</x:v>
      </x:c>
      <x:c r="B637" s="35" t="n">
        <x:v>27</x:v>
      </x:c>
      <x:c r="C637" s="35" t="str">
        <x:v>Male</x:v>
      </x:c>
      <x:c r="D637" s="35" t="str">
        <x:v>Finance</x:v>
      </x:c>
      <x:c r="E637" s="35" t="str">
        <x:v>Finance Manager</x:v>
      </x:c>
      <x:c r="F637" s="35" t="str">
        <x:v>Life Sciences</x:v>
      </x:c>
      <x:c r="G637" s="35" t="str">
        <x:v>Married</x:v>
      </x:c>
      <x:c r="H637" s="35" t="n">
        <x:v>1</x:v>
      </x:c>
      <x:c r="I637" s="36" t="n">
        <x:v>6540</x:v>
      </x:c>
      <x:c r="J637" s="35" t="n">
        <x:v>4</x:v>
      </x:c>
      <x:c r="K637" s="35" t="n">
        <x:v>1</x:v>
      </x:c>
      <x:c r="L637" s="35" t="n">
        <x:v>1</x:v>
      </x:c>
      <x:c r="M637" s="35" t="n">
        <x:v>16</x:v>
      </x:c>
      <x:c r="N637" s="35" t="str">
        <x:v>Yes</x:v>
      </x:c>
      <x:c r="O637" s="35" t="n">
        <x:v>2</x:v>
      </x:c>
      <x:c r="P637" s="35" t="n">
        <x:v>2</x:v>
      </x:c>
      <x:c r="Q637" s="35" t="n">
        <x:v>3</x:v>
      </x:c>
      <x:c r="R637" s="35" t="n">
        <x:v>3</x:v>
      </x:c>
      <x:c r="S637" s="35" t="n">
        <x:v>4</x:v>
      </x:c>
      <x:c r="T637" s="35" t="n">
        <x:v>3</x:v>
      </x:c>
      <x:c r="U637" s="35" t="n">
        <x:v>1</x:v>
      </x:c>
      <x:c r="V637" s="35" t="n">
        <x:v>14</x:v>
      </x:c>
      <x:c r="W637" s="35" t="n">
        <x:v>22</x:v>
      </x:c>
      <x:c r="X637" s="35" t="n">
        <x:v>51</x:v>
      </x:c>
      <x:c r="Y637" s="35" t="n">
        <x:v>3</x:v>
      </x:c>
      <x:c r="Z637" s="35" t="n">
        <x:v>89</x:v>
      </x:c>
      <x:c r="AA637" s="35" t="n">
        <x:v>9</x:v>
      </x:c>
      <x:c r="AB637" s="35" t="n">
        <x:v>7</x:v>
      </x:c>
      <x:c r="AC637" s="35" t="n">
        <x:v>7</x:v>
      </x:c>
      <x:c r="AD637" s="35" t="n">
        <x:v>78</x:v>
      </x:c>
      <x:c r="AE637" s="35" t="n">
        <x:v>78</x:v>
      </x:c>
      <x:c r="AF637" s="35" t="n">
        <x:v>100</x:v>
      </x:c>
      <x:c r="AG637" s="35" t="n">
        <x:v>89</x:v>
      </x:c>
      <x:c r="AH637" s="35" t="n">
        <x:v>12</x:v>
      </x:c>
      <x:c r="AI637" s="37" t="n">
        <x:v>100</x:v>
      </x:c>
      <x:c r="AJ637" s="37" t="n">
        <x:v>100</x:v>
      </x:c>
      <x:c r="AK637" s="35" t="str">
        <x:v>No</x:v>
      </x:c>
      <x:c r="AL637" s="38" t="n">
        <x:f>IF(AA637=0,0,AB637/AA637)</x:f>
        <x:v>0.7777777777777778</x:v>
      </x:c>
      <x:c r="AM637" s="38" t="n">
        <x:f>IF(AB637=0,0,AC637/AB637)</x:f>
        <x:v>1</x:v>
      </x:c>
      <x:c r="AN637" s="37" t="n">
        <x:f>ROUND((AD637*0.20+AE637*0.20+AF637*0.25+AG637*0.15+MIN(100,AC637*12)*0.20),1)</x:f>
        <x:v>86.4</x:v>
      </x:c>
      <x:c r="AO637" s="37" t="n">
        <x:f>ROUND(MAX(0,MIN(100,(X637*0.35)+(W637/45*100*0.20)+((5-O637)/4*100*0.15)+((5-P637)/4*100*0.10)+((6-Y637)/5*100*0.10)+((100-Z637)*0.10))),1)</x:f>
        <x:v>53.5</x:v>
      </x:c>
      <x:c r="AP637" s="37" t="str">
        <x:f>IF(AO637&gt;=70,"High",IF(AO637&gt;=40,"Moderate","Low"))</x:f>
        <x:v>Moderate</x:v>
      </x:c>
      <x:c r="AQ637" s="37" t="n">
        <x:f>ROUND(MAX(0,MIN(100,(O637/4*100*0.25)+(P637/4*100*0.20)+(Q637/4*100*0.15)+(Y637/5*100*0.20)+(100-AO637)*0.20)),1)</x:f>
        <x:v>55.1</x:v>
      </x:c>
      <x:c r="AR637" s="37" t="n">
        <x:f>ROUND((AI637*0.20+AJ637*0.15+AN637*0.18+AG637*0.12+Z637*0.15+AQ637*0.20),1)</x:f>
        <x:v>85.6</x:v>
      </x:c>
      <x:c r="AS637" s="39" t="n">
        <x:f>ROUND((AC637*AF637*120)+(AH637*350)+(MAX(0,AI637-75)*220)+(MAX(0,AQ637-60)*100),0)</x:f>
        <x:v>93700</x:v>
      </x:c>
    </x:row>
    <x:row r="638">
      <x:c r="A638" s="35" t="n">
        <x:v>637</x:v>
      </x:c>
      <x:c r="B638" s="35" t="n">
        <x:v>33</x:v>
      </x:c>
      <x:c r="C638" s="35" t="str">
        <x:v>Female</x:v>
      </x:c>
      <x:c r="D638" s="35" t="str">
        <x:v>Sales</x:v>
      </x:c>
      <x:c r="E638" s="35" t="str">
        <x:v>Sales Executive</x:v>
      </x:c>
      <x:c r="F638" s="35" t="str">
        <x:v>Technical Degree</x:v>
      </x:c>
      <x:c r="G638" s="35" t="str">
        <x:v>Married</x:v>
      </x:c>
      <x:c r="H638" s="35" t="n">
        <x:v>3</x:v>
      </x:c>
      <x:c r="I638" s="36" t="n">
        <x:v>14200</x:v>
      </x:c>
      <x:c r="J638" s="35" t="n">
        <x:v>10</x:v>
      </x:c>
      <x:c r="K638" s="35" t="n">
        <x:v>6</x:v>
      </x:c>
      <x:c r="L638" s="35" t="n">
        <x:v>3</x:v>
      </x:c>
      <x:c r="M638" s="35" t="n">
        <x:v>13</x:v>
      </x:c>
      <x:c r="N638" s="35" t="str">
        <x:v>Yes</x:v>
      </x:c>
      <x:c r="O638" s="35" t="n">
        <x:v>3</x:v>
      </x:c>
      <x:c r="P638" s="35" t="n">
        <x:v>3</x:v>
      </x:c>
      <x:c r="Q638" s="35" t="n">
        <x:v>4</x:v>
      </x:c>
      <x:c r="R638" s="35" t="n">
        <x:v>2</x:v>
      </x:c>
      <x:c r="S638" s="35" t="n">
        <x:v>3</x:v>
      </x:c>
      <x:c r="T638" s="35" t="n">
        <x:v>3</x:v>
      </x:c>
      <x:c r="U638" s="35" t="n">
        <x:v>0</x:v>
      </x:c>
      <x:c r="V638" s="35" t="n">
        <x:v>11</x:v>
      </x:c>
      <x:c r="W638" s="35" t="n">
        <x:v>17</x:v>
      </x:c>
      <x:c r="X638" s="35" t="n">
        <x:v>81</x:v>
      </x:c>
      <x:c r="Y638" s="35" t="n">
        <x:v>4</x:v>
      </x:c>
      <x:c r="Z638" s="35" t="n">
        <x:v>88</x:v>
      </x:c>
      <x:c r="AA638" s="35" t="n">
        <x:v>6</x:v>
      </x:c>
      <x:c r="AB638" s="35" t="n">
        <x:v>6</x:v>
      </x:c>
      <x:c r="AC638" s="35" t="n">
        <x:v>6</x:v>
      </x:c>
      <x:c r="AD638" s="35" t="n">
        <x:v>67</x:v>
      </x:c>
      <x:c r="AE638" s="35" t="n">
        <x:v>82</x:v>
      </x:c>
      <x:c r="AF638" s="35" t="n">
        <x:v>95</x:v>
      </x:c>
      <x:c r="AG638" s="35" t="n">
        <x:v>93</x:v>
      </x:c>
      <x:c r="AH638" s="35" t="n">
        <x:v>10</x:v>
      </x:c>
      <x:c r="AI638" s="37" t="n">
        <x:v>100</x:v>
      </x:c>
      <x:c r="AJ638" s="37" t="n">
        <x:v>87.3</x:v>
      </x:c>
      <x:c r="AK638" s="35" t="str">
        <x:v>No</x:v>
      </x:c>
      <x:c r="AL638" s="38" t="n">
        <x:f>IF(AA638=0,0,AB638/AA638)</x:f>
        <x:v>1</x:v>
      </x:c>
      <x:c r="AM638" s="38" t="n">
        <x:f>IF(AB638=0,0,AC638/AB638)</x:f>
        <x:v>1</x:v>
      </x:c>
      <x:c r="AN638" s="37" t="n">
        <x:f>ROUND((AD638*0.20+AE638*0.20+AF638*0.25+AG638*0.15+MIN(100,AC638*12)*0.20),1)</x:f>
        <x:v>81.9</x:v>
      </x:c>
      <x:c r="AO638" s="37" t="n">
        <x:f>ROUND(MAX(0,MIN(100,(X638*0.35)+(W638/45*100*0.20)+((5-O638)/4*100*0.15)+((5-P638)/4*100*0.10)+((6-Y638)/5*100*0.10)+((100-Z638)*0.10))),1)</x:f>
        <x:v>53.6</x:v>
      </x:c>
      <x:c r="AP638" s="37" t="str">
        <x:f>IF(AO638&gt;=70,"High",IF(AO638&gt;=40,"Moderate","Low"))</x:f>
        <x:v>Moderate</x:v>
      </x:c>
      <x:c r="AQ638" s="37" t="n">
        <x:f>ROUND(MAX(0,MIN(100,(O638/4*100*0.25)+(P638/4*100*0.20)+(Q638/4*100*0.15)+(Y638/5*100*0.20)+(100-AO638)*0.20)),1)</x:f>
        <x:v>74</x:v>
      </x:c>
      <x:c r="AR638" s="37" t="n">
        <x:f>ROUND((AI638*0.20+AJ638*0.15+AN638*0.18+AG638*0.12+Z638*0.15+AQ638*0.20),1)</x:f>
        <x:v>87</x:v>
      </x:c>
      <x:c r="AS638" s="39" t="n">
        <x:f>ROUND((AC638*AF638*120)+(AH638*350)+(MAX(0,AI638-75)*220)+(MAX(0,AQ638-60)*100),0)</x:f>
        <x:v>78800</x:v>
      </x:c>
    </x:row>
    <x:row r="639">
      <x:c r="A639" s="35" t="n">
        <x:v>638</x:v>
      </x:c>
      <x:c r="B639" s="35" t="n">
        <x:v>34</x:v>
      </x:c>
      <x:c r="C639" s="35" t="str">
        <x:v>Female</x:v>
      </x:c>
      <x:c r="D639" s="35" t="str">
        <x:v>Human Resources</x:v>
      </x:c>
      <x:c r="E639" s="35" t="str">
        <x:v>Talent Development Specialist</x:v>
      </x:c>
      <x:c r="F639" s="35" t="str">
        <x:v>Life Sciences</x:v>
      </x:c>
      <x:c r="G639" s="35" t="str">
        <x:v>Married</x:v>
      </x:c>
      <x:c r="H639" s="35" t="n">
        <x:v>1</x:v>
      </x:c>
      <x:c r="I639" s="36" t="n">
        <x:v>5440</x:v>
      </x:c>
      <x:c r="J639" s="35" t="n">
        <x:v>10</x:v>
      </x:c>
      <x:c r="K639" s="35" t="n">
        <x:v>5</x:v>
      </x:c>
      <x:c r="L639" s="35" t="n">
        <x:v>3</x:v>
      </x:c>
      <x:c r="M639" s="35" t="n">
        <x:v>11</x:v>
      </x:c>
      <x:c r="N639" s="35" t="str">
        <x:v>No</x:v>
      </x:c>
      <x:c r="O639" s="35" t="n">
        <x:v>3</x:v>
      </x:c>
      <x:c r="P639" s="35" t="n">
        <x:v>3</x:v>
      </x:c>
      <x:c r="Q639" s="35" t="n">
        <x:v>2</x:v>
      </x:c>
      <x:c r="R639" s="35" t="n">
        <x:v>2</x:v>
      </x:c>
      <x:c r="S639" s="35" t="n">
        <x:v>3</x:v>
      </x:c>
      <x:c r="T639" s="35" t="n">
        <x:v>3</x:v>
      </x:c>
      <x:c r="U639" s="35" t="n">
        <x:v>1</x:v>
      </x:c>
      <x:c r="V639" s="35" t="n">
        <x:v>0</x:v>
      </x:c>
      <x:c r="W639" s="35" t="n">
        <x:v>17</x:v>
      </x:c>
      <x:c r="X639" s="35" t="n">
        <x:v>58</x:v>
      </x:c>
      <x:c r="Y639" s="35" t="n">
        <x:v>4</x:v>
      </x:c>
      <x:c r="Z639" s="35" t="n">
        <x:v>100</x:v>
      </x:c>
      <x:c r="AA639" s="35" t="n">
        <x:v>3</x:v>
      </x:c>
      <x:c r="AB639" s="35" t="n">
        <x:v>3</x:v>
      </x:c>
      <x:c r="AC639" s="35" t="n">
        <x:v>3</x:v>
      </x:c>
      <x:c r="AD639" s="35" t="n">
        <x:v>63</x:v>
      </x:c>
      <x:c r="AE639" s="35" t="n">
        <x:v>97</x:v>
      </x:c>
      <x:c r="AF639" s="35" t="n">
        <x:v>80</x:v>
      </x:c>
      <x:c r="AG639" s="35" t="n">
        <x:v>85</x:v>
      </x:c>
      <x:c r="AH639" s="35" t="n">
        <x:v>7</x:v>
      </x:c>
      <x:c r="AI639" s="37" t="n">
        <x:v>100</x:v>
      </x:c>
      <x:c r="AJ639" s="37" t="n">
        <x:v>100</x:v>
      </x:c>
      <x:c r="AK639" s="35" t="str">
        <x:v>No</x:v>
      </x:c>
      <x:c r="AL639" s="38" t="n">
        <x:f>IF(AA639=0,0,AB639/AA639)</x:f>
        <x:v>1</x:v>
      </x:c>
      <x:c r="AM639" s="38" t="n">
        <x:f>IF(AB639=0,0,AC639/AB639)</x:f>
        <x:v>1</x:v>
      </x:c>
      <x:c r="AN639" s="37" t="n">
        <x:f>ROUND((AD639*0.20+AE639*0.20+AF639*0.25+AG639*0.15+MIN(100,AC639*12)*0.20),1)</x:f>
        <x:v>72</x:v>
      </x:c>
      <x:c r="AO639" s="37" t="n">
        <x:f>ROUND(MAX(0,MIN(100,(X639*0.35)+(W639/45*100*0.20)+((5-O639)/4*100*0.15)+((5-P639)/4*100*0.10)+((6-Y639)/5*100*0.10)+((100-Z639)*0.10))),1)</x:f>
        <x:v>44.4</x:v>
      </x:c>
      <x:c r="AP639" s="37" t="str">
        <x:f>IF(AO639&gt;=70,"High",IF(AO639&gt;=40,"Moderate","Low"))</x:f>
        <x:v>Moderate</x:v>
      </x:c>
      <x:c r="AQ639" s="37" t="n">
        <x:f>ROUND(MAX(0,MIN(100,(O639/4*100*0.25)+(P639/4*100*0.20)+(Q639/4*100*0.15)+(Y639/5*100*0.20)+(100-AO639)*0.20)),1)</x:f>
        <x:v>68.4</x:v>
      </x:c>
      <x:c r="AR639" s="37" t="n">
        <x:f>ROUND((AI639*0.20+AJ639*0.15+AN639*0.18+AG639*0.12+Z639*0.15+AQ639*0.20),1)</x:f>
        <x:v>86.8</x:v>
      </x:c>
      <x:c r="AS639" s="39" t="n">
        <x:f>ROUND((AC639*AF639*120)+(AH639*350)+(MAX(0,AI639-75)*220)+(MAX(0,AQ639-60)*100),0)</x:f>
        <x:v>37590</x:v>
      </x:c>
    </x:row>
    <x:row r="640">
      <x:c r="A640" s="35" t="n">
        <x:v>639</x:v>
      </x:c>
      <x:c r="B640" s="35" t="n">
        <x:v>49</x:v>
      </x:c>
      <x:c r="C640" s="35" t="str">
        <x:v>Female</x:v>
      </x:c>
      <x:c r="D640" s="35" t="str">
        <x:v>Marketing</x:v>
      </x:c>
      <x:c r="E640" s="35" t="str">
        <x:v>Digital Marketing Analyst</x:v>
      </x:c>
      <x:c r="F640" s="35" t="str">
        <x:v>Medical</x:v>
      </x:c>
      <x:c r="G640" s="35" t="str">
        <x:v>Married</x:v>
      </x:c>
      <x:c r="H640" s="35" t="n">
        <x:v>5</x:v>
      </x:c>
      <x:c r="I640" s="36" t="n">
        <x:v>33250</x:v>
      </x:c>
      <x:c r="J640" s="35" t="n">
        <x:v>15</x:v>
      </x:c>
      <x:c r="K640" s="35" t="n">
        <x:v>12</x:v>
      </x:c>
      <x:c r="L640" s="35" t="n">
        <x:v>5</x:v>
      </x:c>
      <x:c r="M640" s="35" t="n">
        <x:v>16</x:v>
      </x:c>
      <x:c r="N640" s="35" t="str">
        <x:v>No</x:v>
      </x:c>
      <x:c r="O640" s="35" t="n">
        <x:v>3</x:v>
      </x:c>
      <x:c r="P640" s="35" t="n">
        <x:v>2</x:v>
      </x:c>
      <x:c r="Q640" s="35" t="n">
        <x:v>3</x:v>
      </x:c>
      <x:c r="R640" s="35" t="n">
        <x:v>4</x:v>
      </x:c>
      <x:c r="S640" s="35" t="n">
        <x:v>3</x:v>
      </x:c>
      <x:c r="T640" s="35" t="n">
        <x:v>2</x:v>
      </x:c>
      <x:c r="U640" s="35" t="n">
        <x:v>2</x:v>
      </x:c>
      <x:c r="V640" s="35" t="n">
        <x:v>6</x:v>
      </x:c>
      <x:c r="W640" s="35" t="n">
        <x:v>0</x:v>
      </x:c>
      <x:c r="X640" s="35" t="n">
        <x:v>44</x:v>
      </x:c>
      <x:c r="Y640" s="35" t="n">
        <x:v>5</x:v>
      </x:c>
      <x:c r="Z640" s="35" t="n">
        <x:v>100</x:v>
      </x:c>
      <x:c r="AA640" s="35" t="n">
        <x:v>3</x:v>
      </x:c>
      <x:c r="AB640" s="35" t="n">
        <x:v>2</x:v>
      </x:c>
      <x:c r="AC640" s="35" t="n">
        <x:v>1</x:v>
      </x:c>
      <x:c r="AD640" s="35" t="n">
        <x:v>75</x:v>
      </x:c>
      <x:c r="AE640" s="35" t="n">
        <x:v>68</x:v>
      </x:c>
      <x:c r="AF640" s="35" t="n">
        <x:v>69</x:v>
      </x:c>
      <x:c r="AG640" s="35" t="n">
        <x:v>77</x:v>
      </x:c>
      <x:c r="AH640" s="35" t="n">
        <x:v>2</x:v>
      </x:c>
      <x:c r="AI640" s="37" t="n">
        <x:v>100</x:v>
      </x:c>
      <x:c r="AJ640" s="37" t="n">
        <x:v>98.2</x:v>
      </x:c>
      <x:c r="AK640" s="35" t="str">
        <x:v>Yes</x:v>
      </x:c>
      <x:c r="AL640" s="38" t="n">
        <x:f>IF(AA640=0,0,AB640/AA640)</x:f>
        <x:v>0.6666666666666666</x:v>
      </x:c>
      <x:c r="AM640" s="38" t="n">
        <x:f>IF(AB640=0,0,AC640/AB640)</x:f>
        <x:v>0.5</x:v>
      </x:c>
      <x:c r="AN640" s="37" t="n">
        <x:f>ROUND((AD640*0.20+AE640*0.20+AF640*0.25+AG640*0.15+MIN(100,AC640*12)*0.20),1)</x:f>
        <x:v>59.8</x:v>
      </x:c>
      <x:c r="AO640" s="37" t="n">
        <x:f>ROUND(MAX(0,MIN(100,(X640*0.35)+(W640/45*100*0.20)+((5-O640)/4*100*0.15)+((5-P640)/4*100*0.10)+((6-Y640)/5*100*0.10)+((100-Z640)*0.10))),1)</x:f>
        <x:v>32.4</x:v>
      </x:c>
      <x:c r="AP640" s="37" t="str">
        <x:f>IF(AO640&gt;=70,"High",IF(AO640&gt;=40,"Moderate","Low"))</x:f>
        <x:v>Low</x:v>
      </x:c>
      <x:c r="AQ640" s="37" t="n">
        <x:f>ROUND(MAX(0,MIN(100,(O640/4*100*0.25)+(P640/4*100*0.20)+(Q640/4*100*0.15)+(Y640/5*100*0.20)+(100-AO640)*0.20)),1)</x:f>
        <x:v>73.5</x:v>
      </x:c>
      <x:c r="AR640" s="37" t="n">
        <x:f>ROUND((AI640*0.20+AJ640*0.15+AN640*0.18+AG640*0.12+Z640*0.15+AQ640*0.20),1)</x:f>
        <x:v>84.4</x:v>
      </x:c>
      <x:c r="AS640" s="39" t="n">
        <x:f>ROUND((AC640*AF640*120)+(AH640*350)+(MAX(0,AI640-75)*220)+(MAX(0,AQ640-60)*100),0)</x:f>
        <x:v>15830</x:v>
      </x:c>
    </x:row>
    <x:row r="641">
      <x:c r="A641" s="35" t="n">
        <x:v>640</x:v>
      </x:c>
      <x:c r="B641" s="35" t="n">
        <x:v>35</x:v>
      </x:c>
      <x:c r="C641" s="35" t="str">
        <x:v>Female</x:v>
      </x:c>
      <x:c r="D641" s="35" t="str">
        <x:v>Operations</x:v>
      </x:c>
      <x:c r="E641" s="35" t="str">
        <x:v>Operations Manager</x:v>
      </x:c>
      <x:c r="F641" s="35" t="str">
        <x:v>Marketing</x:v>
      </x:c>
      <x:c r="G641" s="35" t="str">
        <x:v>Married</x:v>
      </x:c>
      <x:c r="H641" s="35" t="n">
        <x:v>3</x:v>
      </x:c>
      <x:c r="I641" s="36" t="n">
        <x:v>11620</x:v>
      </x:c>
      <x:c r="J641" s="35" t="n">
        <x:v>7</x:v>
      </x:c>
      <x:c r="K641" s="35" t="n">
        <x:v>5</x:v>
      </x:c>
      <x:c r="L641" s="35" t="n">
        <x:v>4</x:v>
      </x:c>
      <x:c r="M641" s="35" t="n">
        <x:v>14</x:v>
      </x:c>
      <x:c r="N641" s="35" t="str">
        <x:v>No</x:v>
      </x:c>
      <x:c r="O641" s="35" t="n">
        <x:v>2</x:v>
      </x:c>
      <x:c r="P641" s="35" t="n">
        <x:v>4</x:v>
      </x:c>
      <x:c r="Q641" s="35" t="n">
        <x:v>4</x:v>
      </x:c>
      <x:c r="R641" s="35" t="n">
        <x:v>3</x:v>
      </x:c>
      <x:c r="S641" s="35" t="n">
        <x:v>3</x:v>
      </x:c>
      <x:c r="T641" s="35" t="n">
        <x:v>4</x:v>
      </x:c>
      <x:c r="U641" s="35" t="n">
        <x:v>0</x:v>
      </x:c>
      <x:c r="V641" s="35" t="n">
        <x:v>3</x:v>
      </x:c>
      <x:c r="W641" s="35" t="n">
        <x:v>0</x:v>
      </x:c>
      <x:c r="X641" s="35" t="n">
        <x:v>54</x:v>
      </x:c>
      <x:c r="Y641" s="35" t="n">
        <x:v>5</x:v>
      </x:c>
      <x:c r="Z641" s="35" t="n">
        <x:v>100</x:v>
      </x:c>
      <x:c r="AA641" s="35" t="n">
        <x:v>6</x:v>
      </x:c>
      <x:c r="AB641" s="35" t="n">
        <x:v>5</x:v>
      </x:c>
      <x:c r="AC641" s="35" t="n">
        <x:v>5</x:v>
      </x:c>
      <x:c r="AD641" s="35" t="n">
        <x:v>76</x:v>
      </x:c>
      <x:c r="AE641" s="35" t="n">
        <x:v>91</x:v>
      </x:c>
      <x:c r="AF641" s="35" t="n">
        <x:v>100</x:v>
      </x:c>
      <x:c r="AG641" s="35" t="n">
        <x:v>92</x:v>
      </x:c>
      <x:c r="AH641" s="35" t="n">
        <x:v>6</x:v>
      </x:c>
      <x:c r="AI641" s="37" t="n">
        <x:v>100</x:v>
      </x:c>
      <x:c r="AJ641" s="37" t="n">
        <x:v>88.4</x:v>
      </x:c>
      <x:c r="AK641" s="35" t="str">
        <x:v>No</x:v>
      </x:c>
      <x:c r="AL641" s="38" t="n">
        <x:f>IF(AA641=0,0,AB641/AA641)</x:f>
        <x:v>0.8333333333333334</x:v>
      </x:c>
      <x:c r="AM641" s="38" t="n">
        <x:f>IF(AB641=0,0,AC641/AB641)</x:f>
        <x:v>1</x:v>
      </x:c>
      <x:c r="AN641" s="37" t="n">
        <x:f>ROUND((AD641*0.20+AE641*0.20+AF641*0.25+AG641*0.15+MIN(100,AC641*12)*0.20),1)</x:f>
        <x:v>84.2</x:v>
      </x:c>
      <x:c r="AO641" s="37" t="n">
        <x:f>ROUND(MAX(0,MIN(100,(X641*0.35)+(W641/45*100*0.20)+((5-O641)/4*100*0.15)+((5-P641)/4*100*0.10)+((6-Y641)/5*100*0.10)+((100-Z641)*0.10))),1)</x:f>
        <x:v>34.7</x:v>
      </x:c>
      <x:c r="AP641" s="37" t="str">
        <x:f>IF(AO641&gt;=70,"High",IF(AO641&gt;=40,"Moderate","Low"))</x:f>
        <x:v>Low</x:v>
      </x:c>
      <x:c r="AQ641" s="37" t="n">
        <x:f>ROUND(MAX(0,MIN(100,(O641/4*100*0.25)+(P641/4*100*0.20)+(Q641/4*100*0.15)+(Y641/5*100*0.20)+(100-AO641)*0.20)),1)</x:f>
        <x:v>80.6</x:v>
      </x:c>
      <x:c r="AR641" s="37" t="n">
        <x:f>ROUND((AI641*0.20+AJ641*0.15+AN641*0.18+AG641*0.12+Z641*0.15+AQ641*0.20),1)</x:f>
        <x:v>90.6</x:v>
      </x:c>
      <x:c r="AS641" s="39" t="n">
        <x:f>ROUND((AC641*AF641*120)+(AH641*350)+(MAX(0,AI641-75)*220)+(MAX(0,AQ641-60)*100),0)</x:f>
        <x:v>69660</x:v>
      </x:c>
    </x:row>
    <x:row r="642">
      <x:c r="A642" s="35" t="n">
        <x:v>641</x:v>
      </x:c>
      <x:c r="B642" s="35" t="n">
        <x:v>31</x:v>
      </x:c>
      <x:c r="C642" s="35" t="str">
        <x:v>Female</x:v>
      </x:c>
      <x:c r="D642" s="35" t="str">
        <x:v>Operations</x:v>
      </x:c>
      <x:c r="E642" s="35" t="str">
        <x:v>Quality Specialist</x:v>
      </x:c>
      <x:c r="F642" s="35" t="str">
        <x:v>Business</x:v>
      </x:c>
      <x:c r="G642" s="35" t="str">
        <x:v>Married</x:v>
      </x:c>
      <x:c r="H642" s="35" t="n">
        <x:v>1</x:v>
      </x:c>
      <x:c r="I642" s="36" t="n">
        <x:v>5300</x:v>
      </x:c>
      <x:c r="J642" s="35" t="n">
        <x:v>7</x:v>
      </x:c>
      <x:c r="K642" s="35" t="n">
        <x:v>3</x:v>
      </x:c>
      <x:c r="L642" s="35" t="n">
        <x:v>1</x:v>
      </x:c>
      <x:c r="M642" s="35" t="n">
        <x:v>6</x:v>
      </x:c>
      <x:c r="N642" s="35" t="str">
        <x:v>No</x:v>
      </x:c>
      <x:c r="O642" s="35" t="n">
        <x:v>3</x:v>
      </x:c>
      <x:c r="P642" s="35" t="n">
        <x:v>3</x:v>
      </x:c>
      <x:c r="Q642" s="35" t="n">
        <x:v>3</x:v>
      </x:c>
      <x:c r="R642" s="35" t="n">
        <x:v>3</x:v>
      </x:c>
      <x:c r="S642" s="35" t="n">
        <x:v>3</x:v>
      </x:c>
      <x:c r="T642" s="35" t="n">
        <x:v>6</x:v>
      </x:c>
      <x:c r="U642" s="35" t="n">
        <x:v>0</x:v>
      </x:c>
      <x:c r="V642" s="35" t="n">
        <x:v>8</x:v>
      </x:c>
      <x:c r="W642" s="35" t="n">
        <x:v>0</x:v>
      </x:c>
      <x:c r="X642" s="35" t="n">
        <x:v>57</x:v>
      </x:c>
      <x:c r="Y642" s="35" t="n">
        <x:v>5</x:v>
      </x:c>
      <x:c r="Z642" s="35" t="n">
        <x:v>100</x:v>
      </x:c>
      <x:c r="AA642" s="35" t="n">
        <x:v>1</x:v>
      </x:c>
      <x:c r="AB642" s="35" t="n">
        <x:v>0</x:v>
      </x:c>
      <x:c r="AC642" s="35" t="n">
        <x:v>0</x:v>
      </x:c>
      <x:c r="AD642" s="35" t="n">
        <x:v>71</x:v>
      </x:c>
      <x:c r="AE642" s="35" t="n">
        <x:v>74</x:v>
      </x:c>
      <x:c r="AF642" s="35" t="n">
        <x:v>85</x:v>
      </x:c>
      <x:c r="AG642" s="35" t="n">
        <x:v>92</x:v>
      </x:c>
      <x:c r="AH642" s="35" t="n">
        <x:v>4</x:v>
      </x:c>
      <x:c r="AI642" s="37" t="n">
        <x:v>100</x:v>
      </x:c>
      <x:c r="AJ642" s="37" t="n">
        <x:v>97.8</x:v>
      </x:c>
      <x:c r="AK642" s="35" t="str">
        <x:v>No</x:v>
      </x:c>
      <x:c r="AL642" s="38" t="n">
        <x:f>IF(AA642=0,0,AB642/AA642)</x:f>
        <x:v>0</x:v>
      </x:c>
      <x:c r="AM642" s="38" t="n">
        <x:f>IF(AB642=0,0,AC642/AB642)</x:f>
        <x:v>0</x:v>
      </x:c>
      <x:c r="AN642" s="37" t="n">
        <x:f>ROUND((AD642*0.20+AE642*0.20+AF642*0.25+AG642*0.15+MIN(100,AC642*12)*0.20),1)</x:f>
        <x:v>64.1</x:v>
      </x:c>
      <x:c r="AO642" s="37" t="n">
        <x:f>ROUND(MAX(0,MIN(100,(X642*0.35)+(W642/45*100*0.20)+((5-O642)/4*100*0.15)+((5-P642)/4*100*0.10)+((6-Y642)/5*100*0.10)+((100-Z642)*0.10))),1)</x:f>
        <x:v>34.5</x:v>
      </x:c>
      <x:c r="AP642" s="37" t="str">
        <x:f>IF(AO642&gt;=70,"High",IF(AO642&gt;=40,"Moderate","Low"))</x:f>
        <x:v>Low</x:v>
      </x:c>
      <x:c r="AQ642" s="37" t="n">
        <x:f>ROUND(MAX(0,MIN(100,(O642/4*100*0.25)+(P642/4*100*0.20)+(Q642/4*100*0.15)+(Y642/5*100*0.20)+(100-AO642)*0.20)),1)</x:f>
        <x:v>78.1</x:v>
      </x:c>
      <x:c r="AR642" s="37" t="n">
        <x:f>ROUND((AI642*0.20+AJ642*0.15+AN642*0.18+AG642*0.12+Z642*0.15+AQ642*0.20),1)</x:f>
        <x:v>87.9</x:v>
      </x:c>
      <x:c r="AS642" s="39" t="n">
        <x:f>ROUND((AC642*AF642*120)+(AH642*350)+(MAX(0,AI642-75)*220)+(MAX(0,AQ642-60)*100),0)</x:f>
        <x:v>8710</x:v>
      </x:c>
    </x:row>
    <x:row r="643">
      <x:c r="A643" s="35" t="n">
        <x:v>642</x:v>
      </x:c>
      <x:c r="B643" s="35" t="n">
        <x:v>26</x:v>
      </x:c>
      <x:c r="C643" s="35" t="str">
        <x:v>Female</x:v>
      </x:c>
      <x:c r="D643" s="35" t="str">
        <x:v>Sales</x:v>
      </x:c>
      <x:c r="E643" s="35" t="str">
        <x:v>Sales Representative</x:v>
      </x:c>
      <x:c r="F643" s="35" t="str">
        <x:v>Marketing</x:v>
      </x:c>
      <x:c r="G643" s="35" t="str">
        <x:v>Single</x:v>
      </x:c>
      <x:c r="H643" s="35" t="n">
        <x:v>1</x:v>
      </x:c>
      <x:c r="I643" s="36" t="n">
        <x:v>4940</x:v>
      </x:c>
      <x:c r="J643" s="35" t="n">
        <x:v>4</x:v>
      </x:c>
      <x:c r="K643" s="35" t="n">
        <x:v>3</x:v>
      </x:c>
      <x:c r="L643" s="35" t="n">
        <x:v>2</x:v>
      </x:c>
      <x:c r="M643" s="35" t="n">
        <x:v>14</x:v>
      </x:c>
      <x:c r="N643" s="35" t="str">
        <x:v>No</x:v>
      </x:c>
      <x:c r="O643" s="35" t="n">
        <x:v>2</x:v>
      </x:c>
      <x:c r="P643" s="35" t="n">
        <x:v>4</x:v>
      </x:c>
      <x:c r="Q643" s="35" t="n">
        <x:v>2</x:v>
      </x:c>
      <x:c r="R643" s="35" t="n">
        <x:v>3</x:v>
      </x:c>
      <x:c r="S643" s="35" t="n">
        <x:v>3</x:v>
      </x:c>
      <x:c r="T643" s="35" t="n">
        <x:v>4</x:v>
      </x:c>
      <x:c r="U643" s="35" t="n">
        <x:v>1</x:v>
      </x:c>
      <x:c r="V643" s="35" t="n">
        <x:v>14</x:v>
      </x:c>
      <x:c r="W643" s="35" t="n">
        <x:v>0</x:v>
      </x:c>
      <x:c r="X643" s="35" t="n">
        <x:v>76</x:v>
      </x:c>
      <x:c r="Y643" s="35" t="n">
        <x:v>4</x:v>
      </x:c>
      <x:c r="Z643" s="35" t="n">
        <x:v>100</x:v>
      </x:c>
      <x:c r="AA643" s="35" t="n">
        <x:v>7</x:v>
      </x:c>
      <x:c r="AB643" s="35" t="n">
        <x:v>7</x:v>
      </x:c>
      <x:c r="AC643" s="35" t="n">
        <x:v>5</x:v>
      </x:c>
      <x:c r="AD643" s="35" t="n">
        <x:v>82</x:v>
      </x:c>
      <x:c r="AE643" s="35" t="n">
        <x:v>93</x:v>
      </x:c>
      <x:c r="AF643" s="35" t="n">
        <x:v>93</x:v>
      </x:c>
      <x:c r="AG643" s="35" t="n">
        <x:v>83</x:v>
      </x:c>
      <x:c r="AH643" s="35" t="n">
        <x:v>5</x:v>
      </x:c>
      <x:c r="AI643" s="37" t="n">
        <x:v>95.6</x:v>
      </x:c>
      <x:c r="AJ643" s="37" t="n">
        <x:v>95.3</x:v>
      </x:c>
      <x:c r="AK643" s="35" t="str">
        <x:v>No</x:v>
      </x:c>
      <x:c r="AL643" s="38" t="n">
        <x:f>IF(AA643=0,0,AB643/AA643)</x:f>
        <x:v>1</x:v>
      </x:c>
      <x:c r="AM643" s="38" t="n">
        <x:f>IF(AB643=0,0,AC643/AB643)</x:f>
        <x:v>0.7142857142857143</x:v>
      </x:c>
      <x:c r="AN643" s="37" t="n">
        <x:f>ROUND((AD643*0.20+AE643*0.20+AF643*0.25+AG643*0.15+MIN(100,AC643*12)*0.20),1)</x:f>
        <x:v>82.7</x:v>
      </x:c>
      <x:c r="AO643" s="37" t="n">
        <x:f>ROUND(MAX(0,MIN(100,(X643*0.35)+(W643/45*100*0.20)+((5-O643)/4*100*0.15)+((5-P643)/4*100*0.10)+((6-Y643)/5*100*0.10)+((100-Z643)*0.10))),1)</x:f>
        <x:v>44.3</x:v>
      </x:c>
      <x:c r="AP643" s="37" t="str">
        <x:f>IF(AO643&gt;=70,"High",IF(AO643&gt;=40,"Moderate","Low"))</x:f>
        <x:v>Moderate</x:v>
      </x:c>
      <x:c r="AQ643" s="37" t="n">
        <x:f>ROUND(MAX(0,MIN(100,(O643/4*100*0.25)+(P643/4*100*0.20)+(Q643/4*100*0.15)+(Y643/5*100*0.20)+(100-AO643)*0.20)),1)</x:f>
        <x:v>67.1</x:v>
      </x:c>
      <x:c r="AR643" s="37" t="n">
        <x:f>ROUND((AI643*0.20+AJ643*0.15+AN643*0.18+AG643*0.12+Z643*0.15+AQ643*0.20),1)</x:f>
        <x:v>86.7</x:v>
      </x:c>
      <x:c r="AS643" s="39" t="n">
        <x:f>ROUND((AC643*AF643*120)+(AH643*350)+(MAX(0,AI643-75)*220)+(MAX(0,AQ643-60)*100),0)</x:f>
        <x:v>62792</x:v>
      </x:c>
    </x:row>
    <x:row r="644">
      <x:c r="A644" s="35" t="n">
        <x:v>643</x:v>
      </x:c>
      <x:c r="B644" s="35" t="n">
        <x:v>29</x:v>
      </x:c>
      <x:c r="C644" s="35" t="str">
        <x:v>Female</x:v>
      </x:c>
      <x:c r="D644" s="35" t="str">
        <x:v>Research &amp; Development</x:v>
      </x:c>
      <x:c r="E644" s="35" t="str">
        <x:v>R&amp;D Manager</x:v>
      </x:c>
      <x:c r="F644" s="35" t="str">
        <x:v>Technical Degree</x:v>
      </x:c>
      <x:c r="G644" s="35" t="str">
        <x:v>Single</x:v>
      </x:c>
      <x:c r="H644" s="35" t="n">
        <x:v>2</x:v>
      </x:c>
      <x:c r="I644" s="36" t="n">
        <x:v>8330</x:v>
      </x:c>
      <x:c r="J644" s="35" t="n">
        <x:v>5</x:v>
      </x:c>
      <x:c r="K644" s="35" t="n">
        <x:v>3</x:v>
      </x:c>
      <x:c r="L644" s="35" t="n">
        <x:v>2</x:v>
      </x:c>
      <x:c r="M644" s="35" t="n">
        <x:v>4</x:v>
      </x:c>
      <x:c r="N644" s="35" t="str">
        <x:v>No</x:v>
      </x:c>
      <x:c r="O644" s="35" t="n">
        <x:v>3</x:v>
      </x:c>
      <x:c r="P644" s="35" t="n">
        <x:v>2</x:v>
      </x:c>
      <x:c r="Q644" s="35" t="n">
        <x:v>1</x:v>
      </x:c>
      <x:c r="R644" s="35" t="n">
        <x:v>2</x:v>
      </x:c>
      <x:c r="S644" s="35" t="n">
        <x:v>3</x:v>
      </x:c>
      <x:c r="T644" s="35" t="n">
        <x:v>3</x:v>
      </x:c>
      <x:c r="U644" s="35" t="n">
        <x:v>1</x:v>
      </x:c>
      <x:c r="V644" s="35" t="n">
        <x:v>11</x:v>
      </x:c>
      <x:c r="W644" s="35" t="n">
        <x:v>0</x:v>
      </x:c>
      <x:c r="X644" s="35" t="n">
        <x:v>72</x:v>
      </x:c>
      <x:c r="Y644" s="35" t="n">
        <x:v>4</x:v>
      </x:c>
      <x:c r="Z644" s="35" t="n">
        <x:v>79</x:v>
      </x:c>
      <x:c r="AA644" s="35" t="n">
        <x:v>9</x:v>
      </x:c>
      <x:c r="AB644" s="35" t="n">
        <x:v>6</x:v>
      </x:c>
      <x:c r="AC644" s="35" t="n">
        <x:v>4</x:v>
      </x:c>
      <x:c r="AD644" s="35" t="n">
        <x:v>100</x:v>
      </x:c>
      <x:c r="AE644" s="35" t="n">
        <x:v>90</x:v>
      </x:c>
      <x:c r="AF644" s="35" t="n">
        <x:v>73</x:v>
      </x:c>
      <x:c r="AG644" s="35" t="n">
        <x:v>83</x:v>
      </x:c>
      <x:c r="AH644" s="35" t="n">
        <x:v>8</x:v>
      </x:c>
      <x:c r="AI644" s="37" t="n">
        <x:v>100</x:v>
      </x:c>
      <x:c r="AJ644" s="37" t="n">
        <x:v>94.1</x:v>
      </x:c>
      <x:c r="AK644" s="35" t="str">
        <x:v>No</x:v>
      </x:c>
      <x:c r="AL644" s="38" t="n">
        <x:f>IF(AA644=0,0,AB644/AA644)</x:f>
        <x:v>0.6666666666666666</x:v>
      </x:c>
      <x:c r="AM644" s="38" t="n">
        <x:f>IF(AB644=0,0,AC644/AB644)</x:f>
        <x:v>0.6666666666666666</x:v>
      </x:c>
      <x:c r="AN644" s="37" t="n">
        <x:f>ROUND((AD644*0.20+AE644*0.20+AF644*0.25+AG644*0.15+MIN(100,AC644*12)*0.20),1)</x:f>
        <x:v>78.3</x:v>
      </x:c>
      <x:c r="AO644" s="37" t="n">
        <x:f>ROUND(MAX(0,MIN(100,(X644*0.35)+(W644/45*100*0.20)+((5-O644)/4*100*0.15)+((5-P644)/4*100*0.10)+((6-Y644)/5*100*0.10)+((100-Z644)*0.10))),1)</x:f>
        <x:v>46.3</x:v>
      </x:c>
      <x:c r="AP644" s="37" t="str">
        <x:f>IF(AO644&gt;=70,"High",IF(AO644&gt;=40,"Moderate","Low"))</x:f>
        <x:v>Moderate</x:v>
      </x:c>
      <x:c r="AQ644" s="37" t="n">
        <x:f>ROUND(MAX(0,MIN(100,(O644/4*100*0.25)+(P644/4*100*0.20)+(Q644/4*100*0.15)+(Y644/5*100*0.20)+(100-AO644)*0.20)),1)</x:f>
        <x:v>59.2</x:v>
      </x:c>
      <x:c r="AR644" s="37" t="n">
        <x:f>ROUND((AI644*0.20+AJ644*0.15+AN644*0.18+AG644*0.12+Z644*0.15+AQ644*0.20),1)</x:f>
        <x:v>81.9</x:v>
      </x:c>
      <x:c r="AS644" s="39" t="n">
        <x:f>ROUND((AC644*AF644*120)+(AH644*350)+(MAX(0,AI644-75)*220)+(MAX(0,AQ644-60)*100),0)</x:f>
        <x:v>43340</x:v>
      </x:c>
    </x:row>
    <x:row r="645">
      <x:c r="A645" s="35" t="n">
        <x:v>644</x:v>
      </x:c>
      <x:c r="B645" s="35" t="n">
        <x:v>43</x:v>
      </x:c>
      <x:c r="C645" s="35" t="str">
        <x:v>Female</x:v>
      </x:c>
      <x:c r="D645" s="35" t="str">
        <x:v>Information Technology</x:v>
      </x:c>
      <x:c r="E645" s="35" t="str">
        <x:v>IT Support</x:v>
      </x:c>
      <x:c r="F645" s="35" t="str">
        <x:v>Computer Science</x:v>
      </x:c>
      <x:c r="G645" s="35" t="str">
        <x:v>Single</x:v>
      </x:c>
      <x:c r="H645" s="35" t="n">
        <x:v>2</x:v>
      </x:c>
      <x:c r="I645" s="36" t="n">
        <x:v>7780</x:v>
      </x:c>
      <x:c r="J645" s="35" t="n">
        <x:v>17</x:v>
      </x:c>
      <x:c r="K645" s="35" t="n">
        <x:v>11</x:v>
      </x:c>
      <x:c r="L645" s="35" t="n">
        <x:v>7</x:v>
      </x:c>
      <x:c r="M645" s="35" t="n">
        <x:v>7</x:v>
      </x:c>
      <x:c r="N645" s="35" t="str">
        <x:v>No</x:v>
      </x:c>
      <x:c r="O645" s="35" t="n">
        <x:v>3</x:v>
      </x:c>
      <x:c r="P645" s="35" t="n">
        <x:v>2</x:v>
      </x:c>
      <x:c r="Q645" s="35" t="n">
        <x:v>3</x:v>
      </x:c>
      <x:c r="R645" s="35" t="n">
        <x:v>4</x:v>
      </x:c>
      <x:c r="S645" s="35" t="n">
        <x:v>3</x:v>
      </x:c>
      <x:c r="T645" s="35" t="n">
        <x:v>1</x:v>
      </x:c>
      <x:c r="U645" s="35" t="n">
        <x:v>1</x:v>
      </x:c>
      <x:c r="V645" s="35" t="n">
        <x:v>9</x:v>
      </x:c>
      <x:c r="W645" s="35" t="n">
        <x:v>2</x:v>
      </x:c>
      <x:c r="X645" s="35" t="n">
        <x:v>75</x:v>
      </x:c>
      <x:c r="Y645" s="35" t="n">
        <x:v>3</x:v>
      </x:c>
      <x:c r="Z645" s="35" t="n">
        <x:v>100</x:v>
      </x:c>
      <x:c r="AA645" s="35" t="n">
        <x:v>5</x:v>
      </x:c>
      <x:c r="AB645" s="35" t="n">
        <x:v>3</x:v>
      </x:c>
      <x:c r="AC645" s="35" t="n">
        <x:v>1</x:v>
      </x:c>
      <x:c r="AD645" s="35" t="n">
        <x:v>73</x:v>
      </x:c>
      <x:c r="AE645" s="35" t="n">
        <x:v>74</x:v>
      </x:c>
      <x:c r="AF645" s="35" t="n">
        <x:v>66</x:v>
      </x:c>
      <x:c r="AG645" s="35" t="n">
        <x:v>95</x:v>
      </x:c>
      <x:c r="AH645" s="35" t="n">
        <x:v>8</x:v>
      </x:c>
      <x:c r="AI645" s="37" t="n">
        <x:v>100</x:v>
      </x:c>
      <x:c r="AJ645" s="37" t="n">
        <x:v>86.8</x:v>
      </x:c>
      <x:c r="AK645" s="35" t="str">
        <x:v>No</x:v>
      </x:c>
      <x:c r="AL645" s="38" t="n">
        <x:f>IF(AA645=0,0,AB645/AA645)</x:f>
        <x:v>0.6</x:v>
      </x:c>
      <x:c r="AM645" s="38" t="n">
        <x:f>IF(AB645=0,0,AC645/AB645)</x:f>
        <x:v>0.3333333333333333</x:v>
      </x:c>
      <x:c r="AN645" s="37" t="n">
        <x:f>ROUND((AD645*0.20+AE645*0.20+AF645*0.25+AG645*0.15+MIN(100,AC645*12)*0.20),1)</x:f>
        <x:v>62.6</x:v>
      </x:c>
      <x:c r="AO645" s="37" t="n">
        <x:f>ROUND(MAX(0,MIN(100,(X645*0.35)+(W645/45*100*0.20)+((5-O645)/4*100*0.15)+((5-P645)/4*100*0.10)+((6-Y645)/5*100*0.10)+((100-Z645)*0.10))),1)</x:f>
        <x:v>48.1</x:v>
      </x:c>
      <x:c r="AP645" s="37" t="str">
        <x:f>IF(AO645&gt;=70,"High",IF(AO645&gt;=40,"Moderate","Low"))</x:f>
        <x:v>Moderate</x:v>
      </x:c>
      <x:c r="AQ645" s="37" t="n">
        <x:f>ROUND(MAX(0,MIN(100,(O645/4*100*0.25)+(P645/4*100*0.20)+(Q645/4*100*0.15)+(Y645/5*100*0.20)+(100-AO645)*0.20)),1)</x:f>
        <x:v>62.4</x:v>
      </x:c>
      <x:c r="AR645" s="37" t="n">
        <x:f>ROUND((AI645*0.20+AJ645*0.15+AN645*0.18+AG645*0.12+Z645*0.15+AQ645*0.20),1)</x:f>
        <x:v>83.2</x:v>
      </x:c>
      <x:c r="AS645" s="39" t="n">
        <x:f>ROUND((AC645*AF645*120)+(AH645*350)+(MAX(0,AI645-75)*220)+(MAX(0,AQ645-60)*100),0)</x:f>
        <x:v>16460</x:v>
      </x:c>
    </x:row>
    <x:row r="646">
      <x:c r="A646" s="35" t="n">
        <x:v>645</x:v>
      </x:c>
      <x:c r="B646" s="35" t="n">
        <x:v>32</x:v>
      </x:c>
      <x:c r="C646" s="35" t="str">
        <x:v>Female</x:v>
      </x:c>
      <x:c r="D646" s="35" t="str">
        <x:v>Research &amp; Development</x:v>
      </x:c>
      <x:c r="E646" s="35" t="str">
        <x:v>Research Scientist</x:v>
      </x:c>
      <x:c r="F646" s="35" t="str">
        <x:v>Business</x:v>
      </x:c>
      <x:c r="G646" s="35" t="str">
        <x:v>Married</x:v>
      </x:c>
      <x:c r="H646" s="35" t="n">
        <x:v>2</x:v>
      </x:c>
      <x:c r="I646" s="36" t="n">
        <x:v>6310</x:v>
      </x:c>
      <x:c r="J646" s="35" t="n">
        <x:v>6</x:v>
      </x:c>
      <x:c r="K646" s="35" t="n">
        <x:v>2</x:v>
      </x:c>
      <x:c r="L646" s="35" t="n">
        <x:v>1</x:v>
      </x:c>
      <x:c r="M646" s="35" t="n">
        <x:v>6</x:v>
      </x:c>
      <x:c r="N646" s="35" t="str">
        <x:v>No</x:v>
      </x:c>
      <x:c r="O646" s="35" t="n">
        <x:v>2</x:v>
      </x:c>
      <x:c r="P646" s="35" t="n">
        <x:v>4</x:v>
      </x:c>
      <x:c r="Q646" s="35" t="n">
        <x:v>3</x:v>
      </x:c>
      <x:c r="R646" s="35" t="n">
        <x:v>3</x:v>
      </x:c>
      <x:c r="S646" s="35" t="n">
        <x:v>3</x:v>
      </x:c>
      <x:c r="T646" s="35" t="n">
        <x:v>3</x:v>
      </x:c>
      <x:c r="U646" s="35" t="n">
        <x:v>2</x:v>
      </x:c>
      <x:c r="V646" s="35" t="n">
        <x:v>3</x:v>
      </x:c>
      <x:c r="W646" s="35" t="n">
        <x:v>9</x:v>
      </x:c>
      <x:c r="X646" s="35" t="n">
        <x:v>73</x:v>
      </x:c>
      <x:c r="Y646" s="35" t="n">
        <x:v>5</x:v>
      </x:c>
      <x:c r="Z646" s="35" t="n">
        <x:v>100</x:v>
      </x:c>
      <x:c r="AA646" s="35" t="n">
        <x:v>4</x:v>
      </x:c>
      <x:c r="AB646" s="35" t="n">
        <x:v>2</x:v>
      </x:c>
      <x:c r="AC646" s="35" t="n">
        <x:v>1</x:v>
      </x:c>
      <x:c r="AD646" s="35" t="n">
        <x:v>72</x:v>
      </x:c>
      <x:c r="AE646" s="35" t="n">
        <x:v>74</x:v>
      </x:c>
      <x:c r="AF646" s="35" t="n">
        <x:v>48</x:v>
      </x:c>
      <x:c r="AG646" s="35" t="n">
        <x:v>85</x:v>
      </x:c>
      <x:c r="AH646" s="35" t="n">
        <x:v>3</x:v>
      </x:c>
      <x:c r="AI646" s="37" t="n">
        <x:v>95.1</x:v>
      </x:c>
      <x:c r="AJ646" s="37" t="n">
        <x:v>99.5</x:v>
      </x:c>
      <x:c r="AK646" s="35" t="str">
        <x:v>No</x:v>
      </x:c>
      <x:c r="AL646" s="38" t="n">
        <x:f>IF(AA646=0,0,AB646/AA646)</x:f>
        <x:v>0.5</x:v>
      </x:c>
      <x:c r="AM646" s="38" t="n">
        <x:f>IF(AB646=0,0,AC646/AB646)</x:f>
        <x:v>0.5</x:v>
      </x:c>
      <x:c r="AN646" s="37" t="n">
        <x:f>ROUND((AD646*0.20+AE646*0.20+AF646*0.25+AG646*0.15+MIN(100,AC646*12)*0.20),1)</x:f>
        <x:v>56.4</x:v>
      </x:c>
      <x:c r="AO646" s="37" t="n">
        <x:f>ROUND(MAX(0,MIN(100,(X646*0.35)+(W646/45*100*0.20)+((5-O646)/4*100*0.15)+((5-P646)/4*100*0.10)+((6-Y646)/5*100*0.10)+((100-Z646)*0.10))),1)</x:f>
        <x:v>45.3</x:v>
      </x:c>
      <x:c r="AP646" s="37" t="str">
        <x:f>IF(AO646&gt;=70,"High",IF(AO646&gt;=40,"Moderate","Low"))</x:f>
        <x:v>Moderate</x:v>
      </x:c>
      <x:c r="AQ646" s="37" t="n">
        <x:f>ROUND(MAX(0,MIN(100,(O646/4*100*0.25)+(P646/4*100*0.20)+(Q646/4*100*0.15)+(Y646/5*100*0.20)+(100-AO646)*0.20)),1)</x:f>
        <x:v>74.7</x:v>
      </x:c>
      <x:c r="AR646" s="37" t="n">
        <x:f>ROUND((AI646*0.20+AJ646*0.15+AN646*0.18+AG646*0.12+Z646*0.15+AQ646*0.20),1)</x:f>
        <x:v>84.2</x:v>
      </x:c>
      <x:c r="AS646" s="39" t="n">
        <x:f>ROUND((AC646*AF646*120)+(AH646*350)+(MAX(0,AI646-75)*220)+(MAX(0,AQ646-60)*100),0)</x:f>
        <x:v>12702</x:v>
      </x:c>
    </x:row>
    <x:row r="647">
      <x:c r="A647" s="35" t="n">
        <x:v>646</x:v>
      </x:c>
      <x:c r="B647" s="35" t="n">
        <x:v>29</x:v>
      </x:c>
      <x:c r="C647" s="35" t="str">
        <x:v>Male</x:v>
      </x:c>
      <x:c r="D647" s="35" t="str">
        <x:v>Sales</x:v>
      </x:c>
      <x:c r="E647" s="35" t="str">
        <x:v>Account Manager</x:v>
      </x:c>
      <x:c r="F647" s="35" t="str">
        <x:v>Computer Science</x:v>
      </x:c>
      <x:c r="G647" s="35" t="str">
        <x:v>Divorced</x:v>
      </x:c>
      <x:c r="H647" s="35" t="n">
        <x:v>1</x:v>
      </x:c>
      <x:c r="I647" s="36" t="n">
        <x:v>6830</x:v>
      </x:c>
      <x:c r="J647" s="35" t="n">
        <x:v>5</x:v>
      </x:c>
      <x:c r="K647" s="35" t="n">
        <x:v>4</x:v>
      </x:c>
      <x:c r="L647" s="35" t="n">
        <x:v>3</x:v>
      </x:c>
      <x:c r="M647" s="35" t="n">
        <x:v>21</x:v>
      </x:c>
      <x:c r="N647" s="35" t="str">
        <x:v>No</x:v>
      </x:c>
      <x:c r="O647" s="35" t="n">
        <x:v>2</x:v>
      </x:c>
      <x:c r="P647" s="35" t="n">
        <x:v>4</x:v>
      </x:c>
      <x:c r="Q647" s="35" t="n">
        <x:v>3</x:v>
      </x:c>
      <x:c r="R647" s="35" t="n">
        <x:v>3</x:v>
      </x:c>
      <x:c r="S647" s="35" t="n">
        <x:v>4</x:v>
      </x:c>
      <x:c r="T647" s="35" t="n">
        <x:v>3</x:v>
      </x:c>
      <x:c r="U647" s="35" t="n">
        <x:v>0</x:v>
      </x:c>
      <x:c r="V647" s="35" t="n">
        <x:v>3</x:v>
      </x:c>
      <x:c r="W647" s="35" t="n">
        <x:v>13</x:v>
      </x:c>
      <x:c r="X647" s="35" t="n">
        <x:v>56</x:v>
      </x:c>
      <x:c r="Y647" s="35" t="n">
        <x:v>5</x:v>
      </x:c>
      <x:c r="Z647" s="35" t="n">
        <x:v>100</x:v>
      </x:c>
      <x:c r="AA647" s="35" t="n">
        <x:v>5</x:v>
      </x:c>
      <x:c r="AB647" s="35" t="n">
        <x:v>3</x:v>
      </x:c>
      <x:c r="AC647" s="35" t="n">
        <x:v>2</x:v>
      </x:c>
      <x:c r="AD647" s="35" t="n">
        <x:v>77</x:v>
      </x:c>
      <x:c r="AE647" s="35" t="n">
        <x:v>78</x:v>
      </x:c>
      <x:c r="AF647" s="35" t="n">
        <x:v>78</x:v>
      </x:c>
      <x:c r="AG647" s="35" t="n">
        <x:v>89</x:v>
      </x:c>
      <x:c r="AH647" s="35" t="n">
        <x:v>8</x:v>
      </x:c>
      <x:c r="AI647" s="37" t="n">
        <x:v>100</x:v>
      </x:c>
      <x:c r="AJ647" s="37" t="n">
        <x:v>93</x:v>
      </x:c>
      <x:c r="AK647" s="35" t="str">
        <x:v>No</x:v>
      </x:c>
      <x:c r="AL647" s="38" t="n">
        <x:f>IF(AA647=0,0,AB647/AA647)</x:f>
        <x:v>0.6</x:v>
      </x:c>
      <x:c r="AM647" s="38" t="n">
        <x:f>IF(AB647=0,0,AC647/AB647)</x:f>
        <x:v>0.6666666666666666</x:v>
      </x:c>
      <x:c r="AN647" s="37" t="n">
        <x:f>ROUND((AD647*0.20+AE647*0.20+AF647*0.25+AG647*0.15+MIN(100,AC647*12)*0.20),1)</x:f>
        <x:v>68.7</x:v>
      </x:c>
      <x:c r="AO647" s="37" t="n">
        <x:f>ROUND(MAX(0,MIN(100,(X647*0.35)+(W647/45*100*0.20)+((5-O647)/4*100*0.15)+((5-P647)/4*100*0.10)+((6-Y647)/5*100*0.10)+((100-Z647)*0.10))),1)</x:f>
        <x:v>41.1</x:v>
      </x:c>
      <x:c r="AP647" s="37" t="str">
        <x:f>IF(AO647&gt;=70,"High",IF(AO647&gt;=40,"Moderate","Low"))</x:f>
        <x:v>Moderate</x:v>
      </x:c>
      <x:c r="AQ647" s="37" t="n">
        <x:f>ROUND(MAX(0,MIN(100,(O647/4*100*0.25)+(P647/4*100*0.20)+(Q647/4*100*0.15)+(Y647/5*100*0.20)+(100-AO647)*0.20)),1)</x:f>
        <x:v>75.5</x:v>
      </x:c>
      <x:c r="AR647" s="37" t="n">
        <x:f>ROUND((AI647*0.20+AJ647*0.15+AN647*0.18+AG647*0.12+Z647*0.15+AQ647*0.20),1)</x:f>
        <x:v>87.1</x:v>
      </x:c>
      <x:c r="AS647" s="39" t="n">
        <x:f>ROUND((AC647*AF647*120)+(AH647*350)+(MAX(0,AI647-75)*220)+(MAX(0,AQ647-60)*100),0)</x:f>
        <x:v>28570</x:v>
      </x:c>
    </x:row>
    <x:row r="648">
      <x:c r="A648" s="35" t="n">
        <x:v>647</x:v>
      </x:c>
      <x:c r="B648" s="35" t="n">
        <x:v>46</x:v>
      </x:c>
      <x:c r="C648" s="35" t="str">
        <x:v>Female</x:v>
      </x:c>
      <x:c r="D648" s="35" t="str">
        <x:v>Sales</x:v>
      </x:c>
      <x:c r="E648" s="35" t="str">
        <x:v>Sales Representative</x:v>
      </x:c>
      <x:c r="F648" s="35" t="str">
        <x:v>Marketing</x:v>
      </x:c>
      <x:c r="G648" s="35" t="str">
        <x:v>Married</x:v>
      </x:c>
      <x:c r="H648" s="35" t="n">
        <x:v>3</x:v>
      </x:c>
      <x:c r="I648" s="36" t="n">
        <x:v>12280</x:v>
      </x:c>
      <x:c r="J648" s="35" t="n">
        <x:v>21</x:v>
      </x:c>
      <x:c r="K648" s="35" t="n">
        <x:v>12</x:v>
      </x:c>
      <x:c r="L648" s="35" t="n">
        <x:v>5</x:v>
      </x:c>
      <x:c r="M648" s="35" t="n">
        <x:v>2</x:v>
      </x:c>
      <x:c r="N648" s="35" t="str">
        <x:v>No</x:v>
      </x:c>
      <x:c r="O648" s="35" t="n">
        <x:v>2</x:v>
      </x:c>
      <x:c r="P648" s="35" t="n">
        <x:v>2</x:v>
      </x:c>
      <x:c r="Q648" s="35" t="n">
        <x:v>3</x:v>
      </x:c>
      <x:c r="R648" s="35" t="n">
        <x:v>3</x:v>
      </x:c>
      <x:c r="S648" s="35" t="n">
        <x:v>3</x:v>
      </x:c>
      <x:c r="T648" s="35" t="n">
        <x:v>4</x:v>
      </x:c>
      <x:c r="U648" s="35" t="n">
        <x:v>1</x:v>
      </x:c>
      <x:c r="V648" s="35" t="n">
        <x:v>6</x:v>
      </x:c>
      <x:c r="W648" s="35" t="n">
        <x:v>11</x:v>
      </x:c>
      <x:c r="X648" s="35" t="n">
        <x:v>91</x:v>
      </x:c>
      <x:c r="Y648" s="35" t="n">
        <x:v>4</x:v>
      </x:c>
      <x:c r="Z648" s="35" t="n">
        <x:v>91</x:v>
      </x:c>
      <x:c r="AA648" s="35" t="n">
        <x:v>4</x:v>
      </x:c>
      <x:c r="AB648" s="35" t="n">
        <x:v>3</x:v>
      </x:c>
      <x:c r="AC648" s="35" t="n">
        <x:v>3</x:v>
      </x:c>
      <x:c r="AD648" s="35" t="n">
        <x:v>65</x:v>
      </x:c>
      <x:c r="AE648" s="35" t="n">
        <x:v>84</x:v>
      </x:c>
      <x:c r="AF648" s="35" t="n">
        <x:v>96</x:v>
      </x:c>
      <x:c r="AG648" s="35" t="n">
        <x:v>100</x:v>
      </x:c>
      <x:c r="AH648" s="35" t="n">
        <x:v>9</x:v>
      </x:c>
      <x:c r="AI648" s="37" t="n">
        <x:v>99.3</x:v>
      </x:c>
      <x:c r="AJ648" s="37" t="n">
        <x:v>98.6</x:v>
      </x:c>
      <x:c r="AK648" s="35" t="str">
        <x:v>No</x:v>
      </x:c>
      <x:c r="AL648" s="38" t="n">
        <x:f>IF(AA648=0,0,AB648/AA648)</x:f>
        <x:v>0.75</x:v>
      </x:c>
      <x:c r="AM648" s="38" t="n">
        <x:f>IF(AB648=0,0,AC648/AB648)</x:f>
        <x:v>1</x:v>
      </x:c>
      <x:c r="AN648" s="37" t="n">
        <x:f>ROUND((AD648*0.20+AE648*0.20+AF648*0.25+AG648*0.15+MIN(100,AC648*12)*0.20),1)</x:f>
        <x:v>76</x:v>
      </x:c>
      <x:c r="AO648" s="37" t="n">
        <x:f>ROUND(MAX(0,MIN(100,(X648*0.35)+(W648/45*100*0.20)+((5-O648)/4*100*0.15)+((5-P648)/4*100*0.10)+((6-Y648)/5*100*0.10)+((100-Z648)*0.10))),1)</x:f>
        <x:v>60.4</x:v>
      </x:c>
      <x:c r="AP648" s="37" t="str">
        <x:f>IF(AO648&gt;=70,"High",IF(AO648&gt;=40,"Moderate","Low"))</x:f>
        <x:v>Moderate</x:v>
      </x:c>
      <x:c r="AQ648" s="37" t="n">
        <x:f>ROUND(MAX(0,MIN(100,(O648/4*100*0.25)+(P648/4*100*0.20)+(Q648/4*100*0.15)+(Y648/5*100*0.20)+(100-AO648)*0.20)),1)</x:f>
        <x:v>57.7</x:v>
      </x:c>
      <x:c r="AR648" s="37" t="n">
        <x:f>ROUND((AI648*0.20+AJ648*0.15+AN648*0.18+AG648*0.12+Z648*0.15+AQ648*0.20),1)</x:f>
        <x:v>85.5</x:v>
      </x:c>
      <x:c r="AS648" s="39" t="n">
        <x:f>ROUND((AC648*AF648*120)+(AH648*350)+(MAX(0,AI648-75)*220)+(MAX(0,AQ648-60)*100),0)</x:f>
        <x:v>43056</x:v>
      </x:c>
    </x:row>
    <x:row r="649">
      <x:c r="A649" s="35" t="n">
        <x:v>648</x:v>
      </x:c>
      <x:c r="B649" s="35" t="n">
        <x:v>50</x:v>
      </x:c>
      <x:c r="C649" s="35" t="str">
        <x:v>Female</x:v>
      </x:c>
      <x:c r="D649" s="35" t="str">
        <x:v>Operations</x:v>
      </x:c>
      <x:c r="E649" s="35" t="str">
        <x:v>Quality Specialist</x:v>
      </x:c>
      <x:c r="F649" s="35" t="str">
        <x:v>Human Resources</x:v>
      </x:c>
      <x:c r="G649" s="35" t="str">
        <x:v>Married</x:v>
      </x:c>
      <x:c r="H649" s="35" t="n">
        <x:v>4</x:v>
      </x:c>
      <x:c r="I649" s="36" t="n">
        <x:v>18890</x:v>
      </x:c>
      <x:c r="J649" s="35" t="n">
        <x:v>25</x:v>
      </x:c>
      <x:c r="K649" s="35" t="n">
        <x:v>19</x:v>
      </x:c>
      <x:c r="L649" s="35" t="n">
        <x:v>13</x:v>
      </x:c>
      <x:c r="M649" s="35" t="n">
        <x:v>8</x:v>
      </x:c>
      <x:c r="N649" s="35" t="str">
        <x:v>No</x:v>
      </x:c>
      <x:c r="O649" s="35" t="n">
        <x:v>2</x:v>
      </x:c>
      <x:c r="P649" s="35" t="n">
        <x:v>3</x:v>
      </x:c>
      <x:c r="Q649" s="35" t="n">
        <x:v>3</x:v>
      </x:c>
      <x:c r="R649" s="35" t="n">
        <x:v>4</x:v>
      </x:c>
      <x:c r="S649" s="35" t="n">
        <x:v>3</x:v>
      </x:c>
      <x:c r="T649" s="35" t="n">
        <x:v>3</x:v>
      </x:c>
      <x:c r="U649" s="35" t="n">
        <x:v>3</x:v>
      </x:c>
      <x:c r="V649" s="35" t="n">
        <x:v>6</x:v>
      </x:c>
      <x:c r="W649" s="35" t="n">
        <x:v>3</x:v>
      </x:c>
      <x:c r="X649" s="35" t="n">
        <x:v>66</x:v>
      </x:c>
      <x:c r="Y649" s="35" t="n">
        <x:v>3</x:v>
      </x:c>
      <x:c r="Z649" s="35" t="n">
        <x:v>100</x:v>
      </x:c>
      <x:c r="AA649" s="35" t="n">
        <x:v>3</x:v>
      </x:c>
      <x:c r="AB649" s="35" t="n">
        <x:v>3</x:v>
      </x:c>
      <x:c r="AC649" s="35" t="n">
        <x:v>3</x:v>
      </x:c>
      <x:c r="AD649" s="35" t="n">
        <x:v>77</x:v>
      </x:c>
      <x:c r="AE649" s="35" t="n">
        <x:v>95</x:v>
      </x:c>
      <x:c r="AF649" s="35" t="n">
        <x:v>100</x:v>
      </x:c>
      <x:c r="AG649" s="35" t="n">
        <x:v>88</x:v>
      </x:c>
      <x:c r="AH649" s="35" t="n">
        <x:v>8</x:v>
      </x:c>
      <x:c r="AI649" s="37" t="n">
        <x:v>98.1</x:v>
      </x:c>
      <x:c r="AJ649" s="37" t="n">
        <x:v>96.9</x:v>
      </x:c>
      <x:c r="AK649" s="35" t="str">
        <x:v>No</x:v>
      </x:c>
      <x:c r="AL649" s="38" t="n">
        <x:f>IF(AA649=0,0,AB649/AA649)</x:f>
        <x:v>1</x:v>
      </x:c>
      <x:c r="AM649" s="38" t="n">
        <x:f>IF(AB649=0,0,AC649/AB649)</x:f>
        <x:v>1</x:v>
      </x:c>
      <x:c r="AN649" s="37" t="n">
        <x:f>ROUND((AD649*0.20+AE649*0.20+AF649*0.25+AG649*0.15+MIN(100,AC649*12)*0.20),1)</x:f>
        <x:v>79.8</x:v>
      </x:c>
      <x:c r="AO649" s="37" t="n">
        <x:f>ROUND(MAX(0,MIN(100,(X649*0.35)+(W649/45*100*0.20)+((5-O649)/4*100*0.15)+((5-P649)/4*100*0.10)+((6-Y649)/5*100*0.10)+((100-Z649)*0.10))),1)</x:f>
        <x:v>46.7</x:v>
      </x:c>
      <x:c r="AP649" s="37" t="str">
        <x:f>IF(AO649&gt;=70,"High",IF(AO649&gt;=40,"Moderate","Low"))</x:f>
        <x:v>Moderate</x:v>
      </x:c>
      <x:c r="AQ649" s="37" t="n">
        <x:f>ROUND(MAX(0,MIN(100,(O649/4*100*0.25)+(P649/4*100*0.20)+(Q649/4*100*0.15)+(Y649/5*100*0.20)+(100-AO649)*0.20)),1)</x:f>
        <x:v>61.4</x:v>
      </x:c>
      <x:c r="AR649" s="37" t="n">
        <x:f>ROUND((AI649*0.20+AJ649*0.15+AN649*0.18+AG649*0.12+Z649*0.15+AQ649*0.20),1)</x:f>
        <x:v>86.4</x:v>
      </x:c>
      <x:c r="AS649" s="39" t="n">
        <x:f>ROUND((AC649*AF649*120)+(AH649*350)+(MAX(0,AI649-75)*220)+(MAX(0,AQ649-60)*100),0)</x:f>
        <x:v>44022</x:v>
      </x:c>
    </x:row>
    <x:row r="650">
      <x:c r="A650" s="35" t="n">
        <x:v>649</x:v>
      </x:c>
      <x:c r="B650" s="35" t="n">
        <x:v>42</x:v>
      </x:c>
      <x:c r="C650" s="35" t="str">
        <x:v>Male</x:v>
      </x:c>
      <x:c r="D650" s="35" t="str">
        <x:v>Sales</x:v>
      </x:c>
      <x:c r="E650" s="35" t="str">
        <x:v>Sales Representative</x:v>
      </x:c>
      <x:c r="F650" s="35" t="str">
        <x:v>Technical Degree</x:v>
      </x:c>
      <x:c r="G650" s="35" t="str">
        <x:v>Married</x:v>
      </x:c>
      <x:c r="H650" s="35" t="n">
        <x:v>3</x:v>
      </x:c>
      <x:c r="I650" s="36" t="n">
        <x:v>11810</x:v>
      </x:c>
      <x:c r="J650" s="35" t="n">
        <x:v>12</x:v>
      </x:c>
      <x:c r="K650" s="35" t="n">
        <x:v>5</x:v>
      </x:c>
      <x:c r="L650" s="35" t="n">
        <x:v>3</x:v>
      </x:c>
      <x:c r="M650" s="35" t="n">
        <x:v>3</x:v>
      </x:c>
      <x:c r="N650" s="35" t="str">
        <x:v>No</x:v>
      </x:c>
      <x:c r="O650" s="35" t="n">
        <x:v>4</x:v>
      </x:c>
      <x:c r="P650" s="35" t="n">
        <x:v>4</x:v>
      </x:c>
      <x:c r="Q650" s="35" t="n">
        <x:v>3</x:v>
      </x:c>
      <x:c r="R650" s="35" t="n">
        <x:v>3</x:v>
      </x:c>
      <x:c r="S650" s="35" t="n">
        <x:v>4</x:v>
      </x:c>
      <x:c r="T650" s="35" t="n">
        <x:v>1</x:v>
      </x:c>
      <x:c r="U650" s="35" t="n">
        <x:v>0</x:v>
      </x:c>
      <x:c r="V650" s="35" t="n">
        <x:v>11</x:v>
      </x:c>
      <x:c r="W650" s="35" t="n">
        <x:v>3</x:v>
      </x:c>
      <x:c r="X650" s="35" t="n">
        <x:v>62</x:v>
      </x:c>
      <x:c r="Y650" s="35" t="n">
        <x:v>5</x:v>
      </x:c>
      <x:c r="Z650" s="35" t="n">
        <x:v>100</x:v>
      </x:c>
      <x:c r="AA650" s="35" t="n">
        <x:v>6</x:v>
      </x:c>
      <x:c r="AB650" s="35" t="n">
        <x:v>5</x:v>
      </x:c>
      <x:c r="AC650" s="35" t="n">
        <x:v>2</x:v>
      </x:c>
      <x:c r="AD650" s="35" t="n">
        <x:v>78</x:v>
      </x:c>
      <x:c r="AE650" s="35" t="n">
        <x:v>77</x:v>
      </x:c>
      <x:c r="AF650" s="35" t="n">
        <x:v>87</x:v>
      </x:c>
      <x:c r="AG650" s="35" t="n">
        <x:v>97</x:v>
      </x:c>
      <x:c r="AH650" s="35" t="n">
        <x:v>9</x:v>
      </x:c>
      <x:c r="AI650" s="37" t="n">
        <x:v>100</x:v>
      </x:c>
      <x:c r="AJ650" s="37" t="n">
        <x:v>95.7</x:v>
      </x:c>
      <x:c r="AK650" s="35" t="str">
        <x:v>Yes</x:v>
      </x:c>
      <x:c r="AL650" s="38" t="n">
        <x:f>IF(AA650=0,0,AB650/AA650)</x:f>
        <x:v>0.8333333333333334</x:v>
      </x:c>
      <x:c r="AM650" s="38" t="n">
        <x:f>IF(AB650=0,0,AC650/AB650)</x:f>
        <x:v>0.4</x:v>
      </x:c>
      <x:c r="AN650" s="37" t="n">
        <x:f>ROUND((AD650*0.20+AE650*0.20+AF650*0.25+AG650*0.15+MIN(100,AC650*12)*0.20),1)</x:f>
        <x:v>72.1</x:v>
      </x:c>
      <x:c r="AO650" s="37" t="n">
        <x:f>ROUND(MAX(0,MIN(100,(X650*0.35)+(W650/45*100*0.20)+((5-O650)/4*100*0.15)+((5-P650)/4*100*0.10)+((6-Y650)/5*100*0.10)+((100-Z650)*0.10))),1)</x:f>
        <x:v>31.3</x:v>
      </x:c>
      <x:c r="AP650" s="37" t="str">
        <x:f>IF(AO650&gt;=70,"High",IF(AO650&gt;=40,"Moderate","Low"))</x:f>
        <x:v>Low</x:v>
      </x:c>
      <x:c r="AQ650" s="37" t="n">
        <x:f>ROUND(MAX(0,MIN(100,(O650/4*100*0.25)+(P650/4*100*0.20)+(Q650/4*100*0.15)+(Y650/5*100*0.20)+(100-AO650)*0.20)),1)</x:f>
        <x:v>90</x:v>
      </x:c>
      <x:c r="AR650" s="37" t="n">
        <x:f>ROUND((AI650*0.20+AJ650*0.15+AN650*0.18+AG650*0.12+Z650*0.15+AQ650*0.20),1)</x:f>
        <x:v>92</x:v>
      </x:c>
      <x:c r="AS650" s="39" t="n">
        <x:f>ROUND((AC650*AF650*120)+(AH650*350)+(MAX(0,AI650-75)*220)+(MAX(0,AQ650-60)*100),0)</x:f>
        <x:v>32530</x:v>
      </x:c>
    </x:row>
    <x:row r="651">
      <x:c r="A651" s="35" t="n">
        <x:v>650</x:v>
      </x:c>
      <x:c r="B651" s="35" t="n">
        <x:v>28</x:v>
      </x:c>
      <x:c r="C651" s="35" t="str">
        <x:v>Male</x:v>
      </x:c>
      <x:c r="D651" s="35" t="str">
        <x:v>Human Resources</x:v>
      </x:c>
      <x:c r="E651" s="35" t="str">
        <x:v>Talent Development Specialist</x:v>
      </x:c>
      <x:c r="F651" s="35" t="str">
        <x:v>Human Resources</x:v>
      </x:c>
      <x:c r="G651" s="35" t="str">
        <x:v>Married</x:v>
      </x:c>
      <x:c r="H651" s="35" t="n">
        <x:v>1</x:v>
      </x:c>
      <x:c r="I651" s="36" t="n">
        <x:v>4520</x:v>
      </x:c>
      <x:c r="J651" s="35" t="n">
        <x:v>5</x:v>
      </x:c>
      <x:c r="K651" s="35" t="n">
        <x:v>2</x:v>
      </x:c>
      <x:c r="L651" s="35" t="n">
        <x:v>1</x:v>
      </x:c>
      <x:c r="M651" s="35" t="n">
        <x:v>8</x:v>
      </x:c>
      <x:c r="N651" s="35" t="str">
        <x:v>No</x:v>
      </x:c>
      <x:c r="O651" s="35" t="n">
        <x:v>2</x:v>
      </x:c>
      <x:c r="P651" s="35" t="n">
        <x:v>2</x:v>
      </x:c>
      <x:c r="Q651" s="35" t="n">
        <x:v>3</x:v>
      </x:c>
      <x:c r="R651" s="35" t="n">
        <x:v>2</x:v>
      </x:c>
      <x:c r="S651" s="35" t="n">
        <x:v>3</x:v>
      </x:c>
      <x:c r="T651" s="35" t="n">
        <x:v>2</x:v>
      </x:c>
      <x:c r="U651" s="35" t="n">
        <x:v>1</x:v>
      </x:c>
      <x:c r="V651" s="35" t="n">
        <x:v>6</x:v>
      </x:c>
      <x:c r="W651" s="35" t="n">
        <x:v>12</x:v>
      </x:c>
      <x:c r="X651" s="35" t="n">
        <x:v>65</x:v>
      </x:c>
      <x:c r="Y651" s="35" t="n">
        <x:v>5</x:v>
      </x:c>
      <x:c r="Z651" s="35" t="n">
        <x:v>85</x:v>
      </x:c>
      <x:c r="AA651" s="35" t="n">
        <x:v>3</x:v>
      </x:c>
      <x:c r="AB651" s="35" t="n">
        <x:v>3</x:v>
      </x:c>
      <x:c r="AC651" s="35" t="n">
        <x:v>2</x:v>
      </x:c>
      <x:c r="AD651" s="35" t="n">
        <x:v>78</x:v>
      </x:c>
      <x:c r="AE651" s="35" t="n">
        <x:v>78</x:v>
      </x:c>
      <x:c r="AF651" s="35" t="n">
        <x:v>69</x:v>
      </x:c>
      <x:c r="AG651" s="35" t="n">
        <x:v>65</x:v>
      </x:c>
      <x:c r="AH651" s="35" t="n">
        <x:v>3</x:v>
      </x:c>
      <x:c r="AI651" s="37" t="n">
        <x:v>100</x:v>
      </x:c>
      <x:c r="AJ651" s="37" t="n">
        <x:v>85.7</x:v>
      </x:c>
      <x:c r="AK651" s="35" t="str">
        <x:v>No</x:v>
      </x:c>
      <x:c r="AL651" s="38" t="n">
        <x:f>IF(AA651=0,0,AB651/AA651)</x:f>
        <x:v>1</x:v>
      </x:c>
      <x:c r="AM651" s="38" t="n">
        <x:f>IF(AB651=0,0,AC651/AB651)</x:f>
        <x:v>0.6666666666666666</x:v>
      </x:c>
      <x:c r="AN651" s="37" t="n">
        <x:f>ROUND((AD651*0.20+AE651*0.20+AF651*0.25+AG651*0.15+MIN(100,AC651*12)*0.20),1)</x:f>
        <x:v>63</x:v>
      </x:c>
      <x:c r="AO651" s="37" t="n">
        <x:f>ROUND(MAX(0,MIN(100,(X651*0.35)+(W651/45*100*0.20)+((5-O651)/4*100*0.15)+((5-P651)/4*100*0.10)+((6-Y651)/5*100*0.10)+((100-Z651)*0.10))),1)</x:f>
        <x:v>50.3</x:v>
      </x:c>
      <x:c r="AP651" s="37" t="str">
        <x:f>IF(AO651&gt;=70,"High",IF(AO651&gt;=40,"Moderate","Low"))</x:f>
        <x:v>Moderate</x:v>
      </x:c>
      <x:c r="AQ651" s="37" t="n">
        <x:f>ROUND(MAX(0,MIN(100,(O651/4*100*0.25)+(P651/4*100*0.20)+(Q651/4*100*0.15)+(Y651/5*100*0.20)+(100-AO651)*0.20)),1)</x:f>
        <x:v>63.7</x:v>
      </x:c>
      <x:c r="AR651" s="37" t="n">
        <x:f>ROUND((AI651*0.20+AJ651*0.15+AN651*0.18+AG651*0.12+Z651*0.15+AQ651*0.20),1)</x:f>
        <x:v>77.5</x:v>
      </x:c>
      <x:c r="AS651" s="39" t="n">
        <x:f>ROUND((AC651*AF651*120)+(AH651*350)+(MAX(0,AI651-75)*220)+(MAX(0,AQ651-60)*100),0)</x:f>
        <x:v>23480</x:v>
      </x:c>
    </x:row>
    <x:row r="652">
      <x:c r="A652" s="35" t="n">
        <x:v>651</x:v>
      </x:c>
      <x:c r="B652" s="35" t="n">
        <x:v>37</x:v>
      </x:c>
      <x:c r="C652" s="35" t="str">
        <x:v>Female</x:v>
      </x:c>
      <x:c r="D652" s="35" t="str">
        <x:v>Finance</x:v>
      </x:c>
      <x:c r="E652" s="35" t="str">
        <x:v>Finance Manager</x:v>
      </x:c>
      <x:c r="F652" s="35" t="str">
        <x:v>Human Resources</x:v>
      </x:c>
      <x:c r="G652" s="35" t="str">
        <x:v>Married</x:v>
      </x:c>
      <x:c r="H652" s="35" t="n">
        <x:v>2</x:v>
      </x:c>
      <x:c r="I652" s="36" t="n">
        <x:v>7150</x:v>
      </x:c>
      <x:c r="J652" s="35" t="n">
        <x:v>14</x:v>
      </x:c>
      <x:c r="K652" s="35" t="n">
        <x:v>4</x:v>
      </x:c>
      <x:c r="L652" s="35" t="n">
        <x:v>2</x:v>
      </x:c>
      <x:c r="M652" s="35" t="n">
        <x:v>1</x:v>
      </x:c>
      <x:c r="N652" s="35" t="str">
        <x:v>No</x:v>
      </x:c>
      <x:c r="O652" s="35" t="n">
        <x:v>3</x:v>
      </x:c>
      <x:c r="P652" s="35" t="n">
        <x:v>3</x:v>
      </x:c>
      <x:c r="Q652" s="35" t="n">
        <x:v>4</x:v>
      </x:c>
      <x:c r="R652" s="35" t="n">
        <x:v>2</x:v>
      </x:c>
      <x:c r="S652" s="35" t="n">
        <x:v>3</x:v>
      </x:c>
      <x:c r="T652" s="35" t="n">
        <x:v>6</x:v>
      </x:c>
      <x:c r="U652" s="35" t="n">
        <x:v>3</x:v>
      </x:c>
      <x:c r="V652" s="35" t="n">
        <x:v>7</x:v>
      </x:c>
      <x:c r="W652" s="35" t="n">
        <x:v>2</x:v>
      </x:c>
      <x:c r="X652" s="35" t="n">
        <x:v>63</x:v>
      </x:c>
      <x:c r="Y652" s="35" t="n">
        <x:v>5</x:v>
      </x:c>
      <x:c r="Z652" s="35" t="n">
        <x:v>95</x:v>
      </x:c>
      <x:c r="AA652" s="35" t="n">
        <x:v>5</x:v>
      </x:c>
      <x:c r="AB652" s="35" t="n">
        <x:v>4</x:v>
      </x:c>
      <x:c r="AC652" s="35" t="n">
        <x:v>3</x:v>
      </x:c>
      <x:c r="AD652" s="35" t="n">
        <x:v>69</x:v>
      </x:c>
      <x:c r="AE652" s="35" t="n">
        <x:v>73</x:v>
      </x:c>
      <x:c r="AF652" s="35" t="n">
        <x:v>74</x:v>
      </x:c>
      <x:c r="AG652" s="35" t="n">
        <x:v>80</x:v>
      </x:c>
      <x:c r="AH652" s="35" t="n">
        <x:v>5</x:v>
      </x:c>
      <x:c r="AI652" s="37" t="n">
        <x:v>88.1</x:v>
      </x:c>
      <x:c r="AJ652" s="37" t="n">
        <x:v>87.2</x:v>
      </x:c>
      <x:c r="AK652" s="35" t="str">
        <x:v>No</x:v>
      </x:c>
      <x:c r="AL652" s="38" t="n">
        <x:f>IF(AA652=0,0,AB652/AA652)</x:f>
        <x:v>0.8</x:v>
      </x:c>
      <x:c r="AM652" s="38" t="n">
        <x:f>IF(AB652=0,0,AC652/AB652)</x:f>
        <x:v>0.75</x:v>
      </x:c>
      <x:c r="AN652" s="37" t="n">
        <x:f>ROUND((AD652*0.20+AE652*0.20+AF652*0.25+AG652*0.15+MIN(100,AC652*12)*0.20),1)</x:f>
        <x:v>66.1</x:v>
      </x:c>
      <x:c r="AO652" s="37" t="n">
        <x:f>ROUND(MAX(0,MIN(100,(X652*0.35)+(W652/45*100*0.20)+((5-O652)/4*100*0.15)+((5-P652)/4*100*0.10)+((6-Y652)/5*100*0.10)+((100-Z652)*0.10))),1)</x:f>
        <x:v>37.9</x:v>
      </x:c>
      <x:c r="AP652" s="37" t="str">
        <x:f>IF(AO652&gt;=70,"High",IF(AO652&gt;=40,"Moderate","Low"))</x:f>
        <x:v>Low</x:v>
      </x:c>
      <x:c r="AQ652" s="37" t="n">
        <x:f>ROUND(MAX(0,MIN(100,(O652/4*100*0.25)+(P652/4*100*0.20)+(Q652/4*100*0.15)+(Y652/5*100*0.20)+(100-AO652)*0.20)),1)</x:f>
        <x:v>81.2</x:v>
      </x:c>
      <x:c r="AR652" s="37" t="n">
        <x:f>ROUND((AI652*0.20+AJ652*0.15+AN652*0.18+AG652*0.12+Z652*0.15+AQ652*0.20),1)</x:f>
        <x:v>82.7</x:v>
      </x:c>
      <x:c r="AS652" s="39" t="n">
        <x:f>ROUND((AC652*AF652*120)+(AH652*350)+(MAX(0,AI652-75)*220)+(MAX(0,AQ652-60)*100),0)</x:f>
        <x:v>33392</x:v>
      </x:c>
    </x:row>
    <x:row r="653">
      <x:c r="A653" s="35" t="n">
        <x:v>652</x:v>
      </x:c>
      <x:c r="B653" s="35" t="n">
        <x:v>31</x:v>
      </x:c>
      <x:c r="C653" s="35" t="str">
        <x:v>Female</x:v>
      </x:c>
      <x:c r="D653" s="35" t="str">
        <x:v>Operations</x:v>
      </x:c>
      <x:c r="E653" s="35" t="str">
        <x:v>Operations Manager</x:v>
      </x:c>
      <x:c r="F653" s="35" t="str">
        <x:v>Computer Science</x:v>
      </x:c>
      <x:c r="G653" s="35" t="str">
        <x:v>Single</x:v>
      </x:c>
      <x:c r="H653" s="35" t="n">
        <x:v>2</x:v>
      </x:c>
      <x:c r="I653" s="36" t="n">
        <x:v>9350</x:v>
      </x:c>
      <x:c r="J653" s="35" t="n">
        <x:v>7</x:v>
      </x:c>
      <x:c r="K653" s="35" t="n">
        <x:v>4</x:v>
      </x:c>
      <x:c r="L653" s="35" t="n">
        <x:v>2</x:v>
      </x:c>
      <x:c r="M653" s="35" t="n">
        <x:v>11</x:v>
      </x:c>
      <x:c r="N653" s="35" t="str">
        <x:v>No</x:v>
      </x:c>
      <x:c r="O653" s="35" t="n">
        <x:v>4</x:v>
      </x:c>
      <x:c r="P653" s="35" t="n">
        <x:v>2</x:v>
      </x:c>
      <x:c r="Q653" s="35" t="n">
        <x:v>2</x:v>
      </x:c>
      <x:c r="R653" s="35" t="n">
        <x:v>4</x:v>
      </x:c>
      <x:c r="S653" s="35" t="n">
        <x:v>3</x:v>
      </x:c>
      <x:c r="T653" s="35" t="n">
        <x:v>4</x:v>
      </x:c>
      <x:c r="U653" s="35" t="n">
        <x:v>2</x:v>
      </x:c>
      <x:c r="V653" s="35" t="n">
        <x:v>5</x:v>
      </x:c>
      <x:c r="W653" s="35" t="n">
        <x:v>0</x:v>
      </x:c>
      <x:c r="X653" s="35" t="n">
        <x:v>69</x:v>
      </x:c>
      <x:c r="Y653" s="35" t="n">
        <x:v>4</x:v>
      </x:c>
      <x:c r="Z653" s="35" t="n">
        <x:v>100</x:v>
      </x:c>
      <x:c r="AA653" s="35" t="n">
        <x:v>4</x:v>
      </x:c>
      <x:c r="AB653" s="35" t="n">
        <x:v>3</x:v>
      </x:c>
      <x:c r="AC653" s="35" t="n">
        <x:v>3</x:v>
      </x:c>
      <x:c r="AD653" s="35" t="n">
        <x:v>68</x:v>
      </x:c>
      <x:c r="AE653" s="35" t="n">
        <x:v>78</x:v>
      </x:c>
      <x:c r="AF653" s="35" t="n">
        <x:v>65</x:v>
      </x:c>
      <x:c r="AG653" s="35" t="n">
        <x:v>100</x:v>
      </x:c>
      <x:c r="AH653" s="35" t="n">
        <x:v>5</x:v>
      </x:c>
      <x:c r="AI653" s="37" t="n">
        <x:v>100</x:v>
      </x:c>
      <x:c r="AJ653" s="37" t="n">
        <x:v>92.1</x:v>
      </x:c>
      <x:c r="AK653" s="35" t="str">
        <x:v>No</x:v>
      </x:c>
      <x:c r="AL653" s="38" t="n">
        <x:f>IF(AA653=0,0,AB653/AA653)</x:f>
        <x:v>0.75</x:v>
      </x:c>
      <x:c r="AM653" s="38" t="n">
        <x:f>IF(AB653=0,0,AC653/AB653)</x:f>
        <x:v>1</x:v>
      </x:c>
      <x:c r="AN653" s="37" t="n">
        <x:f>ROUND((AD653*0.20+AE653*0.20+AF653*0.25+AG653*0.15+MIN(100,AC653*12)*0.20),1)</x:f>
        <x:v>67.7</x:v>
      </x:c>
      <x:c r="AO653" s="37" t="n">
        <x:f>ROUND(MAX(0,MIN(100,(X653*0.35)+(W653/45*100*0.20)+((5-O653)/4*100*0.15)+((5-P653)/4*100*0.10)+((6-Y653)/5*100*0.10)+((100-Z653)*0.10))),1)</x:f>
        <x:v>39.4</x:v>
      </x:c>
      <x:c r="AP653" s="37" t="str">
        <x:f>IF(AO653&gt;=70,"High",IF(AO653&gt;=40,"Moderate","Low"))</x:f>
        <x:v>Low</x:v>
      </x:c>
      <x:c r="AQ653" s="37" t="n">
        <x:f>ROUND(MAX(0,MIN(100,(O653/4*100*0.25)+(P653/4*100*0.20)+(Q653/4*100*0.15)+(Y653/5*100*0.20)+(100-AO653)*0.20)),1)</x:f>
        <x:v>70.6</x:v>
      </x:c>
      <x:c r="AR653" s="37" t="n">
        <x:f>ROUND((AI653*0.20+AJ653*0.15+AN653*0.18+AG653*0.12+Z653*0.15+AQ653*0.20),1)</x:f>
        <x:v>87.1</x:v>
      </x:c>
      <x:c r="AS653" s="39" t="n">
        <x:f>ROUND((AC653*AF653*120)+(AH653*350)+(MAX(0,AI653-75)*220)+(MAX(0,AQ653-60)*100),0)</x:f>
        <x:v>31710</x:v>
      </x:c>
    </x:row>
    <x:row r="654">
      <x:c r="A654" s="35" t="n">
        <x:v>653</x:v>
      </x:c>
      <x:c r="B654" s="35" t="n">
        <x:v>35</x:v>
      </x:c>
      <x:c r="C654" s="35" t="str">
        <x:v>Male</x:v>
      </x:c>
      <x:c r="D654" s="35" t="str">
        <x:v>Sales</x:v>
      </x:c>
      <x:c r="E654" s="35" t="str">
        <x:v>Sales Executive</x:v>
      </x:c>
      <x:c r="F654" s="35" t="str">
        <x:v>Life Sciences</x:v>
      </x:c>
      <x:c r="G654" s="35" t="str">
        <x:v>Married</x:v>
      </x:c>
      <x:c r="H654" s="35" t="n">
        <x:v>1</x:v>
      </x:c>
      <x:c r="I654" s="36" t="n">
        <x:v>5580</x:v>
      </x:c>
      <x:c r="J654" s="35" t="n">
        <x:v>10</x:v>
      </x:c>
      <x:c r="K654" s="35" t="n">
        <x:v>7</x:v>
      </x:c>
      <x:c r="L654" s="35" t="n">
        <x:v>3</x:v>
      </x:c>
      <x:c r="M654" s="35" t="n">
        <x:v>17</x:v>
      </x:c>
      <x:c r="N654" s="35" t="str">
        <x:v>No</x:v>
      </x:c>
      <x:c r="O654" s="35" t="n">
        <x:v>2</x:v>
      </x:c>
      <x:c r="P654" s="35" t="n">
        <x:v>2</x:v>
      </x:c>
      <x:c r="Q654" s="35" t="n">
        <x:v>4</x:v>
      </x:c>
      <x:c r="R654" s="35" t="n">
        <x:v>2</x:v>
      </x:c>
      <x:c r="S654" s="35" t="n">
        <x:v>3</x:v>
      </x:c>
      <x:c r="T654" s="35" t="n">
        <x:v>4</x:v>
      </x:c>
      <x:c r="U654" s="35" t="n">
        <x:v>2</x:v>
      </x:c>
      <x:c r="V654" s="35" t="n">
        <x:v>4</x:v>
      </x:c>
      <x:c r="W654" s="35" t="n">
        <x:v>6</x:v>
      </x:c>
      <x:c r="X654" s="35" t="n">
        <x:v>79</x:v>
      </x:c>
      <x:c r="Y654" s="35" t="n">
        <x:v>4</x:v>
      </x:c>
      <x:c r="Z654" s="35" t="n">
        <x:v>78</x:v>
      </x:c>
      <x:c r="AA654" s="35" t="n">
        <x:v>4</x:v>
      </x:c>
      <x:c r="AB654" s="35" t="n">
        <x:v>4</x:v>
      </x:c>
      <x:c r="AC654" s="35" t="n">
        <x:v>3</x:v>
      </x:c>
      <x:c r="AD654" s="35" t="n">
        <x:v>74</x:v>
      </x:c>
      <x:c r="AE654" s="35" t="n">
        <x:v>93</x:v>
      </x:c>
      <x:c r="AF654" s="35" t="n">
        <x:v>55</x:v>
      </x:c>
      <x:c r="AG654" s="35" t="n">
        <x:v>77</x:v>
      </x:c>
      <x:c r="AH654" s="35" t="n">
        <x:v>5</x:v>
      </x:c>
      <x:c r="AI654" s="37" t="n">
        <x:v>97.8</x:v>
      </x:c>
      <x:c r="AJ654" s="37" t="n">
        <x:v>87.6</x:v>
      </x:c>
      <x:c r="AK654" s="35" t="str">
        <x:v>Yes</x:v>
      </x:c>
      <x:c r="AL654" s="38" t="n">
        <x:f>IF(AA654=0,0,AB654/AA654)</x:f>
        <x:v>1</x:v>
      </x:c>
      <x:c r="AM654" s="38" t="n">
        <x:f>IF(AB654=0,0,AC654/AB654)</x:f>
        <x:v>0.75</x:v>
      </x:c>
      <x:c r="AN654" s="37" t="n">
        <x:f>ROUND((AD654*0.20+AE654*0.20+AF654*0.25+AG654*0.15+MIN(100,AC654*12)*0.20),1)</x:f>
        <x:v>65.9</x:v>
      </x:c>
      <x:c r="AO654" s="37" t="n">
        <x:f>ROUND(MAX(0,MIN(100,(X654*0.35)+(W654/45*100*0.20)+((5-O654)/4*100*0.15)+((5-P654)/4*100*0.10)+((6-Y654)/5*100*0.10)+((100-Z654)*0.10))),1)</x:f>
        <x:v>55.3</x:v>
      </x:c>
      <x:c r="AP654" s="37" t="str">
        <x:f>IF(AO654&gt;=70,"High",IF(AO654&gt;=40,"Moderate","Low"))</x:f>
        <x:v>Moderate</x:v>
      </x:c>
      <x:c r="AQ654" s="37" t="n">
        <x:f>ROUND(MAX(0,MIN(100,(O654/4*100*0.25)+(P654/4*100*0.20)+(Q654/4*100*0.15)+(Y654/5*100*0.20)+(100-AO654)*0.20)),1)</x:f>
        <x:v>62.4</x:v>
      </x:c>
      <x:c r="AR654" s="37" t="n">
        <x:f>ROUND((AI654*0.20+AJ654*0.15+AN654*0.18+AG654*0.12+Z654*0.15+AQ654*0.20),1)</x:f>
        <x:v>78</x:v>
      </x:c>
      <x:c r="AS654" s="39" t="n">
        <x:f>ROUND((AC654*AF654*120)+(AH654*350)+(MAX(0,AI654-75)*220)+(MAX(0,AQ654-60)*100),0)</x:f>
        <x:v>26806</x:v>
      </x:c>
    </x:row>
    <x:row r="655">
      <x:c r="A655" s="35" t="n">
        <x:v>654</x:v>
      </x:c>
      <x:c r="B655" s="35" t="n">
        <x:v>29</x:v>
      </x:c>
      <x:c r="C655" s="35" t="str">
        <x:v>Male</x:v>
      </x:c>
      <x:c r="D655" s="35" t="str">
        <x:v>Sales</x:v>
      </x:c>
      <x:c r="E655" s="35" t="str">
        <x:v>Sales Representative</x:v>
      </x:c>
      <x:c r="F655" s="35" t="str">
        <x:v>Life Sciences</x:v>
      </x:c>
      <x:c r="G655" s="35" t="str">
        <x:v>Divorced</x:v>
      </x:c>
      <x:c r="H655" s="35" t="n">
        <x:v>1</x:v>
      </x:c>
      <x:c r="I655" s="36" t="n">
        <x:v>7770</x:v>
      </x:c>
      <x:c r="J655" s="35" t="n">
        <x:v>4</x:v>
      </x:c>
      <x:c r="K655" s="35" t="n">
        <x:v>2</x:v>
      </x:c>
      <x:c r="L655" s="35" t="n">
        <x:v>1</x:v>
      </x:c>
      <x:c r="M655" s="35" t="n">
        <x:v>12</x:v>
      </x:c>
      <x:c r="N655" s="35" t="str">
        <x:v>No</x:v>
      </x:c>
      <x:c r="O655" s="35" t="n">
        <x:v>2</x:v>
      </x:c>
      <x:c r="P655" s="35" t="n">
        <x:v>3</x:v>
      </x:c>
      <x:c r="Q655" s="35" t="n">
        <x:v>4</x:v>
      </x:c>
      <x:c r="R655" s="35" t="n">
        <x:v>3</x:v>
      </x:c>
      <x:c r="S655" s="35" t="n">
        <x:v>3</x:v>
      </x:c>
      <x:c r="T655" s="35" t="n">
        <x:v>4</x:v>
      </x:c>
      <x:c r="U655" s="35" t="n">
        <x:v>2</x:v>
      </x:c>
      <x:c r="V655" s="35" t="n">
        <x:v>3</x:v>
      </x:c>
      <x:c r="W655" s="35" t="n">
        <x:v>0</x:v>
      </x:c>
      <x:c r="X655" s="35" t="n">
        <x:v>43</x:v>
      </x:c>
      <x:c r="Y655" s="35" t="n">
        <x:v>5</x:v>
      </x:c>
      <x:c r="Z655" s="35" t="n">
        <x:v>99</x:v>
      </x:c>
      <x:c r="AA655" s="35" t="n">
        <x:v>4</x:v>
      </x:c>
      <x:c r="AB655" s="35" t="n">
        <x:v>3</x:v>
      </x:c>
      <x:c r="AC655" s="35" t="n">
        <x:v>2</x:v>
      </x:c>
      <x:c r="AD655" s="35" t="n">
        <x:v>76</x:v>
      </x:c>
      <x:c r="AE655" s="35" t="n">
        <x:v>85</x:v>
      </x:c>
      <x:c r="AF655" s="35" t="n">
        <x:v>89</x:v>
      </x:c>
      <x:c r="AG655" s="35" t="n">
        <x:v>88</x:v>
      </x:c>
      <x:c r="AH655" s="35" t="n">
        <x:v>5</x:v>
      </x:c>
      <x:c r="AI655" s="37" t="n">
        <x:v>91.5</x:v>
      </x:c>
      <x:c r="AJ655" s="37" t="n">
        <x:v>89</x:v>
      </x:c>
      <x:c r="AK655" s="35" t="str">
        <x:v>No</x:v>
      </x:c>
      <x:c r="AL655" s="38" t="n">
        <x:f>IF(AA655=0,0,AB655/AA655)</x:f>
        <x:v>0.75</x:v>
      </x:c>
      <x:c r="AM655" s="38" t="n">
        <x:f>IF(AB655=0,0,AC655/AB655)</x:f>
        <x:v>0.6666666666666666</x:v>
      </x:c>
      <x:c r="AN655" s="37" t="n">
        <x:f>ROUND((AD655*0.20+AE655*0.20+AF655*0.25+AG655*0.15+MIN(100,AC655*12)*0.20),1)</x:f>
        <x:v>72.5</x:v>
      </x:c>
      <x:c r="AO655" s="37" t="n">
        <x:f>ROUND(MAX(0,MIN(100,(X655*0.35)+(W655/45*100*0.20)+((5-O655)/4*100*0.15)+((5-P655)/4*100*0.10)+((6-Y655)/5*100*0.10)+((100-Z655)*0.10))),1)</x:f>
        <x:v>33.4</x:v>
      </x:c>
      <x:c r="AP655" s="37" t="str">
        <x:f>IF(AO655&gt;=70,"High",IF(AO655&gt;=40,"Moderate","Low"))</x:f>
        <x:v>Low</x:v>
      </x:c>
      <x:c r="AQ655" s="37" t="n">
        <x:f>ROUND(MAX(0,MIN(100,(O655/4*100*0.25)+(P655/4*100*0.20)+(Q655/4*100*0.15)+(Y655/5*100*0.20)+(100-AO655)*0.20)),1)</x:f>
        <x:v>75.8</x:v>
      </x:c>
      <x:c r="AR655" s="37" t="n">
        <x:f>ROUND((AI655*0.20+AJ655*0.15+AN655*0.18+AG655*0.12+Z655*0.15+AQ655*0.20),1)</x:f>
        <x:v>85.3</x:v>
      </x:c>
      <x:c r="AS655" s="39" t="n">
        <x:f>ROUND((AC655*AF655*120)+(AH655*350)+(MAX(0,AI655-75)*220)+(MAX(0,AQ655-60)*100),0)</x:f>
        <x:v>28320</x:v>
      </x:c>
    </x:row>
    <x:row r="656">
      <x:c r="A656" s="35" t="n">
        <x:v>655</x:v>
      </x:c>
      <x:c r="B656" s="35" t="n">
        <x:v>39</x:v>
      </x:c>
      <x:c r="C656" s="35" t="str">
        <x:v>Male</x:v>
      </x:c>
      <x:c r="D656" s="35" t="str">
        <x:v>Information Technology</x:v>
      </x:c>
      <x:c r="E656" s="35" t="str">
        <x:v>IT Support</x:v>
      </x:c>
      <x:c r="F656" s="35" t="str">
        <x:v>Technical Degree</x:v>
      </x:c>
      <x:c r="G656" s="35" t="str">
        <x:v>Single</x:v>
      </x:c>
      <x:c r="H656" s="35" t="n">
        <x:v>3</x:v>
      </x:c>
      <x:c r="I656" s="36" t="n">
        <x:v>12000</x:v>
      </x:c>
      <x:c r="J656" s="35" t="n">
        <x:v>15</x:v>
      </x:c>
      <x:c r="K656" s="35" t="n">
        <x:v>8</x:v>
      </x:c>
      <x:c r="L656" s="35" t="n">
        <x:v>4</x:v>
      </x:c>
      <x:c r="M656" s="35" t="n">
        <x:v>10</x:v>
      </x:c>
      <x:c r="N656" s="35" t="str">
        <x:v>No</x:v>
      </x:c>
      <x:c r="O656" s="35" t="n">
        <x:v>2</x:v>
      </x:c>
      <x:c r="P656" s="35" t="n">
        <x:v>4</x:v>
      </x:c>
      <x:c r="Q656" s="35" t="n">
        <x:v>3</x:v>
      </x:c>
      <x:c r="R656" s="35" t="n">
        <x:v>2</x:v>
      </x:c>
      <x:c r="S656" s="35" t="n">
        <x:v>3</x:v>
      </x:c>
      <x:c r="T656" s="35" t="n">
        <x:v>0</x:v>
      </x:c>
      <x:c r="U656" s="35" t="n">
        <x:v>1</x:v>
      </x:c>
      <x:c r="V656" s="35" t="n">
        <x:v>7</x:v>
      </x:c>
      <x:c r="W656" s="35" t="n">
        <x:v>11</x:v>
      </x:c>
      <x:c r="X656" s="35" t="n">
        <x:v>77</x:v>
      </x:c>
      <x:c r="Y656" s="35" t="n">
        <x:v>4</x:v>
      </x:c>
      <x:c r="Z656" s="35" t="n">
        <x:v>100</x:v>
      </x:c>
      <x:c r="AA656" s="35" t="n">
        <x:v>2</x:v>
      </x:c>
      <x:c r="AB656" s="35" t="n">
        <x:v>1</x:v>
      </x:c>
      <x:c r="AC656" s="35" t="n">
        <x:v>0</x:v>
      </x:c>
      <x:c r="AD656" s="35" t="n">
        <x:v>67</x:v>
      </x:c>
      <x:c r="AE656" s="35" t="n">
        <x:v>74</x:v>
      </x:c>
      <x:c r="AF656" s="35" t="n">
        <x:v>63</x:v>
      </x:c>
      <x:c r="AG656" s="35" t="n">
        <x:v>70</x:v>
      </x:c>
      <x:c r="AH656" s="35" t="n">
        <x:v>1</x:v>
      </x:c>
      <x:c r="AI656" s="37" t="n">
        <x:v>100</x:v>
      </x:c>
      <x:c r="AJ656" s="37" t="n">
        <x:v>92.4</x:v>
      </x:c>
      <x:c r="AK656" s="35" t="str">
        <x:v>No</x:v>
      </x:c>
      <x:c r="AL656" s="38" t="n">
        <x:f>IF(AA656=0,0,AB656/AA656)</x:f>
        <x:v>0.5</x:v>
      </x:c>
      <x:c r="AM656" s="38" t="n">
        <x:f>IF(AB656=0,0,AC656/AB656)</x:f>
        <x:v>0</x:v>
      </x:c>
      <x:c r="AN656" s="37" t="n">
        <x:f>ROUND((AD656*0.20+AE656*0.20+AF656*0.25+AG656*0.15+MIN(100,AC656*12)*0.20),1)</x:f>
        <x:v>54.5</x:v>
      </x:c>
      <x:c r="AO656" s="37" t="n">
        <x:f>ROUND(MAX(0,MIN(100,(X656*0.35)+(W656/45*100*0.20)+((5-O656)/4*100*0.15)+((5-P656)/4*100*0.10)+((6-Y656)/5*100*0.10)+((100-Z656)*0.10))),1)</x:f>
        <x:v>49.6</x:v>
      </x:c>
      <x:c r="AP656" s="37" t="str">
        <x:f>IF(AO656&gt;=70,"High",IF(AO656&gt;=40,"Moderate","Low"))</x:f>
        <x:v>Moderate</x:v>
      </x:c>
      <x:c r="AQ656" s="37" t="n">
        <x:f>ROUND(MAX(0,MIN(100,(O656/4*100*0.25)+(P656/4*100*0.20)+(Q656/4*100*0.15)+(Y656/5*100*0.20)+(100-AO656)*0.20)),1)</x:f>
        <x:v>69.8</x:v>
      </x:c>
      <x:c r="AR656" s="37" t="n">
        <x:f>ROUND((AI656*0.20+AJ656*0.15+AN656*0.18+AG656*0.12+Z656*0.15+AQ656*0.20),1)</x:f>
        <x:v>81</x:v>
      </x:c>
      <x:c r="AS656" s="39" t="n">
        <x:f>ROUND((AC656*AF656*120)+(AH656*350)+(MAX(0,AI656-75)*220)+(MAX(0,AQ656-60)*100),0)</x:f>
        <x:v>6830</x:v>
      </x:c>
    </x:row>
    <x:row r="657">
      <x:c r="A657" s="35" t="n">
        <x:v>656</x:v>
      </x:c>
      <x:c r="B657" s="35" t="n">
        <x:v>43</x:v>
      </x:c>
      <x:c r="C657" s="35" t="str">
        <x:v>Female</x:v>
      </x:c>
      <x:c r="D657" s="35" t="str">
        <x:v>Sales</x:v>
      </x:c>
      <x:c r="E657" s="35" t="str">
        <x:v>Account Manager</x:v>
      </x:c>
      <x:c r="F657" s="35" t="str">
        <x:v>Business</x:v>
      </x:c>
      <x:c r="G657" s="35" t="str">
        <x:v>Married</x:v>
      </x:c>
      <x:c r="H657" s="35" t="n">
        <x:v>4</x:v>
      </x:c>
      <x:c r="I657" s="36" t="n">
        <x:v>14920</x:v>
      </x:c>
      <x:c r="J657" s="35" t="n">
        <x:v>20</x:v>
      </x:c>
      <x:c r="K657" s="35" t="n">
        <x:v>16</x:v>
      </x:c>
      <x:c r="L657" s="35" t="n">
        <x:v>13</x:v>
      </x:c>
      <x:c r="M657" s="35" t="n">
        <x:v>10</x:v>
      </x:c>
      <x:c r="N657" s="35" t="str">
        <x:v>No</x:v>
      </x:c>
      <x:c r="O657" s="35" t="n">
        <x:v>3</x:v>
      </x:c>
      <x:c r="P657" s="35" t="n">
        <x:v>2</x:v>
      </x:c>
      <x:c r="Q657" s="35" t="n">
        <x:v>3</x:v>
      </x:c>
      <x:c r="R657" s="35" t="n">
        <x:v>3</x:v>
      </x:c>
      <x:c r="S657" s="35" t="n">
        <x:v>4</x:v>
      </x:c>
      <x:c r="T657" s="35" t="n">
        <x:v>2</x:v>
      </x:c>
      <x:c r="U657" s="35" t="n">
        <x:v>0</x:v>
      </x:c>
      <x:c r="V657" s="35" t="n">
        <x:v>11</x:v>
      </x:c>
      <x:c r="W657" s="35" t="n">
        <x:v>7</x:v>
      </x:c>
      <x:c r="X657" s="35" t="n">
        <x:v>61</x:v>
      </x:c>
      <x:c r="Y657" s="35" t="n">
        <x:v>5</x:v>
      </x:c>
      <x:c r="Z657" s="35" t="n">
        <x:v>97</x:v>
      </x:c>
      <x:c r="AA657" s="35" t="n">
        <x:v>4</x:v>
      </x:c>
      <x:c r="AB657" s="35" t="n">
        <x:v>4</x:v>
      </x:c>
      <x:c r="AC657" s="35" t="n">
        <x:v>4</x:v>
      </x:c>
      <x:c r="AD657" s="35" t="n">
        <x:v>67</x:v>
      </x:c>
      <x:c r="AE657" s="35" t="n">
        <x:v>79</x:v>
      </x:c>
      <x:c r="AF657" s="35" t="n">
        <x:v>85</x:v>
      </x:c>
      <x:c r="AG657" s="35" t="n">
        <x:v>100</x:v>
      </x:c>
      <x:c r="AH657" s="35" t="n">
        <x:v>9</x:v>
      </x:c>
      <x:c r="AI657" s="37" t="n">
        <x:v>100</x:v>
      </x:c>
      <x:c r="AJ657" s="37" t="n">
        <x:v>100</x:v>
      </x:c>
      <x:c r="AK657" s="35" t="str">
        <x:v>No</x:v>
      </x:c>
      <x:c r="AL657" s="38" t="n">
        <x:f>IF(AA657=0,0,AB657/AA657)</x:f>
        <x:v>1</x:v>
      </x:c>
      <x:c r="AM657" s="38" t="n">
        <x:f>IF(AB657=0,0,AC657/AB657)</x:f>
        <x:v>1</x:v>
      </x:c>
      <x:c r="AN657" s="37" t="n">
        <x:f>ROUND((AD657*0.20+AE657*0.20+AF657*0.25+AG657*0.15+MIN(100,AC657*12)*0.20),1)</x:f>
        <x:v>75.1</x:v>
      </x:c>
      <x:c r="AO657" s="37" t="n">
        <x:f>ROUND(MAX(0,MIN(100,(X657*0.35)+(W657/45*100*0.20)+((5-O657)/4*100*0.15)+((5-P657)/4*100*0.10)+((6-Y657)/5*100*0.10)+((100-Z657)*0.10))),1)</x:f>
        <x:v>41.8</x:v>
      </x:c>
      <x:c r="AP657" s="37" t="str">
        <x:f>IF(AO657&gt;=70,"High",IF(AO657&gt;=40,"Moderate","Low"))</x:f>
        <x:v>Moderate</x:v>
      </x:c>
      <x:c r="AQ657" s="37" t="n">
        <x:f>ROUND(MAX(0,MIN(100,(O657/4*100*0.25)+(P657/4*100*0.20)+(Q657/4*100*0.15)+(Y657/5*100*0.20)+(100-AO657)*0.20)),1)</x:f>
        <x:v>71.6</x:v>
      </x:c>
      <x:c r="AR657" s="37" t="n">
        <x:f>ROUND((AI657*0.20+AJ657*0.15+AN657*0.18+AG657*0.12+Z657*0.15+AQ657*0.20),1)</x:f>
        <x:v>89.4</x:v>
      </x:c>
      <x:c r="AS657" s="39" t="n">
        <x:f>ROUND((AC657*AF657*120)+(AH657*350)+(MAX(0,AI657-75)*220)+(MAX(0,AQ657-60)*100),0)</x:f>
        <x:v>50610</x:v>
      </x:c>
    </x:row>
    <x:row r="658">
      <x:c r="A658" s="35" t="n">
        <x:v>657</x:v>
      </x:c>
      <x:c r="B658" s="35" t="n">
        <x:v>28</x:v>
      </x:c>
      <x:c r="C658" s="35" t="str">
        <x:v>Male</x:v>
      </x:c>
      <x:c r="D658" s="35" t="str">
        <x:v>Information Technology</x:v>
      </x:c>
      <x:c r="E658" s="35" t="str">
        <x:v>IT Support</x:v>
      </x:c>
      <x:c r="F658" s="35" t="str">
        <x:v>Computer Science</x:v>
      </x:c>
      <x:c r="G658" s="35" t="str">
        <x:v>Married</x:v>
      </x:c>
      <x:c r="H658" s="35" t="n">
        <x:v>1</x:v>
      </x:c>
      <x:c r="I658" s="36" t="n">
        <x:v>6210</x:v>
      </x:c>
      <x:c r="J658" s="35" t="n">
        <x:v>5</x:v>
      </x:c>
      <x:c r="K658" s="35" t="n">
        <x:v>3</x:v>
      </x:c>
      <x:c r="L658" s="35" t="n">
        <x:v>2</x:v>
      </x:c>
      <x:c r="M658" s="35" t="n">
        <x:v>5</x:v>
      </x:c>
      <x:c r="N658" s="35" t="str">
        <x:v>No</x:v>
      </x:c>
      <x:c r="O658" s="35" t="n">
        <x:v>2</x:v>
      </x:c>
      <x:c r="P658" s="35" t="n">
        <x:v>3</x:v>
      </x:c>
      <x:c r="Q658" s="35" t="n">
        <x:v>3</x:v>
      </x:c>
      <x:c r="R658" s="35" t="n">
        <x:v>3</x:v>
      </x:c>
      <x:c r="S658" s="35" t="n">
        <x:v>3</x:v>
      </x:c>
      <x:c r="T658" s="35" t="n">
        <x:v>4</x:v>
      </x:c>
      <x:c r="U658" s="35" t="n">
        <x:v>0</x:v>
      </x:c>
      <x:c r="V658" s="35" t="n">
        <x:v>11</x:v>
      </x:c>
      <x:c r="W658" s="35" t="n">
        <x:v>1</x:v>
      </x:c>
      <x:c r="X658" s="35" t="n">
        <x:v>65</x:v>
      </x:c>
      <x:c r="Y658" s="35" t="n">
        <x:v>4</x:v>
      </x:c>
      <x:c r="Z658" s="35" t="n">
        <x:v>100</x:v>
      </x:c>
      <x:c r="AA658" s="35" t="n">
        <x:v>4</x:v>
      </x:c>
      <x:c r="AB658" s="35" t="n">
        <x:v>4</x:v>
      </x:c>
      <x:c r="AC658" s="35" t="n">
        <x:v>3</x:v>
      </x:c>
      <x:c r="AD658" s="35" t="n">
        <x:v>70</x:v>
      </x:c>
      <x:c r="AE658" s="35" t="n">
        <x:v>87</x:v>
      </x:c>
      <x:c r="AF658" s="35" t="n">
        <x:v>72</x:v>
      </x:c>
      <x:c r="AG658" s="35" t="n">
        <x:v>77</x:v>
      </x:c>
      <x:c r="AH658" s="35" t="n">
        <x:v>4</x:v>
      </x:c>
      <x:c r="AI658" s="37" t="n">
        <x:v>96.6</x:v>
      </x:c>
      <x:c r="AJ658" s="37" t="n">
        <x:v>96.1</x:v>
      </x:c>
      <x:c r="AK658" s="35" t="str">
        <x:v>No</x:v>
      </x:c>
      <x:c r="AL658" s="38" t="n">
        <x:f>IF(AA658=0,0,AB658/AA658)</x:f>
        <x:v>1</x:v>
      </x:c>
      <x:c r="AM658" s="38" t="n">
        <x:f>IF(AB658=0,0,AC658/AB658)</x:f>
        <x:v>0.75</x:v>
      </x:c>
      <x:c r="AN658" s="37" t="n">
        <x:f>ROUND((AD658*0.20+AE658*0.20+AF658*0.25+AG658*0.15+MIN(100,AC658*12)*0.20),1)</x:f>
        <x:v>68.2</x:v>
      </x:c>
      <x:c r="AO658" s="37" t="n">
        <x:f>ROUND(MAX(0,MIN(100,(X658*0.35)+(W658/45*100*0.20)+((5-O658)/4*100*0.15)+((5-P658)/4*100*0.10)+((6-Y658)/5*100*0.10)+((100-Z658)*0.10))),1)</x:f>
        <x:v>43.4</x:v>
      </x:c>
      <x:c r="AP658" s="37" t="str">
        <x:f>IF(AO658&gt;=70,"High",IF(AO658&gt;=40,"Moderate","Low"))</x:f>
        <x:v>Moderate</x:v>
      </x:c>
      <x:c r="AQ658" s="37" t="n">
        <x:f>ROUND(MAX(0,MIN(100,(O658/4*100*0.25)+(P658/4*100*0.20)+(Q658/4*100*0.15)+(Y658/5*100*0.20)+(100-AO658)*0.20)),1)</x:f>
        <x:v>66.1</x:v>
      </x:c>
      <x:c r="AR658" s="37" t="n">
        <x:f>ROUND((AI658*0.20+AJ658*0.15+AN658*0.18+AG658*0.12+Z658*0.15+AQ658*0.20),1)</x:f>
        <x:v>83.5</x:v>
      </x:c>
      <x:c r="AS658" s="39" t="n">
        <x:f>ROUND((AC658*AF658*120)+(AH658*350)+(MAX(0,AI658-75)*220)+(MAX(0,AQ658-60)*100),0)</x:f>
        <x:v>32682</x:v>
      </x:c>
    </x:row>
    <x:row r="659">
      <x:c r="A659" s="35" t="n">
        <x:v>658</x:v>
      </x:c>
      <x:c r="B659" s="35" t="n">
        <x:v>38</x:v>
      </x:c>
      <x:c r="C659" s="35" t="str">
        <x:v>Male</x:v>
      </x:c>
      <x:c r="D659" s="35" t="str">
        <x:v>Information Technology</x:v>
      </x:c>
      <x:c r="E659" s="35" t="str">
        <x:v>IT Manager</x:v>
      </x:c>
      <x:c r="F659" s="35" t="str">
        <x:v>Medical</x:v>
      </x:c>
      <x:c r="G659" s="35" t="str">
        <x:v>Single</x:v>
      </x:c>
      <x:c r="H659" s="35" t="n">
        <x:v>2</x:v>
      </x:c>
      <x:c r="I659" s="36" t="n">
        <x:v>6980</x:v>
      </x:c>
      <x:c r="J659" s="35" t="n">
        <x:v>15</x:v>
      </x:c>
      <x:c r="K659" s="35" t="n">
        <x:v>4</x:v>
      </x:c>
      <x:c r="L659" s="35" t="n">
        <x:v>2</x:v>
      </x:c>
      <x:c r="M659" s="35" t="n">
        <x:v>15</x:v>
      </x:c>
      <x:c r="N659" s="35" t="str">
        <x:v>No</x:v>
      </x:c>
      <x:c r="O659" s="35" t="n">
        <x:v>3</x:v>
      </x:c>
      <x:c r="P659" s="35" t="n">
        <x:v>3</x:v>
      </x:c>
      <x:c r="Q659" s="35" t="n">
        <x:v>3</x:v>
      </x:c>
      <x:c r="R659" s="35" t="n">
        <x:v>2</x:v>
      </x:c>
      <x:c r="S659" s="35" t="n">
        <x:v>4</x:v>
      </x:c>
      <x:c r="T659" s="35" t="n">
        <x:v>6</x:v>
      </x:c>
      <x:c r="U659" s="35" t="n">
        <x:v>1</x:v>
      </x:c>
      <x:c r="V659" s="35" t="n">
        <x:v>8</x:v>
      </x:c>
      <x:c r="W659" s="35" t="n">
        <x:v>19</x:v>
      </x:c>
      <x:c r="X659" s="35" t="n">
        <x:v>59</x:v>
      </x:c>
      <x:c r="Y659" s="35" t="n">
        <x:v>4</x:v>
      </x:c>
      <x:c r="Z659" s="35" t="n">
        <x:v>96</x:v>
      </x:c>
      <x:c r="AA659" s="35" t="n">
        <x:v>3</x:v>
      </x:c>
      <x:c r="AB659" s="35" t="n">
        <x:v>3</x:v>
      </x:c>
      <x:c r="AC659" s="35" t="n">
        <x:v>3</x:v>
      </x:c>
      <x:c r="AD659" s="35" t="n">
        <x:v>61</x:v>
      </x:c>
      <x:c r="AE659" s="35" t="n">
        <x:v>85</x:v>
      </x:c>
      <x:c r="AF659" s="35" t="n">
        <x:v>97</x:v>
      </x:c>
      <x:c r="AG659" s="35" t="n">
        <x:v>88</x:v>
      </x:c>
      <x:c r="AH659" s="35" t="n">
        <x:v>10</x:v>
      </x:c>
      <x:c r="AI659" s="37" t="n">
        <x:v>100</x:v>
      </x:c>
      <x:c r="AJ659" s="37" t="n">
        <x:v>100</x:v>
      </x:c>
      <x:c r="AK659" s="35" t="str">
        <x:v>No</x:v>
      </x:c>
      <x:c r="AL659" s="38" t="n">
        <x:f>IF(AA659=0,0,AB659/AA659)</x:f>
        <x:v>1</x:v>
      </x:c>
      <x:c r="AM659" s="38" t="n">
        <x:f>IF(AB659=0,0,AC659/AB659)</x:f>
        <x:v>1</x:v>
      </x:c>
      <x:c r="AN659" s="37" t="n">
        <x:f>ROUND((AD659*0.20+AE659*0.20+AF659*0.25+AG659*0.15+MIN(100,AC659*12)*0.20),1)</x:f>
        <x:v>73.9</x:v>
      </x:c>
      <x:c r="AO659" s="37" t="n">
        <x:f>ROUND(MAX(0,MIN(100,(X659*0.35)+(W659/45*100*0.20)+((5-O659)/4*100*0.15)+((5-P659)/4*100*0.10)+((6-Y659)/5*100*0.10)+((100-Z659)*0.10))),1)</x:f>
        <x:v>46</x:v>
      </x:c>
      <x:c r="AP659" s="37" t="str">
        <x:f>IF(AO659&gt;=70,"High",IF(AO659&gt;=40,"Moderate","Low"))</x:f>
        <x:v>Moderate</x:v>
      </x:c>
      <x:c r="AQ659" s="37" t="n">
        <x:f>ROUND(MAX(0,MIN(100,(O659/4*100*0.25)+(P659/4*100*0.20)+(Q659/4*100*0.15)+(Y659/5*100*0.20)+(100-AO659)*0.20)),1)</x:f>
        <x:v>71.8</x:v>
      </x:c>
      <x:c r="AR659" s="37" t="n">
        <x:f>ROUND((AI659*0.20+AJ659*0.15+AN659*0.18+AG659*0.12+Z659*0.15+AQ659*0.20),1)</x:f>
        <x:v>87.6</x:v>
      </x:c>
      <x:c r="AS659" s="39" t="n">
        <x:f>ROUND((AC659*AF659*120)+(AH659*350)+(MAX(0,AI659-75)*220)+(MAX(0,AQ659-60)*100),0)</x:f>
        <x:v>45100</x:v>
      </x:c>
    </x:row>
    <x:row r="660">
      <x:c r="A660" s="35" t="n">
        <x:v>659</x:v>
      </x:c>
      <x:c r="B660" s="35" t="n">
        <x:v>30</x:v>
      </x:c>
      <x:c r="C660" s="35" t="str">
        <x:v>Male</x:v>
      </x:c>
      <x:c r="D660" s="35" t="str">
        <x:v>Human Resources</x:v>
      </x:c>
      <x:c r="E660" s="35" t="str">
        <x:v>HR Specialist</x:v>
      </x:c>
      <x:c r="F660" s="35" t="str">
        <x:v>Business</x:v>
      </x:c>
      <x:c r="G660" s="35" t="str">
        <x:v>Single</x:v>
      </x:c>
      <x:c r="H660" s="35" t="n">
        <x:v>1</x:v>
      </x:c>
      <x:c r="I660" s="36" t="n">
        <x:v>5140</x:v>
      </x:c>
      <x:c r="J660" s="35" t="n">
        <x:v>5</x:v>
      </x:c>
      <x:c r="K660" s="35" t="n">
        <x:v>4</x:v>
      </x:c>
      <x:c r="L660" s="35" t="n">
        <x:v>3</x:v>
      </x:c>
      <x:c r="M660" s="35" t="n">
        <x:v>6</x:v>
      </x:c>
      <x:c r="N660" s="35" t="str">
        <x:v>Yes</x:v>
      </x:c>
      <x:c r="O660" s="35" t="n">
        <x:v>2</x:v>
      </x:c>
      <x:c r="P660" s="35" t="n">
        <x:v>2</x:v>
      </x:c>
      <x:c r="Q660" s="35" t="n">
        <x:v>3</x:v>
      </x:c>
      <x:c r="R660" s="35" t="n">
        <x:v>4</x:v>
      </x:c>
      <x:c r="S660" s="35" t="n">
        <x:v>3</x:v>
      </x:c>
      <x:c r="T660" s="35" t="n">
        <x:v>2</x:v>
      </x:c>
      <x:c r="U660" s="35" t="n">
        <x:v>0</x:v>
      </x:c>
      <x:c r="V660" s="35" t="n">
        <x:v>7</x:v>
      </x:c>
      <x:c r="W660" s="35" t="n">
        <x:v>24</x:v>
      </x:c>
      <x:c r="X660" s="35" t="n">
        <x:v>82</x:v>
      </x:c>
      <x:c r="Y660" s="35" t="n">
        <x:v>4</x:v>
      </x:c>
      <x:c r="Z660" s="35" t="n">
        <x:v>100</x:v>
      </x:c>
      <x:c r="AA660" s="35" t="n">
        <x:v>6</x:v>
      </x:c>
      <x:c r="AB660" s="35" t="n">
        <x:v>4</x:v>
      </x:c>
      <x:c r="AC660" s="35" t="n">
        <x:v>2</x:v>
      </x:c>
      <x:c r="AD660" s="35" t="n">
        <x:v>84</x:v>
      </x:c>
      <x:c r="AE660" s="35" t="n">
        <x:v>70</x:v>
      </x:c>
      <x:c r="AF660" s="35" t="n">
        <x:v>67</x:v>
      </x:c>
      <x:c r="AG660" s="35" t="n">
        <x:v>100</x:v>
      </x:c>
      <x:c r="AH660" s="35" t="n">
        <x:v>5</x:v>
      </x:c>
      <x:c r="AI660" s="37" t="n">
        <x:v>98.7</x:v>
      </x:c>
      <x:c r="AJ660" s="37" t="n">
        <x:v>98.3</x:v>
      </x:c>
      <x:c r="AK660" s="35" t="str">
        <x:v>Yes</x:v>
      </x:c>
      <x:c r="AL660" s="38" t="n">
        <x:f>IF(AA660=0,0,AB660/AA660)</x:f>
        <x:v>0.6666666666666666</x:v>
      </x:c>
      <x:c r="AM660" s="38" t="n">
        <x:f>IF(AB660=0,0,AC660/AB660)</x:f>
        <x:v>0.5</x:v>
      </x:c>
      <x:c r="AN660" s="37" t="n">
        <x:f>ROUND((AD660*0.20+AE660*0.20+AF660*0.25+AG660*0.15+MIN(100,AC660*12)*0.20),1)</x:f>
        <x:v>67.4</x:v>
      </x:c>
      <x:c r="AO660" s="37" t="n">
        <x:f>ROUND(MAX(0,MIN(100,(X660*0.35)+(W660/45*100*0.20)+((5-O660)/4*100*0.15)+((5-P660)/4*100*0.10)+((6-Y660)/5*100*0.10)+((100-Z660)*0.10))),1)</x:f>
        <x:v>62.1</x:v>
      </x:c>
      <x:c r="AP660" s="37" t="str">
        <x:f>IF(AO660&gt;=70,"High",IF(AO660&gt;=40,"Moderate","Low"))</x:f>
        <x:v>Moderate</x:v>
      </x:c>
      <x:c r="AQ660" s="37" t="n">
        <x:f>ROUND(MAX(0,MIN(100,(O660/4*100*0.25)+(P660/4*100*0.20)+(Q660/4*100*0.15)+(Y660/5*100*0.20)+(100-AO660)*0.20)),1)</x:f>
        <x:v>57.3</x:v>
      </x:c>
      <x:c r="AR660" s="37" t="n">
        <x:f>ROUND((AI660*0.20+AJ660*0.15+AN660*0.18+AG660*0.12+Z660*0.15+AQ660*0.20),1)</x:f>
        <x:v>85.1</x:v>
      </x:c>
      <x:c r="AS660" s="39" t="n">
        <x:f>ROUND((AC660*AF660*120)+(AH660*350)+(MAX(0,AI660-75)*220)+(MAX(0,AQ660-60)*100),0)</x:f>
        <x:v>23044</x:v>
      </x:c>
    </x:row>
    <x:row r="661">
      <x:c r="A661" s="35" t="n">
        <x:v>660</x:v>
      </x:c>
      <x:c r="B661" s="35" t="n">
        <x:v>33</x:v>
      </x:c>
      <x:c r="C661" s="35" t="str">
        <x:v>Male</x:v>
      </x:c>
      <x:c r="D661" s="35" t="str">
        <x:v>Human Resources</x:v>
      </x:c>
      <x:c r="E661" s="35" t="str">
        <x:v>HR Manager</x:v>
      </x:c>
      <x:c r="F661" s="35" t="str">
        <x:v>Business</x:v>
      </x:c>
      <x:c r="G661" s="35" t="str">
        <x:v>Married</x:v>
      </x:c>
      <x:c r="H661" s="35" t="n">
        <x:v>2</x:v>
      </x:c>
      <x:c r="I661" s="36" t="n">
        <x:v>8300</x:v>
      </x:c>
      <x:c r="J661" s="35" t="n">
        <x:v>10</x:v>
      </x:c>
      <x:c r="K661" s="35" t="n">
        <x:v>7</x:v>
      </x:c>
      <x:c r="L661" s="35" t="n">
        <x:v>3</x:v>
      </x:c>
      <x:c r="M661" s="35" t="n">
        <x:v>10</x:v>
      </x:c>
      <x:c r="N661" s="35" t="str">
        <x:v>No</x:v>
      </x:c>
      <x:c r="O661" s="35" t="n">
        <x:v>1</x:v>
      </x:c>
      <x:c r="P661" s="35" t="n">
        <x:v>4</x:v>
      </x:c>
      <x:c r="Q661" s="35" t="n">
        <x:v>2</x:v>
      </x:c>
      <x:c r="R661" s="35" t="n">
        <x:v>4</x:v>
      </x:c>
      <x:c r="S661" s="35" t="n">
        <x:v>3</x:v>
      </x:c>
      <x:c r="T661" s="35" t="n">
        <x:v>1</x:v>
      </x:c>
      <x:c r="U661" s="35" t="n">
        <x:v>0</x:v>
      </x:c>
      <x:c r="V661" s="35" t="n">
        <x:v>8</x:v>
      </x:c>
      <x:c r="W661" s="35" t="n">
        <x:v>0</x:v>
      </x:c>
      <x:c r="X661" s="35" t="n">
        <x:v>83</x:v>
      </x:c>
      <x:c r="Y661" s="35" t="n">
        <x:v>5</x:v>
      </x:c>
      <x:c r="Z661" s="35" t="n">
        <x:v>100</x:v>
      </x:c>
      <x:c r="AA661" s="35" t="n">
        <x:v>7</x:v>
      </x:c>
      <x:c r="AB661" s="35" t="n">
        <x:v>7</x:v>
      </x:c>
      <x:c r="AC661" s="35" t="n">
        <x:v>5</x:v>
      </x:c>
      <x:c r="AD661" s="35" t="n">
        <x:v>62</x:v>
      </x:c>
      <x:c r="AE661" s="35" t="n">
        <x:v>91</x:v>
      </x:c>
      <x:c r="AF661" s="35" t="n">
        <x:v>76</x:v>
      </x:c>
      <x:c r="AG661" s="35" t="n">
        <x:v>97</x:v>
      </x:c>
      <x:c r="AH661" s="35" t="n">
        <x:v>7</x:v>
      </x:c>
      <x:c r="AI661" s="37" t="n">
        <x:v>94.3</x:v>
      </x:c>
      <x:c r="AJ661" s="37" t="n">
        <x:v>92.5</x:v>
      </x:c>
      <x:c r="AK661" s="35" t="str">
        <x:v>No</x:v>
      </x:c>
      <x:c r="AL661" s="38" t="n">
        <x:f>IF(AA661=0,0,AB661/AA661)</x:f>
        <x:v>1</x:v>
      </x:c>
      <x:c r="AM661" s="38" t="n">
        <x:f>IF(AB661=0,0,AC661/AB661)</x:f>
        <x:v>0.7142857142857143</x:v>
      </x:c>
      <x:c r="AN661" s="37" t="n">
        <x:f>ROUND((AD661*0.20+AE661*0.20+AF661*0.25+AG661*0.15+MIN(100,AC661*12)*0.20),1)</x:f>
        <x:v>76.2</x:v>
      </x:c>
      <x:c r="AO661" s="37" t="n">
        <x:f>ROUND(MAX(0,MIN(100,(X661*0.35)+(W661/45*100*0.20)+((5-O661)/4*100*0.15)+((5-P661)/4*100*0.10)+((6-Y661)/5*100*0.10)+((100-Z661)*0.10))),1)</x:f>
        <x:v>48.6</x:v>
      </x:c>
      <x:c r="AP661" s="37" t="str">
        <x:f>IF(AO661&gt;=70,"High",IF(AO661&gt;=40,"Moderate","Low"))</x:f>
        <x:v>Moderate</x:v>
      </x:c>
      <x:c r="AQ661" s="37" t="n">
        <x:f>ROUND(MAX(0,MIN(100,(O661/4*100*0.25)+(P661/4*100*0.20)+(Q661/4*100*0.15)+(Y661/5*100*0.20)+(100-AO661)*0.20)),1)</x:f>
        <x:v>64</x:v>
      </x:c>
      <x:c r="AR661" s="37" t="n">
        <x:f>ROUND((AI661*0.20+AJ661*0.15+AN661*0.18+AG661*0.12+Z661*0.15+AQ661*0.20),1)</x:f>
        <x:v>85.9</x:v>
      </x:c>
      <x:c r="AS661" s="39" t="n">
        <x:f>ROUND((AC661*AF661*120)+(AH661*350)+(MAX(0,AI661-75)*220)+(MAX(0,AQ661-60)*100),0)</x:f>
        <x:v>52696</x:v>
      </x:c>
    </x:row>
    <x:row r="662">
      <x:c r="A662" s="35" t="n">
        <x:v>661</x:v>
      </x:c>
      <x:c r="B662" s="35" t="n">
        <x:v>32</x:v>
      </x:c>
      <x:c r="C662" s="35" t="str">
        <x:v>Female</x:v>
      </x:c>
      <x:c r="D662" s="35" t="str">
        <x:v>Research &amp; Development</x:v>
      </x:c>
      <x:c r="E662" s="35" t="str">
        <x:v>Data Scientist</x:v>
      </x:c>
      <x:c r="F662" s="35" t="str">
        <x:v>Computer Science</x:v>
      </x:c>
      <x:c r="G662" s="35" t="str">
        <x:v>Married</x:v>
      </x:c>
      <x:c r="H662" s="35" t="n">
        <x:v>2</x:v>
      </x:c>
      <x:c r="I662" s="36" t="n">
        <x:v>9330</x:v>
      </x:c>
      <x:c r="J662" s="35" t="n">
        <x:v>6</x:v>
      </x:c>
      <x:c r="K662" s="35" t="n">
        <x:v>3</x:v>
      </x:c>
      <x:c r="L662" s="35" t="n">
        <x:v>2</x:v>
      </x:c>
      <x:c r="M662" s="35" t="n">
        <x:v>6</x:v>
      </x:c>
      <x:c r="N662" s="35" t="str">
        <x:v>Yes</x:v>
      </x:c>
      <x:c r="O662" s="35" t="n">
        <x:v>2</x:v>
      </x:c>
      <x:c r="P662" s="35" t="n">
        <x:v>3</x:v>
      </x:c>
      <x:c r="Q662" s="35" t="n">
        <x:v>4</x:v>
      </x:c>
      <x:c r="R662" s="35" t="n">
        <x:v>3</x:v>
      </x:c>
      <x:c r="S662" s="35" t="n">
        <x:v>4</x:v>
      </x:c>
      <x:c r="T662" s="35" t="n">
        <x:v>4</x:v>
      </x:c>
      <x:c r="U662" s="35" t="n">
        <x:v>0</x:v>
      </x:c>
      <x:c r="V662" s="35" t="n">
        <x:v>10</x:v>
      </x:c>
      <x:c r="W662" s="35" t="n">
        <x:v>25</x:v>
      </x:c>
      <x:c r="X662" s="35" t="n">
        <x:v>87</x:v>
      </x:c>
      <x:c r="Y662" s="35" t="n">
        <x:v>3</x:v>
      </x:c>
      <x:c r="Z662" s="35" t="n">
        <x:v>97</x:v>
      </x:c>
      <x:c r="AA662" s="35" t="n">
        <x:v>7</x:v>
      </x:c>
      <x:c r="AB662" s="35" t="n">
        <x:v>4</x:v>
      </x:c>
      <x:c r="AC662" s="35" t="n">
        <x:v>3</x:v>
      </x:c>
      <x:c r="AD662" s="35" t="n">
        <x:v>80</x:v>
      </x:c>
      <x:c r="AE662" s="35" t="n">
        <x:v>90</x:v>
      </x:c>
      <x:c r="AF662" s="35" t="n">
        <x:v>74</x:v>
      </x:c>
      <x:c r="AG662" s="35" t="n">
        <x:v>93</x:v>
      </x:c>
      <x:c r="AH662" s="35" t="n">
        <x:v>9</x:v>
      </x:c>
      <x:c r="AI662" s="37" t="n">
        <x:v>90.4</x:v>
      </x:c>
      <x:c r="AJ662" s="37" t="n">
        <x:v>100</x:v>
      </x:c>
      <x:c r="AK662" s="35" t="str">
        <x:v>No</x:v>
      </x:c>
      <x:c r="AL662" s="38" t="n">
        <x:f>IF(AA662=0,0,AB662/AA662)</x:f>
        <x:v>0.5714285714285714</x:v>
      </x:c>
      <x:c r="AM662" s="38" t="n">
        <x:f>IF(AB662=0,0,AC662/AB662)</x:f>
        <x:v>0.75</x:v>
      </x:c>
      <x:c r="AN662" s="37" t="n">
        <x:f>ROUND((AD662*0.20+AE662*0.20+AF662*0.25+AG662*0.15+MIN(100,AC662*12)*0.20),1)</x:f>
        <x:v>73.7</x:v>
      </x:c>
      <x:c r="AO662" s="37" t="n">
        <x:f>ROUND(MAX(0,MIN(100,(X662*0.35)+(W662/45*100*0.20)+((5-O662)/4*100*0.15)+((5-P662)/4*100*0.10)+((6-Y662)/5*100*0.10)+((100-Z662)*0.10))),1)</x:f>
        <x:v>64.1</x:v>
      </x:c>
      <x:c r="AP662" s="37" t="str">
        <x:f>IF(AO662&gt;=70,"High",IF(AO662&gt;=40,"Moderate","Low"))</x:f>
        <x:v>Moderate</x:v>
      </x:c>
      <x:c r="AQ662" s="37" t="n">
        <x:f>ROUND(MAX(0,MIN(100,(O662/4*100*0.25)+(P662/4*100*0.20)+(Q662/4*100*0.15)+(Y662/5*100*0.20)+(100-AO662)*0.20)),1)</x:f>
        <x:v>61.7</x:v>
      </x:c>
      <x:c r="AR662" s="37" t="n">
        <x:f>ROUND((AI662*0.20+AJ662*0.15+AN662*0.18+AG662*0.12+Z662*0.15+AQ662*0.20),1)</x:f>
        <x:v>84.4</x:v>
      </x:c>
      <x:c r="AS662" s="39" t="n">
        <x:f>ROUND((AC662*AF662*120)+(AH662*350)+(MAX(0,AI662-75)*220)+(MAX(0,AQ662-60)*100),0)</x:f>
        <x:v>33348</x:v>
      </x:c>
    </x:row>
    <x:row r="663">
      <x:c r="A663" s="35" t="n">
        <x:v>662</x:v>
      </x:c>
      <x:c r="B663" s="35" t="n">
        <x:v>21</x:v>
      </x:c>
      <x:c r="C663" s="35" t="str">
        <x:v>Male</x:v>
      </x:c>
      <x:c r="D663" s="35" t="str">
        <x:v>Finance</x:v>
      </x:c>
      <x:c r="E663" s="35" t="str">
        <x:v>Financial Analyst</x:v>
      </x:c>
      <x:c r="F663" s="35" t="str">
        <x:v>Marketing</x:v>
      </x:c>
      <x:c r="G663" s="35" t="str">
        <x:v>Married</x:v>
      </x:c>
      <x:c r="H663" s="35" t="n">
        <x:v>1</x:v>
      </x:c>
      <x:c r="I663" s="36" t="n">
        <x:v>5090</x:v>
      </x:c>
      <x:c r="J663" s="35" t="n">
        <x:v>0</x:v>
      </x:c>
      <x:c r="K663" s="35" t="n">
        <x:v>0</x:v>
      </x:c>
      <x:c r="L663" s="35" t="n">
        <x:v>0</x:v>
      </x:c>
      <x:c r="M663" s="35" t="n">
        <x:v>5</x:v>
      </x:c>
      <x:c r="N663" s="35" t="str">
        <x:v>No</x:v>
      </x:c>
      <x:c r="O663" s="35" t="n">
        <x:v>2</x:v>
      </x:c>
      <x:c r="P663" s="35" t="n">
        <x:v>4</x:v>
      </x:c>
      <x:c r="Q663" s="35" t="n">
        <x:v>2</x:v>
      </x:c>
      <x:c r="R663" s="35" t="n">
        <x:v>3</x:v>
      </x:c>
      <x:c r="S663" s="35" t="n">
        <x:v>3</x:v>
      </x:c>
      <x:c r="T663" s="35" t="n">
        <x:v>4</x:v>
      </x:c>
      <x:c r="U663" s="35" t="n">
        <x:v>1</x:v>
      </x:c>
      <x:c r="V663" s="35" t="n">
        <x:v>1</x:v>
      </x:c>
      <x:c r="W663" s="35" t="n">
        <x:v>17</x:v>
      </x:c>
      <x:c r="X663" s="35" t="n">
        <x:v>52</x:v>
      </x:c>
      <x:c r="Y663" s="35" t="n">
        <x:v>4</x:v>
      </x:c>
      <x:c r="Z663" s="35" t="n">
        <x:v>100</x:v>
      </x:c>
      <x:c r="AA663" s="35" t="n">
        <x:v>6</x:v>
      </x:c>
      <x:c r="AB663" s="35" t="n">
        <x:v>4</x:v>
      </x:c>
      <x:c r="AC663" s="35" t="n">
        <x:v>2</x:v>
      </x:c>
      <x:c r="AD663" s="35" t="n">
        <x:v>66</x:v>
      </x:c>
      <x:c r="AE663" s="35" t="n">
        <x:v>71</x:v>
      </x:c>
      <x:c r="AF663" s="35" t="n">
        <x:v>84</x:v>
      </x:c>
      <x:c r="AG663" s="35" t="n">
        <x:v>90</x:v>
      </x:c>
      <x:c r="AH663" s="35" t="n">
        <x:v>6</x:v>
      </x:c>
      <x:c r="AI663" s="37" t="n">
        <x:v>95.8</x:v>
      </x:c>
      <x:c r="AJ663" s="37" t="n">
        <x:v>81.5</x:v>
      </x:c>
      <x:c r="AK663" s="35" t="str">
        <x:v>No</x:v>
      </x:c>
      <x:c r="AL663" s="38" t="n">
        <x:f>IF(AA663=0,0,AB663/AA663)</x:f>
        <x:v>0.6666666666666666</x:v>
      </x:c>
      <x:c r="AM663" s="38" t="n">
        <x:f>IF(AB663=0,0,AC663/AB663)</x:f>
        <x:v>0.5</x:v>
      </x:c>
      <x:c r="AN663" s="37" t="n">
        <x:f>ROUND((AD663*0.20+AE663*0.20+AF663*0.25+AG663*0.15+MIN(100,AC663*12)*0.20),1)</x:f>
        <x:v>66.7</x:v>
      </x:c>
      <x:c r="AO663" s="37" t="n">
        <x:f>ROUND(MAX(0,MIN(100,(X663*0.35)+(W663/45*100*0.20)+((5-O663)/4*100*0.15)+((5-P663)/4*100*0.10)+((6-Y663)/5*100*0.10)+((100-Z663)*0.10))),1)</x:f>
        <x:v>43.5</x:v>
      </x:c>
      <x:c r="AP663" s="37" t="str">
        <x:f>IF(AO663&gt;=70,"High",IF(AO663&gt;=40,"Moderate","Low"))</x:f>
        <x:v>Moderate</x:v>
      </x:c>
      <x:c r="AQ663" s="37" t="n">
        <x:f>ROUND(MAX(0,MIN(100,(O663/4*100*0.25)+(P663/4*100*0.20)+(Q663/4*100*0.15)+(Y663/5*100*0.20)+(100-AO663)*0.20)),1)</x:f>
        <x:v>67.3</x:v>
      </x:c>
      <x:c r="AR663" s="37" t="n">
        <x:f>ROUND((AI663*0.20+AJ663*0.15+AN663*0.18+AG663*0.12+Z663*0.15+AQ663*0.20),1)</x:f>
        <x:v>82.7</x:v>
      </x:c>
      <x:c r="AS663" s="39" t="n">
        <x:f>ROUND((AC663*AF663*120)+(AH663*350)+(MAX(0,AI663-75)*220)+(MAX(0,AQ663-60)*100),0)</x:f>
        <x:v>27566</x:v>
      </x:c>
    </x:row>
    <x:row r="664">
      <x:c r="A664" s="35" t="n">
        <x:v>663</x:v>
      </x:c>
      <x:c r="B664" s="35" t="n">
        <x:v>39</x:v>
      </x:c>
      <x:c r="C664" s="35" t="str">
        <x:v>Male</x:v>
      </x:c>
      <x:c r="D664" s="35" t="str">
        <x:v>Finance</x:v>
      </x:c>
      <x:c r="E664" s="35" t="str">
        <x:v>Financial Analyst</x:v>
      </x:c>
      <x:c r="F664" s="35" t="str">
        <x:v>Computer Science</x:v>
      </x:c>
      <x:c r="G664" s="35" t="str">
        <x:v>Married</x:v>
      </x:c>
      <x:c r="H664" s="35" t="n">
        <x:v>2</x:v>
      </x:c>
      <x:c r="I664" s="36" t="n">
        <x:v>8460</x:v>
      </x:c>
      <x:c r="J664" s="35" t="n">
        <x:v>16</x:v>
      </x:c>
      <x:c r="K664" s="35" t="n">
        <x:v>13</x:v>
      </x:c>
      <x:c r="L664" s="35" t="n">
        <x:v>5</x:v>
      </x:c>
      <x:c r="M664" s="35" t="n">
        <x:v>10</x:v>
      </x:c>
      <x:c r="N664" s="35" t="str">
        <x:v>No</x:v>
      </x:c>
      <x:c r="O664" s="35" t="n">
        <x:v>2</x:v>
      </x:c>
      <x:c r="P664" s="35" t="n">
        <x:v>3</x:v>
      </x:c>
      <x:c r="Q664" s="35" t="n">
        <x:v>4</x:v>
      </x:c>
      <x:c r="R664" s="35" t="n">
        <x:v>3</x:v>
      </x:c>
      <x:c r="S664" s="35" t="n">
        <x:v>3</x:v>
      </x:c>
      <x:c r="T664" s="35" t="n">
        <x:v>3</x:v>
      </x:c>
      <x:c r="U664" s="35" t="n">
        <x:v>0</x:v>
      </x:c>
      <x:c r="V664" s="35" t="n">
        <x:v>6</x:v>
      </x:c>
      <x:c r="W664" s="35" t="n">
        <x:v>13</x:v>
      </x:c>
      <x:c r="X664" s="35" t="n">
        <x:v>60</x:v>
      </x:c>
      <x:c r="Y664" s="35" t="n">
        <x:v>5</x:v>
      </x:c>
      <x:c r="Z664" s="35" t="n">
        <x:v>100</x:v>
      </x:c>
      <x:c r="AA664" s="35" t="n">
        <x:v>7</x:v>
      </x:c>
      <x:c r="AB664" s="35" t="n">
        <x:v>3</x:v>
      </x:c>
      <x:c r="AC664" s="35" t="n">
        <x:v>1</x:v>
      </x:c>
      <x:c r="AD664" s="35" t="n">
        <x:v>58</x:v>
      </x:c>
      <x:c r="AE664" s="35" t="n">
        <x:v>84</x:v>
      </x:c>
      <x:c r="AF664" s="35" t="n">
        <x:v>73</x:v>
      </x:c>
      <x:c r="AG664" s="35" t="n">
        <x:v>77</x:v>
      </x:c>
      <x:c r="AH664" s="35" t="n">
        <x:v>6</x:v>
      </x:c>
      <x:c r="AI664" s="37" t="n">
        <x:v>100</x:v>
      </x:c>
      <x:c r="AJ664" s="37" t="n">
        <x:v>91.4</x:v>
      </x:c>
      <x:c r="AK664" s="35" t="str">
        <x:v>No</x:v>
      </x:c>
      <x:c r="AL664" s="38" t="n">
        <x:f>IF(AA664=0,0,AB664/AA664)</x:f>
        <x:v>0.42857142857142855</x:v>
      </x:c>
      <x:c r="AM664" s="38" t="n">
        <x:f>IF(AB664=0,0,AC664/AB664)</x:f>
        <x:v>0.3333333333333333</x:v>
      </x:c>
      <x:c r="AN664" s="37" t="n">
        <x:f>ROUND((AD664*0.20+AE664*0.20+AF664*0.25+AG664*0.15+MIN(100,AC664*12)*0.20),1)</x:f>
        <x:v>60.6</x:v>
      </x:c>
      <x:c r="AO664" s="37" t="n">
        <x:f>ROUND(MAX(0,MIN(100,(X664*0.35)+(W664/45*100*0.20)+((5-O664)/4*100*0.15)+((5-P664)/4*100*0.10)+((6-Y664)/5*100*0.10)+((100-Z664)*0.10))),1)</x:f>
        <x:v>45</x:v>
      </x:c>
      <x:c r="AP664" s="37" t="str">
        <x:f>IF(AO664&gt;=70,"High",IF(AO664&gt;=40,"Moderate","Low"))</x:f>
        <x:v>Moderate</x:v>
      </x:c>
      <x:c r="AQ664" s="37" t="n">
        <x:f>ROUND(MAX(0,MIN(100,(O664/4*100*0.25)+(P664/4*100*0.20)+(Q664/4*100*0.15)+(Y664/5*100*0.20)+(100-AO664)*0.20)),1)</x:f>
        <x:v>73.5</x:v>
      </x:c>
      <x:c r="AR664" s="37" t="n">
        <x:f>ROUND((AI664*0.20+AJ664*0.15+AN664*0.18+AG664*0.12+Z664*0.15+AQ664*0.20),1)</x:f>
        <x:v>83.6</x:v>
      </x:c>
      <x:c r="AS664" s="39" t="n">
        <x:f>ROUND((AC664*AF664*120)+(AH664*350)+(MAX(0,AI664-75)*220)+(MAX(0,AQ664-60)*100),0)</x:f>
        <x:v>17710</x:v>
      </x:c>
    </x:row>
    <x:row r="665">
      <x:c r="A665" s="35" t="n">
        <x:v>664</x:v>
      </x:c>
      <x:c r="B665" s="35" t="n">
        <x:v>50</x:v>
      </x:c>
      <x:c r="C665" s="35" t="str">
        <x:v>Female</x:v>
      </x:c>
      <x:c r="D665" s="35" t="str">
        <x:v>Finance</x:v>
      </x:c>
      <x:c r="E665" s="35" t="str">
        <x:v>Financial Analyst</x:v>
      </x:c>
      <x:c r="F665" s="35" t="str">
        <x:v>Marketing</x:v>
      </x:c>
      <x:c r="G665" s="35" t="str">
        <x:v>Single</x:v>
      </x:c>
      <x:c r="H665" s="35" t="n">
        <x:v>3</x:v>
      </x:c>
      <x:c r="I665" s="36" t="n">
        <x:v>10790</x:v>
      </x:c>
      <x:c r="J665" s="35" t="n">
        <x:v>22</x:v>
      </x:c>
      <x:c r="K665" s="35" t="n">
        <x:v>11</x:v>
      </x:c>
      <x:c r="L665" s="35" t="n">
        <x:v>3</x:v>
      </x:c>
      <x:c r="M665" s="35" t="n">
        <x:v>8</x:v>
      </x:c>
      <x:c r="N665" s="35" t="str">
        <x:v>No</x:v>
      </x:c>
      <x:c r="O665" s="35" t="n">
        <x:v>4</x:v>
      </x:c>
      <x:c r="P665" s="35" t="n">
        <x:v>3</x:v>
      </x:c>
      <x:c r="Q665" s="35" t="n">
        <x:v>3</x:v>
      </x:c>
      <x:c r="R665" s="35" t="n">
        <x:v>2</x:v>
      </x:c>
      <x:c r="S665" s="35" t="n">
        <x:v>3</x:v>
      </x:c>
      <x:c r="T665" s="35" t="n">
        <x:v>1</x:v>
      </x:c>
      <x:c r="U665" s="35" t="n">
        <x:v>2</x:v>
      </x:c>
      <x:c r="V665" s="35" t="n">
        <x:v>0</x:v>
      </x:c>
      <x:c r="W665" s="35" t="n">
        <x:v>5</x:v>
      </x:c>
      <x:c r="X665" s="35" t="n">
        <x:v>59</x:v>
      </x:c>
      <x:c r="Y665" s="35" t="n">
        <x:v>5</x:v>
      </x:c>
      <x:c r="Z665" s="35" t="n">
        <x:v>92</x:v>
      </x:c>
      <x:c r="AA665" s="35" t="n">
        <x:v>11</x:v>
      </x:c>
      <x:c r="AB665" s="35" t="n">
        <x:v>9</x:v>
      </x:c>
      <x:c r="AC665" s="35" t="n">
        <x:v>8</x:v>
      </x:c>
      <x:c r="AD665" s="35" t="n">
        <x:v>85</x:v>
      </x:c>
      <x:c r="AE665" s="35" t="n">
        <x:v>71</x:v>
      </x:c>
      <x:c r="AF665" s="35" t="n">
        <x:v>100</x:v>
      </x:c>
      <x:c r="AG665" s="35" t="n">
        <x:v>73</x:v>
      </x:c>
      <x:c r="AH665" s="35" t="n">
        <x:v>8</x:v>
      </x:c>
      <x:c r="AI665" s="37" t="n">
        <x:v>100</x:v>
      </x:c>
      <x:c r="AJ665" s="37" t="n">
        <x:v>94.3</x:v>
      </x:c>
      <x:c r="AK665" s="35" t="str">
        <x:v>No</x:v>
      </x:c>
      <x:c r="AL665" s="38" t="n">
        <x:f>IF(AA665=0,0,AB665/AA665)</x:f>
        <x:v>0.8181818181818182</x:v>
      </x:c>
      <x:c r="AM665" s="38" t="n">
        <x:f>IF(AB665=0,0,AC665/AB665)</x:f>
        <x:v>0.8888888888888888</x:v>
      </x:c>
      <x:c r="AN665" s="37" t="n">
        <x:f>ROUND((AD665*0.20+AE665*0.20+AF665*0.25+AG665*0.15+MIN(100,AC665*12)*0.20),1)</x:f>
        <x:v>86.4</x:v>
      </x:c>
      <x:c r="AO665" s="37" t="n">
        <x:f>ROUND(MAX(0,MIN(100,(X665*0.35)+(W665/45*100*0.20)+((5-O665)/4*100*0.15)+((5-P665)/4*100*0.10)+((6-Y665)/5*100*0.10)+((100-Z665)*0.10))),1)</x:f>
        <x:v>34.4</x:v>
      </x:c>
      <x:c r="AP665" s="37" t="str">
        <x:f>IF(AO665&gt;=70,"High",IF(AO665&gt;=40,"Moderate","Low"))</x:f>
        <x:v>Low</x:v>
      </x:c>
      <x:c r="AQ665" s="37" t="n">
        <x:f>ROUND(MAX(0,MIN(100,(O665/4*100*0.25)+(P665/4*100*0.20)+(Q665/4*100*0.15)+(Y665/5*100*0.20)+(100-AO665)*0.20)),1)</x:f>
        <x:v>84.4</x:v>
      </x:c>
      <x:c r="AR665" s="37" t="n">
        <x:f>ROUND((AI665*0.20+AJ665*0.15+AN665*0.18+AG665*0.12+Z665*0.15+AQ665*0.20),1)</x:f>
        <x:v>89.1</x:v>
      </x:c>
      <x:c r="AS665" s="39" t="n">
        <x:f>ROUND((AC665*AF665*120)+(AH665*350)+(MAX(0,AI665-75)*220)+(MAX(0,AQ665-60)*100),0)</x:f>
        <x:v>106740</x:v>
      </x:c>
    </x:row>
    <x:row r="666">
      <x:c r="A666" s="35" t="n">
        <x:v>665</x:v>
      </x:c>
      <x:c r="B666" s="35" t="n">
        <x:v>34</x:v>
      </x:c>
      <x:c r="C666" s="35" t="str">
        <x:v>Male</x:v>
      </x:c>
      <x:c r="D666" s="35" t="str">
        <x:v>Finance</x:v>
      </x:c>
      <x:c r="E666" s="35" t="str">
        <x:v>Accountant</x:v>
      </x:c>
      <x:c r="F666" s="35" t="str">
        <x:v>Medical</x:v>
      </x:c>
      <x:c r="G666" s="35" t="str">
        <x:v>Single</x:v>
      </x:c>
      <x:c r="H666" s="35" t="n">
        <x:v>3</x:v>
      </x:c>
      <x:c r="I666" s="36" t="n">
        <x:v>13660</x:v>
      </x:c>
      <x:c r="J666" s="35" t="n">
        <x:v>8</x:v>
      </x:c>
      <x:c r="K666" s="35" t="n">
        <x:v>4</x:v>
      </x:c>
      <x:c r="L666" s="35" t="n">
        <x:v>1</x:v>
      </x:c>
      <x:c r="M666" s="35" t="n">
        <x:v>7</x:v>
      </x:c>
      <x:c r="N666" s="35" t="str">
        <x:v>Yes</x:v>
      </x:c>
      <x:c r="O666" s="35" t="n">
        <x:v>3</x:v>
      </x:c>
      <x:c r="P666" s="35" t="n">
        <x:v>2</x:v>
      </x:c>
      <x:c r="Q666" s="35" t="n">
        <x:v>1</x:v>
      </x:c>
      <x:c r="R666" s="35" t="n">
        <x:v>4</x:v>
      </x:c>
      <x:c r="S666" s="35" t="n">
        <x:v>3</x:v>
      </x:c>
      <x:c r="T666" s="35" t="n">
        <x:v>4</x:v>
      </x:c>
      <x:c r="U666" s="35" t="n">
        <x:v>0</x:v>
      </x:c>
      <x:c r="V666" s="35" t="n">
        <x:v>9</x:v>
      </x:c>
      <x:c r="W666" s="35" t="n">
        <x:v>18</x:v>
      </x:c>
      <x:c r="X666" s="35" t="n">
        <x:v>83</x:v>
      </x:c>
      <x:c r="Y666" s="35" t="n">
        <x:v>4</x:v>
      </x:c>
      <x:c r="Z666" s="35" t="n">
        <x:v>100</x:v>
      </x:c>
      <x:c r="AA666" s="35" t="n">
        <x:v>9</x:v>
      </x:c>
      <x:c r="AB666" s="35" t="n">
        <x:v>8</x:v>
      </x:c>
      <x:c r="AC666" s="35" t="n">
        <x:v>6</x:v>
      </x:c>
      <x:c r="AD666" s="35" t="n">
        <x:v>72</x:v>
      </x:c>
      <x:c r="AE666" s="35" t="n">
        <x:v>89</x:v>
      </x:c>
      <x:c r="AF666" s="35" t="n">
        <x:v>68</x:v>
      </x:c>
      <x:c r="AG666" s="35" t="n">
        <x:v>79</x:v>
      </x:c>
      <x:c r="AH666" s="35" t="n">
        <x:v>9</x:v>
      </x:c>
      <x:c r="AI666" s="37" t="n">
        <x:v>100</x:v>
      </x:c>
      <x:c r="AJ666" s="37" t="n">
        <x:v>87.4</x:v>
      </x:c>
      <x:c r="AK666" s="35" t="str">
        <x:v>No</x:v>
      </x:c>
      <x:c r="AL666" s="38" t="n">
        <x:f>IF(AA666=0,0,AB666/AA666)</x:f>
        <x:v>0.8888888888888888</x:v>
      </x:c>
      <x:c r="AM666" s="38" t="n">
        <x:f>IF(AB666=0,0,AC666/AB666)</x:f>
        <x:v>0.75</x:v>
      </x:c>
      <x:c r="AN666" s="37" t="n">
        <x:f>ROUND((AD666*0.20+AE666*0.20+AF666*0.25+AG666*0.15+MIN(100,AC666*12)*0.20),1)</x:f>
        <x:v>75.5</x:v>
      </x:c>
      <x:c r="AO666" s="37" t="n">
        <x:f>ROUND(MAX(0,MIN(100,(X666*0.35)+(W666/45*100*0.20)+((5-O666)/4*100*0.15)+((5-P666)/4*100*0.10)+((6-Y666)/5*100*0.10)+((100-Z666)*0.10))),1)</x:f>
        <x:v>56.1</x:v>
      </x:c>
      <x:c r="AP666" s="37" t="str">
        <x:f>IF(AO666&gt;=70,"High",IF(AO666&gt;=40,"Moderate","Low"))</x:f>
        <x:v>Moderate</x:v>
      </x:c>
      <x:c r="AQ666" s="37" t="n">
        <x:f>ROUND(MAX(0,MIN(100,(O666/4*100*0.25)+(P666/4*100*0.20)+(Q666/4*100*0.15)+(Y666/5*100*0.20)+(100-AO666)*0.20)),1)</x:f>
        <x:v>57.3</x:v>
      </x:c>
      <x:c r="AR666" s="37" t="n">
        <x:f>ROUND((AI666*0.20+AJ666*0.15+AN666*0.18+AG666*0.12+Z666*0.15+AQ666*0.20),1)</x:f>
        <x:v>82.6</x:v>
      </x:c>
      <x:c r="AS666" s="39" t="n">
        <x:f>ROUND((AC666*AF666*120)+(AH666*350)+(MAX(0,AI666-75)*220)+(MAX(0,AQ666-60)*100),0)</x:f>
        <x:v>57610</x:v>
      </x:c>
    </x:row>
    <x:row r="667">
      <x:c r="A667" s="35" t="n">
        <x:v>666</x:v>
      </x:c>
      <x:c r="B667" s="35" t="n">
        <x:v>37</x:v>
      </x:c>
      <x:c r="C667" s="35" t="str">
        <x:v>Male</x:v>
      </x:c>
      <x:c r="D667" s="35" t="str">
        <x:v>Finance</x:v>
      </x:c>
      <x:c r="E667" s="35" t="str">
        <x:v>Accountant</x:v>
      </x:c>
      <x:c r="F667" s="35" t="str">
        <x:v>Business</x:v>
      </x:c>
      <x:c r="G667" s="35" t="str">
        <x:v>Married</x:v>
      </x:c>
      <x:c r="H667" s="35" t="n">
        <x:v>2</x:v>
      </x:c>
      <x:c r="I667" s="36" t="n">
        <x:v>7650</x:v>
      </x:c>
      <x:c r="J667" s="35" t="n">
        <x:v>9</x:v>
      </x:c>
      <x:c r="K667" s="35" t="n">
        <x:v>7</x:v>
      </x:c>
      <x:c r="L667" s="35" t="n">
        <x:v>5</x:v>
      </x:c>
      <x:c r="M667" s="35" t="n">
        <x:v>4</x:v>
      </x:c>
      <x:c r="N667" s="35" t="str">
        <x:v>No</x:v>
      </x:c>
      <x:c r="O667" s="35" t="n">
        <x:v>2</x:v>
      </x:c>
      <x:c r="P667" s="35" t="n">
        <x:v>3</x:v>
      </x:c>
      <x:c r="Q667" s="35" t="n">
        <x:v>4</x:v>
      </x:c>
      <x:c r="R667" s="35" t="n">
        <x:v>3</x:v>
      </x:c>
      <x:c r="S667" s="35" t="n">
        <x:v>3</x:v>
      </x:c>
      <x:c r="T667" s="35" t="n">
        <x:v>1</x:v>
      </x:c>
      <x:c r="U667" s="35" t="n">
        <x:v>0</x:v>
      </x:c>
      <x:c r="V667" s="35" t="n">
        <x:v>8</x:v>
      </x:c>
      <x:c r="W667" s="35" t="n">
        <x:v>5</x:v>
      </x:c>
      <x:c r="X667" s="35" t="n">
        <x:v>70</x:v>
      </x:c>
      <x:c r="Y667" s="35" t="n">
        <x:v>4</x:v>
      </x:c>
      <x:c r="Z667" s="35" t="n">
        <x:v>100</x:v>
      </x:c>
      <x:c r="AA667" s="35" t="n">
        <x:v>6</x:v>
      </x:c>
      <x:c r="AB667" s="35" t="n">
        <x:v>2</x:v>
      </x:c>
      <x:c r="AC667" s="35" t="n">
        <x:v>1</x:v>
      </x:c>
      <x:c r="AD667" s="35" t="n">
        <x:v>82</x:v>
      </x:c>
      <x:c r="AE667" s="35" t="n">
        <x:v>66</x:v>
      </x:c>
      <x:c r="AF667" s="35" t="n">
        <x:v>79</x:v>
      </x:c>
      <x:c r="AG667" s="35" t="n">
        <x:v>78</x:v>
      </x:c>
      <x:c r="AH667" s="35" t="n">
        <x:v>2</x:v>
      </x:c>
      <x:c r="AI667" s="37" t="n">
        <x:v>88.2</x:v>
      </x:c>
      <x:c r="AJ667" s="37" t="n">
        <x:v>97.9</x:v>
      </x:c>
      <x:c r="AK667" s="35" t="str">
        <x:v>No</x:v>
      </x:c>
      <x:c r="AL667" s="38" t="n">
        <x:f>IF(AA667=0,0,AB667/AA667)</x:f>
        <x:v>0.3333333333333333</x:v>
      </x:c>
      <x:c r="AM667" s="38" t="n">
        <x:f>IF(AB667=0,0,AC667/AB667)</x:f>
        <x:v>0.5</x:v>
      </x:c>
      <x:c r="AN667" s="37" t="n">
        <x:f>ROUND((AD667*0.20+AE667*0.20+AF667*0.25+AG667*0.15+MIN(100,AC667*12)*0.20),1)</x:f>
        <x:v>63.5</x:v>
      </x:c>
      <x:c r="AO667" s="37" t="n">
        <x:f>ROUND(MAX(0,MIN(100,(X667*0.35)+(W667/45*100*0.20)+((5-O667)/4*100*0.15)+((5-P667)/4*100*0.10)+((6-Y667)/5*100*0.10)+((100-Z667)*0.10))),1)</x:f>
        <x:v>47</x:v>
      </x:c>
      <x:c r="AP667" s="37" t="str">
        <x:f>IF(AO667&gt;=70,"High",IF(AO667&gt;=40,"Moderate","Low"))</x:f>
        <x:v>Moderate</x:v>
      </x:c>
      <x:c r="AQ667" s="37" t="n">
        <x:f>ROUND(MAX(0,MIN(100,(O667/4*100*0.25)+(P667/4*100*0.20)+(Q667/4*100*0.15)+(Y667/5*100*0.20)+(100-AO667)*0.20)),1)</x:f>
        <x:v>69.1</x:v>
      </x:c>
      <x:c r="AR667" s="37" t="n">
        <x:f>ROUND((AI667*0.20+AJ667*0.15+AN667*0.18+AG667*0.12+Z667*0.15+AQ667*0.20),1)</x:f>
        <x:v>81.9</x:v>
      </x:c>
      <x:c r="AS667" s="39" t="n">
        <x:f>ROUND((AC667*AF667*120)+(AH667*350)+(MAX(0,AI667-75)*220)+(MAX(0,AQ667-60)*100),0)</x:f>
        <x:v>13994</x:v>
      </x:c>
    </x:row>
    <x:row r="668">
      <x:c r="A668" s="35" t="n">
        <x:v>667</x:v>
      </x:c>
      <x:c r="B668" s="35" t="n">
        <x:v>31</x:v>
      </x:c>
      <x:c r="C668" s="35" t="str">
        <x:v>Female</x:v>
      </x:c>
      <x:c r="D668" s="35" t="str">
        <x:v>Sales</x:v>
      </x:c>
      <x:c r="E668" s="35" t="str">
        <x:v>Account Manager</x:v>
      </x:c>
      <x:c r="F668" s="35" t="str">
        <x:v>Technical Degree</x:v>
      </x:c>
      <x:c r="G668" s="35" t="str">
        <x:v>Single</x:v>
      </x:c>
      <x:c r="H668" s="35" t="n">
        <x:v>1</x:v>
      </x:c>
      <x:c r="I668" s="36" t="n">
        <x:v>5420</x:v>
      </x:c>
      <x:c r="J668" s="35" t="n">
        <x:v>7</x:v>
      </x:c>
      <x:c r="K668" s="35" t="n">
        <x:v>5</x:v>
      </x:c>
      <x:c r="L668" s="35" t="n">
        <x:v>4</x:v>
      </x:c>
      <x:c r="M668" s="35" t="n">
        <x:v>14</x:v>
      </x:c>
      <x:c r="N668" s="35" t="str">
        <x:v>No</x:v>
      </x:c>
      <x:c r="O668" s="35" t="n">
        <x:v>2</x:v>
      </x:c>
      <x:c r="P668" s="35" t="n">
        <x:v>4</x:v>
      </x:c>
      <x:c r="Q668" s="35" t="n">
        <x:v>4</x:v>
      </x:c>
      <x:c r="R668" s="35" t="n">
        <x:v>3</x:v>
      </x:c>
      <x:c r="S668" s="35" t="n">
        <x:v>3</x:v>
      </x:c>
      <x:c r="T668" s="35" t="n">
        <x:v>2</x:v>
      </x:c>
      <x:c r="U668" s="35" t="n">
        <x:v>2</x:v>
      </x:c>
      <x:c r="V668" s="35" t="n">
        <x:v>6</x:v>
      </x:c>
      <x:c r="W668" s="35" t="n">
        <x:v>9</x:v>
      </x:c>
      <x:c r="X668" s="35" t="n">
        <x:v>61</x:v>
      </x:c>
      <x:c r="Y668" s="35" t="n">
        <x:v>5</x:v>
      </x:c>
      <x:c r="Z668" s="35" t="n">
        <x:v>100</x:v>
      </x:c>
      <x:c r="AA668" s="35" t="n">
        <x:v>11</x:v>
      </x:c>
      <x:c r="AB668" s="35" t="n">
        <x:v>8</x:v>
      </x:c>
      <x:c r="AC668" s="35" t="n">
        <x:v>7</x:v>
      </x:c>
      <x:c r="AD668" s="35" t="n">
        <x:v>77</x:v>
      </x:c>
      <x:c r="AE668" s="35" t="n">
        <x:v>74</x:v>
      </x:c>
      <x:c r="AF668" s="35" t="n">
        <x:v>82</x:v>
      </x:c>
      <x:c r="AG668" s="35" t="n">
        <x:v>85</x:v>
      </x:c>
      <x:c r="AH668" s="35" t="n">
        <x:v>11</x:v>
      </x:c>
      <x:c r="AI668" s="37" t="n">
        <x:v>88.1</x:v>
      </x:c>
      <x:c r="AJ668" s="37" t="n">
        <x:v>86.9</x:v>
      </x:c>
      <x:c r="AK668" s="35" t="str">
        <x:v>No</x:v>
      </x:c>
      <x:c r="AL668" s="38" t="n">
        <x:f>IF(AA668=0,0,AB668/AA668)</x:f>
        <x:v>0.7272727272727273</x:v>
      </x:c>
      <x:c r="AM668" s="38" t="n">
        <x:f>IF(AB668=0,0,AC668/AB668)</x:f>
        <x:v>0.875</x:v>
      </x:c>
      <x:c r="AN668" s="37" t="n">
        <x:f>ROUND((AD668*0.20+AE668*0.20+AF668*0.25+AG668*0.15+MIN(100,AC668*12)*0.20),1)</x:f>
        <x:v>80.3</x:v>
      </x:c>
      <x:c r="AO668" s="37" t="n">
        <x:f>ROUND(MAX(0,MIN(100,(X668*0.35)+(W668/45*100*0.20)+((5-O668)/4*100*0.15)+((5-P668)/4*100*0.10)+((6-Y668)/5*100*0.10)+((100-Z668)*0.10))),1)</x:f>
        <x:v>41.1</x:v>
      </x:c>
      <x:c r="AP668" s="37" t="str">
        <x:f>IF(AO668&gt;=70,"High",IF(AO668&gt;=40,"Moderate","Low"))</x:f>
        <x:v>Moderate</x:v>
      </x:c>
      <x:c r="AQ668" s="37" t="n">
        <x:f>ROUND(MAX(0,MIN(100,(O668/4*100*0.25)+(P668/4*100*0.20)+(Q668/4*100*0.15)+(Y668/5*100*0.20)+(100-AO668)*0.20)),1)</x:f>
        <x:v>79.3</x:v>
      </x:c>
      <x:c r="AR668" s="37" t="n">
        <x:f>ROUND((AI668*0.20+AJ668*0.15+AN668*0.18+AG668*0.12+Z668*0.15+AQ668*0.20),1)</x:f>
        <x:v>86.2</x:v>
      </x:c>
      <x:c r="AS668" s="39" t="n">
        <x:f>ROUND((AC668*AF668*120)+(AH668*350)+(MAX(0,AI668-75)*220)+(MAX(0,AQ668-60)*100),0)</x:f>
        <x:v>77542</x:v>
      </x:c>
    </x:row>
    <x:row r="669">
      <x:c r="A669" s="35" t="n">
        <x:v>668</x:v>
      </x:c>
      <x:c r="B669" s="35" t="n">
        <x:v>29</x:v>
      </x:c>
      <x:c r="C669" s="35" t="str">
        <x:v>Male</x:v>
      </x:c>
      <x:c r="D669" s="35" t="str">
        <x:v>Sales</x:v>
      </x:c>
      <x:c r="E669" s="35" t="str">
        <x:v>Sales Representative</x:v>
      </x:c>
      <x:c r="F669" s="35" t="str">
        <x:v>Marketing</x:v>
      </x:c>
      <x:c r="G669" s="35" t="str">
        <x:v>Married</x:v>
      </x:c>
      <x:c r="H669" s="35" t="n">
        <x:v>1</x:v>
      </x:c>
      <x:c r="I669" s="36" t="n">
        <x:v>4780</x:v>
      </x:c>
      <x:c r="J669" s="35" t="n">
        <x:v>4</x:v>
      </x:c>
      <x:c r="K669" s="35" t="n">
        <x:v>3</x:v>
      </x:c>
      <x:c r="L669" s="35" t="n">
        <x:v>2</x:v>
      </x:c>
      <x:c r="M669" s="35" t="n">
        <x:v>23</x:v>
      </x:c>
      <x:c r="N669" s="35" t="str">
        <x:v>No</x:v>
      </x:c>
      <x:c r="O669" s="35" t="n">
        <x:v>2</x:v>
      </x:c>
      <x:c r="P669" s="35" t="n">
        <x:v>3</x:v>
      </x:c>
      <x:c r="Q669" s="35" t="n">
        <x:v>3</x:v>
      </x:c>
      <x:c r="R669" s="35" t="n">
        <x:v>4</x:v>
      </x:c>
      <x:c r="S669" s="35" t="n">
        <x:v>3</x:v>
      </x:c>
      <x:c r="T669" s="35" t="n">
        <x:v>1</x:v>
      </x:c>
      <x:c r="U669" s="35" t="n">
        <x:v>0</x:v>
      </x:c>
      <x:c r="V669" s="35" t="n">
        <x:v>1</x:v>
      </x:c>
      <x:c r="W669" s="35" t="n">
        <x:v>8</x:v>
      </x:c>
      <x:c r="X669" s="35" t="n">
        <x:v>55</x:v>
      </x:c>
      <x:c r="Y669" s="35" t="n">
        <x:v>5</x:v>
      </x:c>
      <x:c r="Z669" s="35" t="n">
        <x:v>100</x:v>
      </x:c>
      <x:c r="AA669" s="35" t="n">
        <x:v>9</x:v>
      </x:c>
      <x:c r="AB669" s="35" t="n">
        <x:v>9</x:v>
      </x:c>
      <x:c r="AC669" s="35" t="n">
        <x:v>6</x:v>
      </x:c>
      <x:c r="AD669" s="35" t="n">
        <x:v>82</x:v>
      </x:c>
      <x:c r="AE669" s="35" t="n">
        <x:v>100</x:v>
      </x:c>
      <x:c r="AF669" s="35" t="n">
        <x:v>76</x:v>
      </x:c>
      <x:c r="AG669" s="35" t="n">
        <x:v>95</x:v>
      </x:c>
      <x:c r="AH669" s="35" t="n">
        <x:v>10</x:v>
      </x:c>
      <x:c r="AI669" s="37" t="n">
        <x:v>96.7</x:v>
      </x:c>
      <x:c r="AJ669" s="37" t="n">
        <x:v>85.5</x:v>
      </x:c>
      <x:c r="AK669" s="35" t="str">
        <x:v>No</x:v>
      </x:c>
      <x:c r="AL669" s="38" t="n">
        <x:f>IF(AA669=0,0,AB669/AA669)</x:f>
        <x:v>1</x:v>
      </x:c>
      <x:c r="AM669" s="38" t="n">
        <x:f>IF(AB669=0,0,AC669/AB669)</x:f>
        <x:v>0.6666666666666666</x:v>
      </x:c>
      <x:c r="AN669" s="37" t="n">
        <x:f>ROUND((AD669*0.20+AE669*0.20+AF669*0.25+AG669*0.15+MIN(100,AC669*12)*0.20),1)</x:f>
        <x:v>84.1</x:v>
      </x:c>
      <x:c r="AO669" s="37" t="n">
        <x:f>ROUND(MAX(0,MIN(100,(X669*0.35)+(W669/45*100*0.20)+((5-O669)/4*100*0.15)+((5-P669)/4*100*0.10)+((6-Y669)/5*100*0.10)+((100-Z669)*0.10))),1)</x:f>
        <x:v>41.1</x:v>
      </x:c>
      <x:c r="AP669" s="37" t="str">
        <x:f>IF(AO669&gt;=70,"High",IF(AO669&gt;=40,"Moderate","Low"))</x:f>
        <x:v>Moderate</x:v>
      </x:c>
      <x:c r="AQ669" s="37" t="n">
        <x:f>ROUND(MAX(0,MIN(100,(O669/4*100*0.25)+(P669/4*100*0.20)+(Q669/4*100*0.15)+(Y669/5*100*0.20)+(100-AO669)*0.20)),1)</x:f>
        <x:v>70.5</x:v>
      </x:c>
      <x:c r="AR669" s="37" t="n">
        <x:f>ROUND((AI669*0.20+AJ669*0.15+AN669*0.18+AG669*0.12+Z669*0.15+AQ669*0.20),1)</x:f>
        <x:v>87.8</x:v>
      </x:c>
      <x:c r="AS669" s="39" t="n">
        <x:f>ROUND((AC669*AF669*120)+(AH669*350)+(MAX(0,AI669-75)*220)+(MAX(0,AQ669-60)*100),0)</x:f>
        <x:v>64044</x:v>
      </x:c>
    </x:row>
    <x:row r="670">
      <x:c r="A670" s="35" t="n">
        <x:v>669</x:v>
      </x:c>
      <x:c r="B670" s="35" t="n">
        <x:v>52</x:v>
      </x:c>
      <x:c r="C670" s="35" t="str">
        <x:v>Male</x:v>
      </x:c>
      <x:c r="D670" s="35" t="str">
        <x:v>Finance</x:v>
      </x:c>
      <x:c r="E670" s="35" t="str">
        <x:v>Financial Analyst</x:v>
      </x:c>
      <x:c r="F670" s="35" t="str">
        <x:v>Computer Science</x:v>
      </x:c>
      <x:c r="G670" s="35" t="str">
        <x:v>Married</x:v>
      </x:c>
      <x:c r="H670" s="35" t="n">
        <x:v>3</x:v>
      </x:c>
      <x:c r="I670" s="36" t="n">
        <x:v>11470</x:v>
      </x:c>
      <x:c r="J670" s="35" t="n">
        <x:v>15</x:v>
      </x:c>
      <x:c r="K670" s="35" t="n">
        <x:v>10</x:v>
      </x:c>
      <x:c r="L670" s="35" t="n">
        <x:v>7</x:v>
      </x:c>
      <x:c r="M670" s="35" t="n">
        <x:v>6</x:v>
      </x:c>
      <x:c r="N670" s="35" t="str">
        <x:v>Yes</x:v>
      </x:c>
      <x:c r="O670" s="35" t="n">
        <x:v>3</x:v>
      </x:c>
      <x:c r="P670" s="35" t="n">
        <x:v>2</x:v>
      </x:c>
      <x:c r="Q670" s="35" t="n">
        <x:v>4</x:v>
      </x:c>
      <x:c r="R670" s="35" t="n">
        <x:v>3</x:v>
      </x:c>
      <x:c r="S670" s="35" t="n">
        <x:v>3</x:v>
      </x:c>
      <x:c r="T670" s="35" t="n">
        <x:v>1</x:v>
      </x:c>
      <x:c r="U670" s="35" t="n">
        <x:v>3</x:v>
      </x:c>
      <x:c r="V670" s="35" t="n">
        <x:v>5</x:v>
      </x:c>
      <x:c r="W670" s="35" t="n">
        <x:v>26</x:v>
      </x:c>
      <x:c r="X670" s="35" t="n">
        <x:v>74</x:v>
      </x:c>
      <x:c r="Y670" s="35" t="n">
        <x:v>4</x:v>
      </x:c>
      <x:c r="Z670" s="35" t="n">
        <x:v>100</x:v>
      </x:c>
      <x:c r="AA670" s="35" t="n">
        <x:v>7</x:v>
      </x:c>
      <x:c r="AB670" s="35" t="n">
        <x:v>6</x:v>
      </x:c>
      <x:c r="AC670" s="35" t="n">
        <x:v>4</x:v>
      </x:c>
      <x:c r="AD670" s="35" t="n">
        <x:v>91</x:v>
      </x:c>
      <x:c r="AE670" s="35" t="n">
        <x:v>81</x:v>
      </x:c>
      <x:c r="AF670" s="35" t="n">
        <x:v>82</x:v>
      </x:c>
      <x:c r="AG670" s="35" t="n">
        <x:v>100</x:v>
      </x:c>
      <x:c r="AH670" s="35" t="n">
        <x:v>8</x:v>
      </x:c>
      <x:c r="AI670" s="37" t="n">
        <x:v>99.2</x:v>
      </x:c>
      <x:c r="AJ670" s="37" t="n">
        <x:v>97.5</x:v>
      </x:c>
      <x:c r="AK670" s="35" t="str">
        <x:v>No</x:v>
      </x:c>
      <x:c r="AL670" s="38" t="n">
        <x:f>IF(AA670=0,0,AB670/AA670)</x:f>
        <x:v>0.8571428571428571</x:v>
      </x:c>
      <x:c r="AM670" s="38" t="n">
        <x:f>IF(AB670=0,0,AC670/AB670)</x:f>
        <x:v>0.6666666666666666</x:v>
      </x:c>
      <x:c r="AN670" s="37" t="n">
        <x:f>ROUND((AD670*0.20+AE670*0.20+AF670*0.25+AG670*0.15+MIN(100,AC670*12)*0.20),1)</x:f>
        <x:v>79.5</x:v>
      </x:c>
      <x:c r="AO670" s="37" t="n">
        <x:f>ROUND(MAX(0,MIN(100,(X670*0.35)+(W670/45*100*0.20)+((5-O670)/4*100*0.15)+((5-P670)/4*100*0.10)+((6-Y670)/5*100*0.10)+((100-Z670)*0.10))),1)</x:f>
        <x:v>56.5</x:v>
      </x:c>
      <x:c r="AP670" s="37" t="str">
        <x:f>IF(AO670&gt;=70,"High",IF(AO670&gt;=40,"Moderate","Low"))</x:f>
        <x:v>Moderate</x:v>
      </x:c>
      <x:c r="AQ670" s="37" t="n">
        <x:f>ROUND(MAX(0,MIN(100,(O670/4*100*0.25)+(P670/4*100*0.20)+(Q670/4*100*0.15)+(Y670/5*100*0.20)+(100-AO670)*0.20)),1)</x:f>
        <x:v>68.5</x:v>
      </x:c>
      <x:c r="AR670" s="37" t="n">
        <x:f>ROUND((AI670*0.20+AJ670*0.15+AN670*0.18+AG670*0.12+Z670*0.15+AQ670*0.20),1)</x:f>
        <x:v>89.5</x:v>
      </x:c>
      <x:c r="AS670" s="39" t="n">
        <x:f>ROUND((AC670*AF670*120)+(AH670*350)+(MAX(0,AI670-75)*220)+(MAX(0,AQ670-60)*100),0)</x:f>
        <x:v>48334</x:v>
      </x:c>
    </x:row>
    <x:row r="671">
      <x:c r="A671" s="35" t="n">
        <x:v>670</x:v>
      </x:c>
      <x:c r="B671" s="35" t="n">
        <x:v>32</x:v>
      </x:c>
      <x:c r="C671" s="35" t="str">
        <x:v>Male</x:v>
      </x:c>
      <x:c r="D671" s="35" t="str">
        <x:v>Marketing</x:v>
      </x:c>
      <x:c r="E671" s="35" t="str">
        <x:v>Digital Marketing Analyst</x:v>
      </x:c>
      <x:c r="F671" s="35" t="str">
        <x:v>Human Resources</x:v>
      </x:c>
      <x:c r="G671" s="35" t="str">
        <x:v>Single</x:v>
      </x:c>
      <x:c r="H671" s="35" t="n">
        <x:v>2</x:v>
      </x:c>
      <x:c r="I671" s="36" t="n">
        <x:v>7960</x:v>
      </x:c>
      <x:c r="J671" s="35" t="n">
        <x:v>8</x:v>
      </x:c>
      <x:c r="K671" s="35" t="n">
        <x:v>5</x:v>
      </x:c>
      <x:c r="L671" s="35" t="n">
        <x:v>2</x:v>
      </x:c>
      <x:c r="M671" s="35" t="n">
        <x:v>13</x:v>
      </x:c>
      <x:c r="N671" s="35" t="str">
        <x:v>Yes</x:v>
      </x:c>
      <x:c r="O671" s="35" t="n">
        <x:v>3</x:v>
      </x:c>
      <x:c r="P671" s="35" t="n">
        <x:v>2</x:v>
      </x:c>
      <x:c r="Q671" s="35" t="n">
        <x:v>4</x:v>
      </x:c>
      <x:c r="R671" s="35" t="n">
        <x:v>4</x:v>
      </x:c>
      <x:c r="S671" s="35" t="n">
        <x:v>3</x:v>
      </x:c>
      <x:c r="T671" s="35" t="n">
        <x:v>0</x:v>
      </x:c>
      <x:c r="U671" s="35" t="n">
        <x:v>0</x:v>
      </x:c>
      <x:c r="V671" s="35" t="n">
        <x:v>6</x:v>
      </x:c>
      <x:c r="W671" s="35" t="n">
        <x:v>29</x:v>
      </x:c>
      <x:c r="X671" s="35" t="n">
        <x:v>100</x:v>
      </x:c>
      <x:c r="Y671" s="35" t="n">
        <x:v>3</x:v>
      </x:c>
      <x:c r="Z671" s="35" t="n">
        <x:v>88</x:v>
      </x:c>
      <x:c r="AA671" s="35" t="n">
        <x:v>3</x:v>
      </x:c>
      <x:c r="AB671" s="35" t="n">
        <x:v>0</x:v>
      </x:c>
      <x:c r="AC671" s="35" t="n">
        <x:v>0</x:v>
      </x:c>
      <x:c r="AD671" s="35" t="n">
        <x:v>54</x:v>
      </x:c>
      <x:c r="AE671" s="35" t="n">
        <x:v>61</x:v>
      </x:c>
      <x:c r="AF671" s="35" t="n">
        <x:v>63</x:v>
      </x:c>
      <x:c r="AG671" s="35" t="n">
        <x:v>97</x:v>
      </x:c>
      <x:c r="AH671" s="35" t="n">
        <x:v>3</x:v>
      </x:c>
      <x:c r="AI671" s="37" t="n">
        <x:v>88.9</x:v>
      </x:c>
      <x:c r="AJ671" s="37" t="n">
        <x:v>100</x:v>
      </x:c>
      <x:c r="AK671" s="35" t="str">
        <x:v>Yes</x:v>
      </x:c>
      <x:c r="AL671" s="38" t="n">
        <x:f>IF(AA671=0,0,AB671/AA671)</x:f>
        <x:v>0</x:v>
      </x:c>
      <x:c r="AM671" s="38" t="n">
        <x:f>IF(AB671=0,0,AC671/AB671)</x:f>
        <x:v>0</x:v>
      </x:c>
      <x:c r="AN671" s="37" t="n">
        <x:f>ROUND((AD671*0.20+AE671*0.20+AF671*0.25+AG671*0.15+MIN(100,AC671*12)*0.20),1)</x:f>
        <x:v>53.3</x:v>
      </x:c>
      <x:c r="AO671" s="37" t="n">
        <x:f>ROUND(MAX(0,MIN(100,(X671*0.35)+(W671/45*100*0.20)+((5-O671)/4*100*0.15)+((5-P671)/4*100*0.10)+((6-Y671)/5*100*0.10)+((100-Z671)*0.10))),1)</x:f>
        <x:v>70.1</x:v>
      </x:c>
      <x:c r="AP671" s="37" t="str">
        <x:f>IF(AO671&gt;=70,"High",IF(AO671&gt;=40,"Moderate","Low"))</x:f>
        <x:v>High</x:v>
      </x:c>
      <x:c r="AQ671" s="37" t="n">
        <x:f>ROUND(MAX(0,MIN(100,(O671/4*100*0.25)+(P671/4*100*0.20)+(Q671/4*100*0.15)+(Y671/5*100*0.20)+(100-AO671)*0.20)),1)</x:f>
        <x:v>61.7</x:v>
      </x:c>
      <x:c r="AR671" s="37" t="n">
        <x:f>ROUND((AI671*0.20+AJ671*0.15+AN671*0.18+AG671*0.12+Z671*0.15+AQ671*0.20),1)</x:f>
        <x:v>79.6</x:v>
      </x:c>
      <x:c r="AS671" s="39" t="n">
        <x:f>ROUND((AC671*AF671*120)+(AH671*350)+(MAX(0,AI671-75)*220)+(MAX(0,AQ671-60)*100),0)</x:f>
        <x:v>4278</x:v>
      </x:c>
    </x:row>
    <x:row r="672">
      <x:c r="A672" s="35" t="n">
        <x:v>671</x:v>
      </x:c>
      <x:c r="B672" s="35" t="n">
        <x:v>54</x:v>
      </x:c>
      <x:c r="C672" s="35" t="str">
        <x:v>Male</x:v>
      </x:c>
      <x:c r="D672" s="35" t="str">
        <x:v>Operations</x:v>
      </x:c>
      <x:c r="E672" s="35" t="str">
        <x:v>Operations Manager</x:v>
      </x:c>
      <x:c r="F672" s="35" t="str">
        <x:v>Marketing</x:v>
      </x:c>
      <x:c r="G672" s="35" t="str">
        <x:v>Married</x:v>
      </x:c>
      <x:c r="H672" s="35" t="n">
        <x:v>3</x:v>
      </x:c>
      <x:c r="I672" s="36" t="n">
        <x:v>14210</x:v>
      </x:c>
      <x:c r="J672" s="35" t="n">
        <x:v>18</x:v>
      </x:c>
      <x:c r="K672" s="35" t="n">
        <x:v>10</x:v>
      </x:c>
      <x:c r="L672" s="35" t="n">
        <x:v>3</x:v>
      </x:c>
      <x:c r="M672" s="35" t="n">
        <x:v>1</x:v>
      </x:c>
      <x:c r="N672" s="35" t="str">
        <x:v>No</x:v>
      </x:c>
      <x:c r="O672" s="35" t="n">
        <x:v>3</x:v>
      </x:c>
      <x:c r="P672" s="35" t="n">
        <x:v>2</x:v>
      </x:c>
      <x:c r="Q672" s="35" t="n">
        <x:v>3</x:v>
      </x:c>
      <x:c r="R672" s="35" t="n">
        <x:v>3</x:v>
      </x:c>
      <x:c r="S672" s="35" t="n">
        <x:v>3</x:v>
      </x:c>
      <x:c r="T672" s="35" t="n">
        <x:v>3</x:v>
      </x:c>
      <x:c r="U672" s="35" t="n">
        <x:v>0</x:v>
      </x:c>
      <x:c r="V672" s="35" t="n">
        <x:v>9</x:v>
      </x:c>
      <x:c r="W672" s="35" t="n">
        <x:v>18</x:v>
      </x:c>
      <x:c r="X672" s="35" t="n">
        <x:v>69</x:v>
      </x:c>
      <x:c r="Y672" s="35" t="n">
        <x:v>5</x:v>
      </x:c>
      <x:c r="Z672" s="35" t="n">
        <x:v>100</x:v>
      </x:c>
      <x:c r="AA672" s="35" t="n">
        <x:v>2</x:v>
      </x:c>
      <x:c r="AB672" s="35" t="n">
        <x:v>1</x:v>
      </x:c>
      <x:c r="AC672" s="35" t="n">
        <x:v>1</x:v>
      </x:c>
      <x:c r="AD672" s="35" t="n">
        <x:v>66</x:v>
      </x:c>
      <x:c r="AE672" s="35" t="n">
        <x:v>59</x:v>
      </x:c>
      <x:c r="AF672" s="35" t="n">
        <x:v>68</x:v>
      </x:c>
      <x:c r="AG672" s="35" t="n">
        <x:v>100</x:v>
      </x:c>
      <x:c r="AH672" s="35" t="n">
        <x:v>3</x:v>
      </x:c>
      <x:c r="AI672" s="37" t="n">
        <x:v>97.2</x:v>
      </x:c>
      <x:c r="AJ672" s="37" t="n">
        <x:v>100</x:v>
      </x:c>
      <x:c r="AK672" s="35" t="str">
        <x:v>No</x:v>
      </x:c>
      <x:c r="AL672" s="38" t="n">
        <x:f>IF(AA672=0,0,AB672/AA672)</x:f>
        <x:v>0.5</x:v>
      </x:c>
      <x:c r="AM672" s="38" t="n">
        <x:f>IF(AB672=0,0,AC672/AB672)</x:f>
        <x:v>1</x:v>
      </x:c>
      <x:c r="AN672" s="37" t="n">
        <x:f>ROUND((AD672*0.20+AE672*0.20+AF672*0.25+AG672*0.15+MIN(100,AC672*12)*0.20),1)</x:f>
        <x:v>59.4</x:v>
      </x:c>
      <x:c r="AO672" s="37" t="n">
        <x:f>ROUND(MAX(0,MIN(100,(X672*0.35)+(W672/45*100*0.20)+((5-O672)/4*100*0.15)+((5-P672)/4*100*0.10)+((6-Y672)/5*100*0.10)+((100-Z672)*0.10))),1)</x:f>
        <x:v>49.2</x:v>
      </x:c>
      <x:c r="AP672" s="37" t="str">
        <x:f>IF(AO672&gt;=70,"High",IF(AO672&gt;=40,"Moderate","Low"))</x:f>
        <x:v>Moderate</x:v>
      </x:c>
      <x:c r="AQ672" s="37" t="n">
        <x:f>ROUND(MAX(0,MIN(100,(O672/4*100*0.25)+(P672/4*100*0.20)+(Q672/4*100*0.15)+(Y672/5*100*0.20)+(100-AO672)*0.20)),1)</x:f>
        <x:v>70.2</x:v>
      </x:c>
      <x:c r="AR672" s="37" t="n">
        <x:f>ROUND((AI672*0.20+AJ672*0.15+AN672*0.18+AG672*0.12+Z672*0.15+AQ672*0.20),1)</x:f>
        <x:v>86.2</x:v>
      </x:c>
      <x:c r="AS672" s="39" t="n">
        <x:f>ROUND((AC672*AF672*120)+(AH672*350)+(MAX(0,AI672-75)*220)+(MAX(0,AQ672-60)*100),0)</x:f>
        <x:v>15114</x:v>
      </x:c>
    </x:row>
    <x:row r="673">
      <x:c r="A673" s="35" t="n">
        <x:v>672</x:v>
      </x:c>
      <x:c r="B673" s="35" t="n">
        <x:v>32</x:v>
      </x:c>
      <x:c r="C673" s="35" t="str">
        <x:v>Male</x:v>
      </x:c>
      <x:c r="D673" s="35" t="str">
        <x:v>Sales</x:v>
      </x:c>
      <x:c r="E673" s="35" t="str">
        <x:v>Account Manager</x:v>
      </x:c>
      <x:c r="F673" s="35" t="str">
        <x:v>Business</x:v>
      </x:c>
      <x:c r="G673" s="35" t="str">
        <x:v>Single</x:v>
      </x:c>
      <x:c r="H673" s="35" t="n">
        <x:v>2</x:v>
      </x:c>
      <x:c r="I673" s="36" t="n">
        <x:v>12140</x:v>
      </x:c>
      <x:c r="J673" s="35" t="n">
        <x:v>9</x:v>
      </x:c>
      <x:c r="K673" s="35" t="n">
        <x:v>8</x:v>
      </x:c>
      <x:c r="L673" s="35" t="n">
        <x:v>2</x:v>
      </x:c>
      <x:c r="M673" s="35" t="n">
        <x:v>21</x:v>
      </x:c>
      <x:c r="N673" s="35" t="str">
        <x:v>Yes</x:v>
      </x:c>
      <x:c r="O673" s="35" t="n">
        <x:v>4</x:v>
      </x:c>
      <x:c r="P673" s="35" t="n">
        <x:v>4</x:v>
      </x:c>
      <x:c r="Q673" s="35" t="n">
        <x:v>2</x:v>
      </x:c>
      <x:c r="R673" s="35" t="n">
        <x:v>3</x:v>
      </x:c>
      <x:c r="S673" s="35" t="n">
        <x:v>3</x:v>
      </x:c>
      <x:c r="T673" s="35" t="n">
        <x:v>0</x:v>
      </x:c>
      <x:c r="U673" s="35" t="n">
        <x:v>0</x:v>
      </x:c>
      <x:c r="V673" s="35" t="n">
        <x:v>6</x:v>
      </x:c>
      <x:c r="W673" s="35" t="n">
        <x:v>20</x:v>
      </x:c>
      <x:c r="X673" s="35" t="n">
        <x:v>66</x:v>
      </x:c>
      <x:c r="Y673" s="35" t="n">
        <x:v>4</x:v>
      </x:c>
      <x:c r="Z673" s="35" t="n">
        <x:v>100</x:v>
      </x:c>
      <x:c r="AA673" s="35" t="n">
        <x:v>11</x:v>
      </x:c>
      <x:c r="AB673" s="35" t="n">
        <x:v>9</x:v>
      </x:c>
      <x:c r="AC673" s="35" t="n">
        <x:v>7</x:v>
      </x:c>
      <x:c r="AD673" s="35" t="n">
        <x:v>100</x:v>
      </x:c>
      <x:c r="AE673" s="35" t="n">
        <x:v>100</x:v>
      </x:c>
      <x:c r="AF673" s="35" t="n">
        <x:v>75</x:v>
      </x:c>
      <x:c r="AG673" s="35" t="n">
        <x:v>98</x:v>
      </x:c>
      <x:c r="AH673" s="35" t="n">
        <x:v>12</x:v>
      </x:c>
      <x:c r="AI673" s="37" t="n">
        <x:v>97.7</x:v>
      </x:c>
      <x:c r="AJ673" s="37" t="n">
        <x:v>99.4</x:v>
      </x:c>
      <x:c r="AK673" s="35" t="str">
        <x:v>No</x:v>
      </x:c>
      <x:c r="AL673" s="38" t="n">
        <x:f>IF(AA673=0,0,AB673/AA673)</x:f>
        <x:v>0.8181818181818182</x:v>
      </x:c>
      <x:c r="AM673" s="38" t="n">
        <x:f>IF(AB673=0,0,AC673/AB673)</x:f>
        <x:v>0.7777777777777778</x:v>
      </x:c>
      <x:c r="AN673" s="37" t="n">
        <x:f>ROUND((AD673*0.20+AE673*0.20+AF673*0.25+AG673*0.15+MIN(100,AC673*12)*0.20),1)</x:f>
        <x:v>90.3</x:v>
      </x:c>
      <x:c r="AO673" s="37" t="n">
        <x:f>ROUND(MAX(0,MIN(100,(X673*0.35)+(W673/45*100*0.20)+((5-O673)/4*100*0.15)+((5-P673)/4*100*0.10)+((6-Y673)/5*100*0.10)+((100-Z673)*0.10))),1)</x:f>
        <x:v>42.2</x:v>
      </x:c>
      <x:c r="AP673" s="37" t="str">
        <x:f>IF(AO673&gt;=70,"High",IF(AO673&gt;=40,"Moderate","Low"))</x:f>
        <x:v>Moderate</x:v>
      </x:c>
      <x:c r="AQ673" s="37" t="n">
        <x:f>ROUND(MAX(0,MIN(100,(O673/4*100*0.25)+(P673/4*100*0.20)+(Q673/4*100*0.15)+(Y673/5*100*0.20)+(100-AO673)*0.20)),1)</x:f>
        <x:v>80.1</x:v>
      </x:c>
      <x:c r="AR673" s="37" t="n">
        <x:f>ROUND((AI673*0.20+AJ673*0.15+AN673*0.18+AG673*0.12+Z673*0.15+AQ673*0.20),1)</x:f>
        <x:v>93.5</x:v>
      </x:c>
      <x:c r="AS673" s="39" t="n">
        <x:f>ROUND((AC673*AF673*120)+(AH673*350)+(MAX(0,AI673-75)*220)+(MAX(0,AQ673-60)*100),0)</x:f>
        <x:v>74204</x:v>
      </x:c>
    </x:row>
    <x:row r="674">
      <x:c r="A674" s="35" t="n">
        <x:v>673</x:v>
      </x:c>
      <x:c r="B674" s="35" t="n">
        <x:v>26</x:v>
      </x:c>
      <x:c r="C674" s="35" t="str">
        <x:v>Female</x:v>
      </x:c>
      <x:c r="D674" s="35" t="str">
        <x:v>Sales</x:v>
      </x:c>
      <x:c r="E674" s="35" t="str">
        <x:v>Sales Representative</x:v>
      </x:c>
      <x:c r="F674" s="35" t="str">
        <x:v>Computer Science</x:v>
      </x:c>
      <x:c r="G674" s="35" t="str">
        <x:v>Married</x:v>
      </x:c>
      <x:c r="H674" s="35" t="n">
        <x:v>1</x:v>
      </x:c>
      <x:c r="I674" s="36" t="n">
        <x:v>5310</x:v>
      </x:c>
      <x:c r="J674" s="35" t="n">
        <x:v>4</x:v>
      </x:c>
      <x:c r="K674" s="35" t="n">
        <x:v>2</x:v>
      </x:c>
      <x:c r="L674" s="35" t="n">
        <x:v>1</x:v>
      </x:c>
      <x:c r="M674" s="35" t="n">
        <x:v>23</x:v>
      </x:c>
      <x:c r="N674" s="35" t="str">
        <x:v>Yes</x:v>
      </x:c>
      <x:c r="O674" s="35" t="n">
        <x:v>3</x:v>
      </x:c>
      <x:c r="P674" s="35" t="n">
        <x:v>3</x:v>
      </x:c>
      <x:c r="Q674" s="35" t="n">
        <x:v>4</x:v>
      </x:c>
      <x:c r="R674" s="35" t="n">
        <x:v>4</x:v>
      </x:c>
      <x:c r="S674" s="35" t="n">
        <x:v>4</x:v>
      </x:c>
      <x:c r="T674" s="35" t="n">
        <x:v>3</x:v>
      </x:c>
      <x:c r="U674" s="35" t="n">
        <x:v>0</x:v>
      </x:c>
      <x:c r="V674" s="35" t="n">
        <x:v>10</x:v>
      </x:c>
      <x:c r="W674" s="35" t="n">
        <x:v>19</x:v>
      </x:c>
      <x:c r="X674" s="35" t="n">
        <x:v>91</x:v>
      </x:c>
      <x:c r="Y674" s="35" t="n">
        <x:v>4</x:v>
      </x:c>
      <x:c r="Z674" s="35" t="n">
        <x:v>100</x:v>
      </x:c>
      <x:c r="AA674" s="35" t="n">
        <x:v>1</x:v>
      </x:c>
      <x:c r="AB674" s="35" t="n">
        <x:v>1</x:v>
      </x:c>
      <x:c r="AC674" s="35" t="n">
        <x:v>1</x:v>
      </x:c>
      <x:c r="AD674" s="35" t="n">
        <x:v>58</x:v>
      </x:c>
      <x:c r="AE674" s="35" t="n">
        <x:v>85</x:v>
      </x:c>
      <x:c r="AF674" s="35" t="n">
        <x:v>74</x:v>
      </x:c>
      <x:c r="AG674" s="35" t="n">
        <x:v>95</x:v>
      </x:c>
      <x:c r="AH674" s="35" t="n">
        <x:v>9</x:v>
      </x:c>
      <x:c r="AI674" s="37" t="n">
        <x:v>96.1</x:v>
      </x:c>
      <x:c r="AJ674" s="37" t="n">
        <x:v>100</x:v>
      </x:c>
      <x:c r="AK674" s="35" t="str">
        <x:v>No</x:v>
      </x:c>
      <x:c r="AL674" s="38" t="n">
        <x:f>IF(AA674=0,0,AB674/AA674)</x:f>
        <x:v>1</x:v>
      </x:c>
      <x:c r="AM674" s="38" t="n">
        <x:f>IF(AB674=0,0,AC674/AB674)</x:f>
        <x:v>1</x:v>
      </x:c>
      <x:c r="AN674" s="37" t="n">
        <x:f>ROUND((AD674*0.20+AE674*0.20+AF674*0.25+AG674*0.15+MIN(100,AC674*12)*0.20),1)</x:f>
        <x:v>63.8</x:v>
      </x:c>
      <x:c r="AO674" s="37" t="n">
        <x:f>ROUND(MAX(0,MIN(100,(X674*0.35)+(W674/45*100*0.20)+((5-O674)/4*100*0.15)+((5-P674)/4*100*0.10)+((6-Y674)/5*100*0.10)+((100-Z674)*0.10))),1)</x:f>
        <x:v>56.8</x:v>
      </x:c>
      <x:c r="AP674" s="37" t="str">
        <x:f>IF(AO674&gt;=70,"High",IF(AO674&gt;=40,"Moderate","Low"))</x:f>
        <x:v>Moderate</x:v>
      </x:c>
      <x:c r="AQ674" s="37" t="n">
        <x:f>ROUND(MAX(0,MIN(100,(O674/4*100*0.25)+(P674/4*100*0.20)+(Q674/4*100*0.15)+(Y674/5*100*0.20)+(100-AO674)*0.20)),1)</x:f>
        <x:v>73.4</x:v>
      </x:c>
      <x:c r="AR674" s="37" t="n">
        <x:f>ROUND((AI674*0.20+AJ674*0.15+AN674*0.18+AG674*0.12+Z674*0.15+AQ674*0.20),1)</x:f>
        <x:v>86.8</x:v>
      </x:c>
      <x:c r="AS674" s="39" t="n">
        <x:f>ROUND((AC674*AF674*120)+(AH674*350)+(MAX(0,AI674-75)*220)+(MAX(0,AQ674-60)*100),0)</x:f>
        <x:v>18012</x:v>
      </x:c>
    </x:row>
    <x:row r="675">
      <x:c r="A675" s="35" t="n">
        <x:v>674</x:v>
      </x:c>
      <x:c r="B675" s="35" t="n">
        <x:v>32</x:v>
      </x:c>
      <x:c r="C675" s="35" t="str">
        <x:v>Female</x:v>
      </x:c>
      <x:c r="D675" s="35" t="str">
        <x:v>Research &amp; Development</x:v>
      </x:c>
      <x:c r="E675" s="35" t="str">
        <x:v>R&amp;D Manager</x:v>
      </x:c>
      <x:c r="F675" s="35" t="str">
        <x:v>Marketing</x:v>
      </x:c>
      <x:c r="G675" s="35" t="str">
        <x:v>Married</x:v>
      </x:c>
      <x:c r="H675" s="35" t="n">
        <x:v>1</x:v>
      </x:c>
      <x:c r="I675" s="36" t="n">
        <x:v>5150</x:v>
      </x:c>
      <x:c r="J675" s="35" t="n">
        <x:v>10</x:v>
      </x:c>
      <x:c r="K675" s="35" t="n">
        <x:v>6</x:v>
      </x:c>
      <x:c r="L675" s="35" t="n">
        <x:v>3</x:v>
      </x:c>
      <x:c r="M675" s="35" t="n">
        <x:v>8</x:v>
      </x:c>
      <x:c r="N675" s="35" t="str">
        <x:v>No</x:v>
      </x:c>
      <x:c r="O675" s="35" t="n">
        <x:v>3</x:v>
      </x:c>
      <x:c r="P675" s="35" t="n">
        <x:v>4</x:v>
      </x:c>
      <x:c r="Q675" s="35" t="n">
        <x:v>3</x:v>
      </x:c>
      <x:c r="R675" s="35" t="n">
        <x:v>2</x:v>
      </x:c>
      <x:c r="S675" s="35" t="n">
        <x:v>3</x:v>
      </x:c>
      <x:c r="T675" s="35" t="n">
        <x:v>2</x:v>
      </x:c>
      <x:c r="U675" s="35" t="n">
        <x:v>0</x:v>
      </x:c>
      <x:c r="V675" s="35" t="n">
        <x:v>7</x:v>
      </x:c>
      <x:c r="W675" s="35" t="n">
        <x:v>2</x:v>
      </x:c>
      <x:c r="X675" s="35" t="n">
        <x:v>64</x:v>
      </x:c>
      <x:c r="Y675" s="35" t="n">
        <x:v>5</x:v>
      </x:c>
      <x:c r="Z675" s="35" t="n">
        <x:v>98</x:v>
      </x:c>
      <x:c r="AA675" s="35" t="n">
        <x:v>4</x:v>
      </x:c>
      <x:c r="AB675" s="35" t="n">
        <x:v>3</x:v>
      </x:c>
      <x:c r="AC675" s="35" t="n">
        <x:v>3</x:v>
      </x:c>
      <x:c r="AD675" s="35" t="n">
        <x:v>85</x:v>
      </x:c>
      <x:c r="AE675" s="35" t="n">
        <x:v>65</x:v>
      </x:c>
      <x:c r="AF675" s="35" t="n">
        <x:v>98</x:v>
      </x:c>
      <x:c r="AG675" s="35" t="n">
        <x:v>83</x:v>
      </x:c>
      <x:c r="AH675" s="35" t="n">
        <x:v>3</x:v>
      </x:c>
      <x:c r="AI675" s="37" t="n">
        <x:v>92.8</x:v>
      </x:c>
      <x:c r="AJ675" s="37" t="n">
        <x:v>93.5</x:v>
      </x:c>
      <x:c r="AK675" s="35" t="str">
        <x:v>No</x:v>
      </x:c>
      <x:c r="AL675" s="38" t="n">
        <x:f>IF(AA675=0,0,AB675/AA675)</x:f>
        <x:v>0.75</x:v>
      </x:c>
      <x:c r="AM675" s="38" t="n">
        <x:f>IF(AB675=0,0,AC675/AB675)</x:f>
        <x:v>1</x:v>
      </x:c>
      <x:c r="AN675" s="37" t="n">
        <x:f>ROUND((AD675*0.20+AE675*0.20+AF675*0.25+AG675*0.15+MIN(100,AC675*12)*0.20),1)</x:f>
        <x:v>74.2</x:v>
      </x:c>
      <x:c r="AO675" s="37" t="n">
        <x:f>ROUND(MAX(0,MIN(100,(X675*0.35)+(W675/45*100*0.20)+((5-O675)/4*100*0.15)+((5-P675)/4*100*0.10)+((6-Y675)/5*100*0.10)+((100-Z675)*0.10))),1)</x:f>
        <x:v>35.5</x:v>
      </x:c>
      <x:c r="AP675" s="37" t="str">
        <x:f>IF(AO675&gt;=70,"High",IF(AO675&gt;=40,"Moderate","Low"))</x:f>
        <x:v>Low</x:v>
      </x:c>
      <x:c r="AQ675" s="37" t="n">
        <x:f>ROUND(MAX(0,MIN(100,(O675/4*100*0.25)+(P675/4*100*0.20)+(Q675/4*100*0.15)+(Y675/5*100*0.20)+(100-AO675)*0.20)),1)</x:f>
        <x:v>82.9</x:v>
      </x:c>
      <x:c r="AR675" s="37" t="n">
        <x:f>ROUND((AI675*0.20+AJ675*0.15+AN675*0.18+AG675*0.12+Z675*0.15+AQ675*0.20),1)</x:f>
        <x:v>87.2</x:v>
      </x:c>
      <x:c r="AS675" s="39" t="n">
        <x:f>ROUND((AC675*AF675*120)+(AH675*350)+(MAX(0,AI675-75)*220)+(MAX(0,AQ675-60)*100),0)</x:f>
        <x:v>42536</x:v>
      </x:c>
    </x:row>
    <x:row r="676">
      <x:c r="A676" s="35" t="n">
        <x:v>675</x:v>
      </x:c>
      <x:c r="B676" s="35" t="n">
        <x:v>41</x:v>
      </x:c>
      <x:c r="C676" s="35" t="str">
        <x:v>Female</x:v>
      </x:c>
      <x:c r="D676" s="35" t="str">
        <x:v>Sales</x:v>
      </x:c>
      <x:c r="E676" s="35" t="str">
        <x:v>Account Manager</x:v>
      </x:c>
      <x:c r="F676" s="35" t="str">
        <x:v>Technical Degree</x:v>
      </x:c>
      <x:c r="G676" s="35" t="str">
        <x:v>Divorced</x:v>
      </x:c>
      <x:c r="H676" s="35" t="n">
        <x:v>3</x:v>
      </x:c>
      <x:c r="I676" s="36" t="n">
        <x:v>13240</x:v>
      </x:c>
      <x:c r="J676" s="35" t="n">
        <x:v>9</x:v>
      </x:c>
      <x:c r="K676" s="35" t="n">
        <x:v>4</x:v>
      </x:c>
      <x:c r="L676" s="35" t="n">
        <x:v>2</x:v>
      </x:c>
      <x:c r="M676" s="35" t="n">
        <x:v>2</x:v>
      </x:c>
      <x:c r="N676" s="35" t="str">
        <x:v>No</x:v>
      </x:c>
      <x:c r="O676" s="35" t="n">
        <x:v>3</x:v>
      </x:c>
      <x:c r="P676" s="35" t="n">
        <x:v>4</x:v>
      </x:c>
      <x:c r="Q676" s="35" t="n">
        <x:v>2</x:v>
      </x:c>
      <x:c r="R676" s="35" t="n">
        <x:v>3</x:v>
      </x:c>
      <x:c r="S676" s="35" t="n">
        <x:v>4</x:v>
      </x:c>
      <x:c r="T676" s="35" t="n">
        <x:v>2</x:v>
      </x:c>
      <x:c r="U676" s="35" t="n">
        <x:v>2</x:v>
      </x:c>
      <x:c r="V676" s="35" t="n">
        <x:v>9</x:v>
      </x:c>
      <x:c r="W676" s="35" t="n">
        <x:v>11</x:v>
      </x:c>
      <x:c r="X676" s="35" t="n">
        <x:v>70</x:v>
      </x:c>
      <x:c r="Y676" s="35" t="n">
        <x:v>5</x:v>
      </x:c>
      <x:c r="Z676" s="35" t="n">
        <x:v>96</x:v>
      </x:c>
      <x:c r="AA676" s="35" t="n">
        <x:v>7</x:v>
      </x:c>
      <x:c r="AB676" s="35" t="n">
        <x:v>7</x:v>
      </x:c>
      <x:c r="AC676" s="35" t="n">
        <x:v>6</x:v>
      </x:c>
      <x:c r="AD676" s="35" t="n">
        <x:v>75</x:v>
      </x:c>
      <x:c r="AE676" s="35" t="n">
        <x:v>93</x:v>
      </x:c>
      <x:c r="AF676" s="35" t="n">
        <x:v>69</x:v>
      </x:c>
      <x:c r="AG676" s="35" t="n">
        <x:v>79</x:v>
      </x:c>
      <x:c r="AH676" s="35" t="n">
        <x:v>10</x:v>
      </x:c>
      <x:c r="AI676" s="37" t="n">
        <x:v>100</x:v>
      </x:c>
      <x:c r="AJ676" s="37" t="n">
        <x:v>100</x:v>
      </x:c>
      <x:c r="AK676" s="35" t="str">
        <x:v>No</x:v>
      </x:c>
      <x:c r="AL676" s="38" t="n">
        <x:f>IF(AA676=0,0,AB676/AA676)</x:f>
        <x:v>1</x:v>
      </x:c>
      <x:c r="AM676" s="38" t="n">
        <x:f>IF(AB676=0,0,AC676/AB676)</x:f>
        <x:v>0.8571428571428571</x:v>
      </x:c>
      <x:c r="AN676" s="37" t="n">
        <x:f>ROUND((AD676*0.20+AE676*0.20+AF676*0.25+AG676*0.15+MIN(100,AC676*12)*0.20),1)</x:f>
        <x:v>77.1</x:v>
      </x:c>
      <x:c r="AO676" s="37" t="n">
        <x:f>ROUND(MAX(0,MIN(100,(X676*0.35)+(W676/45*100*0.20)+((5-O676)/4*100*0.15)+((5-P676)/4*100*0.10)+((6-Y676)/5*100*0.10)+((100-Z676)*0.10))),1)</x:f>
        <x:v>41.8</x:v>
      </x:c>
      <x:c r="AP676" s="37" t="str">
        <x:f>IF(AO676&gt;=70,"High",IF(AO676&gt;=40,"Moderate","Low"))</x:f>
        <x:v>Moderate</x:v>
      </x:c>
      <x:c r="AQ676" s="37" t="n">
        <x:f>ROUND(MAX(0,MIN(100,(O676/4*100*0.25)+(P676/4*100*0.20)+(Q676/4*100*0.15)+(Y676/5*100*0.20)+(100-AO676)*0.20)),1)</x:f>
        <x:v>77.9</x:v>
      </x:c>
      <x:c r="AR676" s="37" t="n">
        <x:f>ROUND((AI676*0.20+AJ676*0.15+AN676*0.18+AG676*0.12+Z676*0.15+AQ676*0.20),1)</x:f>
        <x:v>88.3</x:v>
      </x:c>
      <x:c r="AS676" s="39" t="n">
        <x:f>ROUND((AC676*AF676*120)+(AH676*350)+(MAX(0,AI676-75)*220)+(MAX(0,AQ676-60)*100),0)</x:f>
        <x:v>60470</x:v>
      </x:c>
    </x:row>
    <x:row r="677">
      <x:c r="A677" s="35" t="n">
        <x:v>676</x:v>
      </x:c>
      <x:c r="B677" s="35" t="n">
        <x:v>43</x:v>
      </x:c>
      <x:c r="C677" s="35" t="str">
        <x:v>Male</x:v>
      </x:c>
      <x:c r="D677" s="35" t="str">
        <x:v>Sales</x:v>
      </x:c>
      <x:c r="E677" s="35" t="str">
        <x:v>Sales Representative</x:v>
      </x:c>
      <x:c r="F677" s="35" t="str">
        <x:v>Medical</x:v>
      </x:c>
      <x:c r="G677" s="35" t="str">
        <x:v>Married</x:v>
      </x:c>
      <x:c r="H677" s="35" t="n">
        <x:v>2</x:v>
      </x:c>
      <x:c r="I677" s="36" t="n">
        <x:v>9450</x:v>
      </x:c>
      <x:c r="J677" s="35" t="n">
        <x:v>14</x:v>
      </x:c>
      <x:c r="K677" s="35" t="n">
        <x:v>9</x:v>
      </x:c>
      <x:c r="L677" s="35" t="n">
        <x:v>5</x:v>
      </x:c>
      <x:c r="M677" s="35" t="n">
        <x:v>7</x:v>
      </x:c>
      <x:c r="N677" s="35" t="str">
        <x:v>Yes</x:v>
      </x:c>
      <x:c r="O677" s="35" t="n">
        <x:v>3</x:v>
      </x:c>
      <x:c r="P677" s="35" t="n">
        <x:v>4</x:v>
      </x:c>
      <x:c r="Q677" s="35" t="n">
        <x:v>3</x:v>
      </x:c>
      <x:c r="R677" s="35" t="n">
        <x:v>2</x:v>
      </x:c>
      <x:c r="S677" s="35" t="n">
        <x:v>3</x:v>
      </x:c>
      <x:c r="T677" s="35" t="n">
        <x:v>5</x:v>
      </x:c>
      <x:c r="U677" s="35" t="n">
        <x:v>0</x:v>
      </x:c>
      <x:c r="V677" s="35" t="n">
        <x:v>8</x:v>
      </x:c>
      <x:c r="W677" s="35" t="n">
        <x:v>19</x:v>
      </x:c>
      <x:c r="X677" s="35" t="n">
        <x:v>63</x:v>
      </x:c>
      <x:c r="Y677" s="35" t="n">
        <x:v>5</x:v>
      </x:c>
      <x:c r="Z677" s="35" t="n">
        <x:v>100</x:v>
      </x:c>
      <x:c r="AA677" s="35" t="n">
        <x:v>10</x:v>
      </x:c>
      <x:c r="AB677" s="35" t="n">
        <x:v>7</x:v>
      </x:c>
      <x:c r="AC677" s="35" t="n">
        <x:v>7</x:v>
      </x:c>
      <x:c r="AD677" s="35" t="n">
        <x:v>100</x:v>
      </x:c>
      <x:c r="AE677" s="35" t="n">
        <x:v>84</x:v>
      </x:c>
      <x:c r="AF677" s="35" t="n">
        <x:v>88</x:v>
      </x:c>
      <x:c r="AG677" s="35" t="n">
        <x:v>79</x:v>
      </x:c>
      <x:c r="AH677" s="35" t="n">
        <x:v>7</x:v>
      </x:c>
      <x:c r="AI677" s="37" t="n">
        <x:v>97.6</x:v>
      </x:c>
      <x:c r="AJ677" s="37" t="n">
        <x:v>94.2</x:v>
      </x:c>
      <x:c r="AK677" s="35" t="str">
        <x:v>No</x:v>
      </x:c>
      <x:c r="AL677" s="38" t="n">
        <x:f>IF(AA677=0,0,AB677/AA677)</x:f>
        <x:v>0.7</x:v>
      </x:c>
      <x:c r="AM677" s="38" t="n">
        <x:f>IF(AB677=0,0,AC677/AB677)</x:f>
        <x:v>1</x:v>
      </x:c>
      <x:c r="AN677" s="37" t="n">
        <x:f>ROUND((AD677*0.20+AE677*0.20+AF677*0.25+AG677*0.15+MIN(100,AC677*12)*0.20),1)</x:f>
        <x:v>87.4</x:v>
      </x:c>
      <x:c r="AO677" s="37" t="n">
        <x:f>ROUND(MAX(0,MIN(100,(X677*0.35)+(W677/45*100*0.20)+((5-O677)/4*100*0.15)+((5-P677)/4*100*0.10)+((6-Y677)/5*100*0.10)+((100-Z677)*0.10))),1)</x:f>
        <x:v>42.5</x:v>
      </x:c>
      <x:c r="AP677" s="37" t="str">
        <x:f>IF(AO677&gt;=70,"High",IF(AO677&gt;=40,"Moderate","Low"))</x:f>
        <x:v>Moderate</x:v>
      </x:c>
      <x:c r="AQ677" s="37" t="n">
        <x:f>ROUND(MAX(0,MIN(100,(O677/4*100*0.25)+(P677/4*100*0.20)+(Q677/4*100*0.15)+(Y677/5*100*0.20)+(100-AO677)*0.20)),1)</x:f>
        <x:v>81.5</x:v>
      </x:c>
      <x:c r="AR677" s="37" t="n">
        <x:f>ROUND((AI677*0.20+AJ677*0.15+AN677*0.18+AG677*0.12+Z677*0.15+AQ677*0.20),1)</x:f>
        <x:v>90.2</x:v>
      </x:c>
      <x:c r="AS677" s="39" t="n">
        <x:f>ROUND((AC677*AF677*120)+(AH677*350)+(MAX(0,AI677-75)*220)+(MAX(0,AQ677-60)*100),0)</x:f>
        <x:v>83492</x:v>
      </x:c>
    </x:row>
    <x:row r="678">
      <x:c r="A678" s="35" t="n">
        <x:v>677</x:v>
      </x:c>
      <x:c r="B678" s="35" t="n">
        <x:v>39</x:v>
      </x:c>
      <x:c r="C678" s="35" t="str">
        <x:v>Female</x:v>
      </x:c>
      <x:c r="D678" s="35" t="str">
        <x:v>Research &amp; Development</x:v>
      </x:c>
      <x:c r="E678" s="35" t="str">
        <x:v>Laboratory Technician</x:v>
      </x:c>
      <x:c r="F678" s="35" t="str">
        <x:v>Marketing</x:v>
      </x:c>
      <x:c r="G678" s="35" t="str">
        <x:v>Single</x:v>
      </x:c>
      <x:c r="H678" s="35" t="n">
        <x:v>2</x:v>
      </x:c>
      <x:c r="I678" s="36" t="n">
        <x:v>9380</x:v>
      </x:c>
      <x:c r="J678" s="35" t="n">
        <x:v>10</x:v>
      </x:c>
      <x:c r="K678" s="35" t="n">
        <x:v>7</x:v>
      </x:c>
      <x:c r="L678" s="35" t="n">
        <x:v>2</x:v>
      </x:c>
      <x:c r="M678" s="35" t="n">
        <x:v>16</x:v>
      </x:c>
      <x:c r="N678" s="35" t="str">
        <x:v>Yes</x:v>
      </x:c>
      <x:c r="O678" s="35" t="n">
        <x:v>2</x:v>
      </x:c>
      <x:c r="P678" s="35" t="n">
        <x:v>2</x:v>
      </x:c>
      <x:c r="Q678" s="35" t="n">
        <x:v>4</x:v>
      </x:c>
      <x:c r="R678" s="35" t="n">
        <x:v>4</x:v>
      </x:c>
      <x:c r="S678" s="35" t="n">
        <x:v>4</x:v>
      </x:c>
      <x:c r="T678" s="35" t="n">
        <x:v>2</x:v>
      </x:c>
      <x:c r="U678" s="35" t="n">
        <x:v>1</x:v>
      </x:c>
      <x:c r="V678" s="35" t="n">
        <x:v>14</x:v>
      </x:c>
      <x:c r="W678" s="35" t="n">
        <x:v>14</x:v>
      </x:c>
      <x:c r="X678" s="35" t="n">
        <x:v>85</x:v>
      </x:c>
      <x:c r="Y678" s="35" t="n">
        <x:v>4</x:v>
      </x:c>
      <x:c r="Z678" s="35" t="n">
        <x:v>100</x:v>
      </x:c>
      <x:c r="AA678" s="35" t="n">
        <x:v>3</x:v>
      </x:c>
      <x:c r="AB678" s="35" t="n">
        <x:v>3</x:v>
      </x:c>
      <x:c r="AC678" s="35" t="n">
        <x:v>1</x:v>
      </x:c>
      <x:c r="AD678" s="35" t="n">
        <x:v>77</x:v>
      </x:c>
      <x:c r="AE678" s="35" t="n">
        <x:v>66</x:v>
      </x:c>
      <x:c r="AF678" s="35" t="n">
        <x:v>69</x:v>
      </x:c>
      <x:c r="AG678" s="35" t="n">
        <x:v>100</x:v>
      </x:c>
      <x:c r="AH678" s="35" t="n">
        <x:v>6</x:v>
      </x:c>
      <x:c r="AI678" s="37" t="n">
        <x:v>96.2</x:v>
      </x:c>
      <x:c r="AJ678" s="37" t="n">
        <x:v>100</x:v>
      </x:c>
      <x:c r="AK678" s="35" t="str">
        <x:v>Yes</x:v>
      </x:c>
      <x:c r="AL678" s="38" t="n">
        <x:f>IF(AA678=0,0,AB678/AA678)</x:f>
        <x:v>1</x:v>
      </x:c>
      <x:c r="AM678" s="38" t="n">
        <x:f>IF(AB678=0,0,AC678/AB678)</x:f>
        <x:v>0.3333333333333333</x:v>
      </x:c>
      <x:c r="AN678" s="37" t="n">
        <x:f>ROUND((AD678*0.20+AE678*0.20+AF678*0.25+AG678*0.15+MIN(100,AC678*12)*0.20),1)</x:f>
        <x:v>63.3</x:v>
      </x:c>
      <x:c r="AO678" s="37" t="n">
        <x:f>ROUND(MAX(0,MIN(100,(X678*0.35)+(W678/45*100*0.20)+((5-O678)/4*100*0.15)+((5-P678)/4*100*0.10)+((6-Y678)/5*100*0.10)+((100-Z678)*0.10))),1)</x:f>
        <x:v>58.7</x:v>
      </x:c>
      <x:c r="AP678" s="37" t="str">
        <x:f>IF(AO678&gt;=70,"High",IF(AO678&gt;=40,"Moderate","Low"))</x:f>
        <x:v>Moderate</x:v>
      </x:c>
      <x:c r="AQ678" s="37" t="n">
        <x:f>ROUND(MAX(0,MIN(100,(O678/4*100*0.25)+(P678/4*100*0.20)+(Q678/4*100*0.15)+(Y678/5*100*0.20)+(100-AO678)*0.20)),1)</x:f>
        <x:v>61.8</x:v>
      </x:c>
      <x:c r="AR678" s="37" t="n">
        <x:f>ROUND((AI678*0.20+AJ678*0.15+AN678*0.18+AG678*0.12+Z678*0.15+AQ678*0.20),1)</x:f>
        <x:v>85</x:v>
      </x:c>
      <x:c r="AS678" s="39" t="n">
        <x:f>ROUND((AC678*AF678*120)+(AH678*350)+(MAX(0,AI678-75)*220)+(MAX(0,AQ678-60)*100),0)</x:f>
        <x:v>15224</x:v>
      </x:c>
    </x:row>
    <x:row r="679">
      <x:c r="A679" s="35" t="n">
        <x:v>678</x:v>
      </x:c>
      <x:c r="B679" s="35" t="n">
        <x:v>49</x:v>
      </x:c>
      <x:c r="C679" s="35" t="str">
        <x:v>Female</x:v>
      </x:c>
      <x:c r="D679" s="35" t="str">
        <x:v>Information Technology</x:v>
      </x:c>
      <x:c r="E679" s="35" t="str">
        <x:v>IT Manager</x:v>
      </x:c>
      <x:c r="F679" s="35" t="str">
        <x:v>Life Sciences</x:v>
      </x:c>
      <x:c r="G679" s="35" t="str">
        <x:v>Married</x:v>
      </x:c>
      <x:c r="H679" s="35" t="n">
        <x:v>4</x:v>
      </x:c>
      <x:c r="I679" s="36" t="n">
        <x:v>16750</x:v>
      </x:c>
      <x:c r="J679" s="35" t="n">
        <x:v>18</x:v>
      </x:c>
      <x:c r="K679" s="35" t="n">
        <x:v>14</x:v>
      </x:c>
      <x:c r="L679" s="35" t="n">
        <x:v>4</x:v>
      </x:c>
      <x:c r="M679" s="35" t="n">
        <x:v>6</x:v>
      </x:c>
      <x:c r="N679" s="35" t="str">
        <x:v>No</x:v>
      </x:c>
      <x:c r="O679" s="35" t="n">
        <x:v>3</x:v>
      </x:c>
      <x:c r="P679" s="35" t="n">
        <x:v>3</x:v>
      </x:c>
      <x:c r="Q679" s="35" t="n">
        <x:v>2</x:v>
      </x:c>
      <x:c r="R679" s="35" t="n">
        <x:v>3</x:v>
      </x:c>
      <x:c r="S679" s="35" t="n">
        <x:v>3</x:v>
      </x:c>
      <x:c r="T679" s="35" t="n">
        <x:v>5</x:v>
      </x:c>
      <x:c r="U679" s="35" t="n">
        <x:v>0</x:v>
      </x:c>
      <x:c r="V679" s="35" t="n">
        <x:v>11</x:v>
      </x:c>
      <x:c r="W679" s="35" t="n">
        <x:v>6</x:v>
      </x:c>
      <x:c r="X679" s="35" t="n">
        <x:v>50</x:v>
      </x:c>
      <x:c r="Y679" s="35" t="n">
        <x:v>4</x:v>
      </x:c>
      <x:c r="Z679" s="35" t="n">
        <x:v>100</x:v>
      </x:c>
      <x:c r="AA679" s="35" t="n">
        <x:v>3</x:v>
      </x:c>
      <x:c r="AB679" s="35" t="n">
        <x:v>2</x:v>
      </x:c>
      <x:c r="AC679" s="35" t="n">
        <x:v>1</x:v>
      </x:c>
      <x:c r="AD679" s="35" t="n">
        <x:v>84</x:v>
      </x:c>
      <x:c r="AE679" s="35" t="n">
        <x:v>74</x:v>
      </x:c>
      <x:c r="AF679" s="35" t="n">
        <x:v>88</x:v>
      </x:c>
      <x:c r="AG679" s="35" t="n">
        <x:v>82</x:v>
      </x:c>
      <x:c r="AH679" s="35" t="n">
        <x:v>5</x:v>
      </x:c>
      <x:c r="AI679" s="37" t="n">
        <x:v>100</x:v>
      </x:c>
      <x:c r="AJ679" s="37" t="n">
        <x:v>92.6</x:v>
      </x:c>
      <x:c r="AK679" s="35" t="str">
        <x:v>No</x:v>
      </x:c>
      <x:c r="AL679" s="38" t="n">
        <x:f>IF(AA679=0,0,AB679/AA679)</x:f>
        <x:v>0.6666666666666666</x:v>
      </x:c>
      <x:c r="AM679" s="38" t="n">
        <x:f>IF(AB679=0,0,AC679/AB679)</x:f>
        <x:v>0.5</x:v>
      </x:c>
      <x:c r="AN679" s="37" t="n">
        <x:f>ROUND((AD679*0.20+AE679*0.20+AF679*0.25+AG679*0.15+MIN(100,AC679*12)*0.20),1)</x:f>
        <x:v>68.3</x:v>
      </x:c>
      <x:c r="AO679" s="37" t="n">
        <x:f>ROUND(MAX(0,MIN(100,(X679*0.35)+(W679/45*100*0.20)+((5-O679)/4*100*0.15)+((5-P679)/4*100*0.10)+((6-Y679)/5*100*0.10)+((100-Z679)*0.10))),1)</x:f>
        <x:v>36.7</x:v>
      </x:c>
      <x:c r="AP679" s="37" t="str">
        <x:f>IF(AO679&gt;=70,"High",IF(AO679&gt;=40,"Moderate","Low"))</x:f>
        <x:v>Low</x:v>
      </x:c>
      <x:c r="AQ679" s="37" t="n">
        <x:f>ROUND(MAX(0,MIN(100,(O679/4*100*0.25)+(P679/4*100*0.20)+(Q679/4*100*0.15)+(Y679/5*100*0.20)+(100-AO679)*0.20)),1)</x:f>
        <x:v>69.9</x:v>
      </x:c>
      <x:c r="AR679" s="37" t="n">
        <x:f>ROUND((AI679*0.20+AJ679*0.15+AN679*0.18+AG679*0.12+Z679*0.15+AQ679*0.20),1)</x:f>
        <x:v>85</x:v>
      </x:c>
      <x:c r="AS679" s="39" t="n">
        <x:f>ROUND((AC679*AF679*120)+(AH679*350)+(MAX(0,AI679-75)*220)+(MAX(0,AQ679-60)*100),0)</x:f>
        <x:v>18800</x:v>
      </x:c>
    </x:row>
    <x:row r="680">
      <x:c r="A680" s="35" t="n">
        <x:v>679</x:v>
      </x:c>
      <x:c r="B680" s="35" t="n">
        <x:v>32</x:v>
      </x:c>
      <x:c r="C680" s="35" t="str">
        <x:v>Female</x:v>
      </x:c>
      <x:c r="D680" s="35" t="str">
        <x:v>Human Resources</x:v>
      </x:c>
      <x:c r="E680" s="35" t="str">
        <x:v>Talent Development Specialist</x:v>
      </x:c>
      <x:c r="F680" s="35" t="str">
        <x:v>Marketing</x:v>
      </x:c>
      <x:c r="G680" s="35" t="str">
        <x:v>Married</x:v>
      </x:c>
      <x:c r="H680" s="35" t="n">
        <x:v>2</x:v>
      </x:c>
      <x:c r="I680" s="36" t="n">
        <x:v>9970</x:v>
      </x:c>
      <x:c r="J680" s="35" t="n">
        <x:v>10</x:v>
      </x:c>
      <x:c r="K680" s="35" t="n">
        <x:v>5</x:v>
      </x:c>
      <x:c r="L680" s="35" t="n">
        <x:v>3</x:v>
      </x:c>
      <x:c r="M680" s="35" t="n">
        <x:v>18</x:v>
      </x:c>
      <x:c r="N680" s="35" t="str">
        <x:v>No</x:v>
      </x:c>
      <x:c r="O680" s="35" t="n">
        <x:v>4</x:v>
      </x:c>
      <x:c r="P680" s="35" t="n">
        <x:v>3</x:v>
      </x:c>
      <x:c r="Q680" s="35" t="n">
        <x:v>4</x:v>
      </x:c>
      <x:c r="R680" s="35" t="n">
        <x:v>2</x:v>
      </x:c>
      <x:c r="S680" s="35" t="n">
        <x:v>3</x:v>
      </x:c>
      <x:c r="T680" s="35" t="n">
        <x:v>6</x:v>
      </x:c>
      <x:c r="U680" s="35" t="n">
        <x:v>1</x:v>
      </x:c>
      <x:c r="V680" s="35" t="n">
        <x:v>0</x:v>
      </x:c>
      <x:c r="W680" s="35" t="n">
        <x:v>0</x:v>
      </x:c>
      <x:c r="X680" s="35" t="n">
        <x:v>58</x:v>
      </x:c>
      <x:c r="Y680" s="35" t="n">
        <x:v>5</x:v>
      </x:c>
      <x:c r="Z680" s="35" t="n">
        <x:v>86</x:v>
      </x:c>
      <x:c r="AA680" s="35" t="n">
        <x:v>8</x:v>
      </x:c>
      <x:c r="AB680" s="35" t="n">
        <x:v>7</x:v>
      </x:c>
      <x:c r="AC680" s="35" t="n">
        <x:v>5</x:v>
      </x:c>
      <x:c r="AD680" s="35" t="n">
        <x:v>73</x:v>
      </x:c>
      <x:c r="AE680" s="35" t="n">
        <x:v>91</x:v>
      </x:c>
      <x:c r="AF680" s="35" t="n">
        <x:v>75</x:v>
      </x:c>
      <x:c r="AG680" s="35" t="n">
        <x:v>75</x:v>
      </x:c>
      <x:c r="AH680" s="35" t="n">
        <x:v>7</x:v>
      </x:c>
      <x:c r="AI680" s="37" t="n">
        <x:v>81.1</x:v>
      </x:c>
      <x:c r="AJ680" s="37" t="n">
        <x:v>93.7</x:v>
      </x:c>
      <x:c r="AK680" s="35" t="str">
        <x:v>No</x:v>
      </x:c>
      <x:c r="AL680" s="38" t="n">
        <x:f>IF(AA680=0,0,AB680/AA680)</x:f>
        <x:v>0.875</x:v>
      </x:c>
      <x:c r="AM680" s="38" t="n">
        <x:f>IF(AB680=0,0,AC680/AB680)</x:f>
        <x:v>0.7142857142857143</x:v>
      </x:c>
      <x:c r="AN680" s="37" t="n">
        <x:f>ROUND((AD680*0.20+AE680*0.20+AF680*0.25+AG680*0.15+MIN(100,AC680*12)*0.20),1)</x:f>
        <x:v>74.8</x:v>
      </x:c>
      <x:c r="AO680" s="37" t="n">
        <x:f>ROUND(MAX(0,MIN(100,(X680*0.35)+(W680/45*100*0.20)+((5-O680)/4*100*0.15)+((5-P680)/4*100*0.10)+((6-Y680)/5*100*0.10)+((100-Z680)*0.10))),1)</x:f>
        <x:v>32.4</x:v>
      </x:c>
      <x:c r="AP680" s="37" t="str">
        <x:f>IF(AO680&gt;=70,"High",IF(AO680&gt;=40,"Moderate","Low"))</x:f>
        <x:v>Low</x:v>
      </x:c>
      <x:c r="AQ680" s="37" t="n">
        <x:f>ROUND(MAX(0,MIN(100,(O680/4*100*0.25)+(P680/4*100*0.20)+(Q680/4*100*0.15)+(Y680/5*100*0.20)+(100-AO680)*0.20)),1)</x:f>
        <x:v>88.5</x:v>
      </x:c>
      <x:c r="AR680" s="37" t="n">
        <x:f>ROUND((AI680*0.20+AJ680*0.15+AN680*0.18+AG680*0.12+Z680*0.15+AQ680*0.20),1)</x:f>
        <x:v>83.3</x:v>
      </x:c>
      <x:c r="AS680" s="39" t="n">
        <x:f>ROUND((AC680*AF680*120)+(AH680*350)+(MAX(0,AI680-75)*220)+(MAX(0,AQ680-60)*100),0)</x:f>
        <x:v>51642</x:v>
      </x:c>
    </x:row>
    <x:row r="681">
      <x:c r="A681" s="35" t="n">
        <x:v>680</x:v>
      </x:c>
      <x:c r="B681" s="35" t="n">
        <x:v>30</x:v>
      </x:c>
      <x:c r="C681" s="35" t="str">
        <x:v>Female</x:v>
      </x:c>
      <x:c r="D681" s="35" t="str">
        <x:v>Research &amp; Development</x:v>
      </x:c>
      <x:c r="E681" s="35" t="str">
        <x:v>Laboratory Technician</x:v>
      </x:c>
      <x:c r="F681" s="35" t="str">
        <x:v>Marketing</x:v>
      </x:c>
      <x:c r="G681" s="35" t="str">
        <x:v>Married</x:v>
      </x:c>
      <x:c r="H681" s="35" t="n">
        <x:v>2</x:v>
      </x:c>
      <x:c r="I681" s="36" t="n">
        <x:v>10090</x:v>
      </x:c>
      <x:c r="J681" s="35" t="n">
        <x:v>4</x:v>
      </x:c>
      <x:c r="K681" s="35" t="n">
        <x:v>2</x:v>
      </x:c>
      <x:c r="L681" s="35" t="n">
        <x:v>1</x:v>
      </x:c>
      <x:c r="M681" s="35" t="n">
        <x:v>5</x:v>
      </x:c>
      <x:c r="N681" s="35" t="str">
        <x:v>No</x:v>
      </x:c>
      <x:c r="O681" s="35" t="n">
        <x:v>2</x:v>
      </x:c>
      <x:c r="P681" s="35" t="n">
        <x:v>3</x:v>
      </x:c>
      <x:c r="Q681" s="35" t="n">
        <x:v>2</x:v>
      </x:c>
      <x:c r="R681" s="35" t="n">
        <x:v>4</x:v>
      </x:c>
      <x:c r="S681" s="35" t="n">
        <x:v>3</x:v>
      </x:c>
      <x:c r="T681" s="35" t="n">
        <x:v>3</x:v>
      </x:c>
      <x:c r="U681" s="35" t="n">
        <x:v>2</x:v>
      </x:c>
      <x:c r="V681" s="35" t="n">
        <x:v>8</x:v>
      </x:c>
      <x:c r="W681" s="35" t="n">
        <x:v>12</x:v>
      </x:c>
      <x:c r="X681" s="35" t="n">
        <x:v>60</x:v>
      </x:c>
      <x:c r="Y681" s="35" t="n">
        <x:v>4</x:v>
      </x:c>
      <x:c r="Z681" s="35" t="n">
        <x:v>100</x:v>
      </x:c>
      <x:c r="AA681" s="35" t="n">
        <x:v>7</x:v>
      </x:c>
      <x:c r="AB681" s="35" t="n">
        <x:v>6</x:v>
      </x:c>
      <x:c r="AC681" s="35" t="n">
        <x:v>6</x:v>
      </x:c>
      <x:c r="AD681" s="35" t="n">
        <x:v>92</x:v>
      </x:c>
      <x:c r="AE681" s="35" t="n">
        <x:v>73</x:v>
      </x:c>
      <x:c r="AF681" s="35" t="n">
        <x:v>70</x:v>
      </x:c>
      <x:c r="AG681" s="35" t="n">
        <x:v>100</x:v>
      </x:c>
      <x:c r="AH681" s="35" t="n">
        <x:v>6</x:v>
      </x:c>
      <x:c r="AI681" s="37" t="n">
        <x:v>88.2</x:v>
      </x:c>
      <x:c r="AJ681" s="37" t="n">
        <x:v>85.9</x:v>
      </x:c>
      <x:c r="AK681" s="35" t="str">
        <x:v>Yes</x:v>
      </x:c>
      <x:c r="AL681" s="38" t="n">
        <x:f>IF(AA681=0,0,AB681/AA681)</x:f>
        <x:v>0.8571428571428571</x:v>
      </x:c>
      <x:c r="AM681" s="38" t="n">
        <x:f>IF(AB681=0,0,AC681/AB681)</x:f>
        <x:v>1</x:v>
      </x:c>
      <x:c r="AN681" s="37" t="n">
        <x:f>ROUND((AD681*0.20+AE681*0.20+AF681*0.25+AG681*0.15+MIN(100,AC681*12)*0.20),1)</x:f>
        <x:v>79.9</x:v>
      </x:c>
      <x:c r="AO681" s="37" t="n">
        <x:f>ROUND(MAX(0,MIN(100,(X681*0.35)+(W681/45*100*0.20)+((5-O681)/4*100*0.15)+((5-P681)/4*100*0.10)+((6-Y681)/5*100*0.10)+((100-Z681)*0.10))),1)</x:f>
        <x:v>46.6</x:v>
      </x:c>
      <x:c r="AP681" s="37" t="str">
        <x:f>IF(AO681&gt;=70,"High",IF(AO681&gt;=40,"Moderate","Low"))</x:f>
        <x:v>Moderate</x:v>
      </x:c>
      <x:c r="AQ681" s="37" t="n">
        <x:f>ROUND(MAX(0,MIN(100,(O681/4*100*0.25)+(P681/4*100*0.20)+(Q681/4*100*0.15)+(Y681/5*100*0.20)+(100-AO681)*0.20)),1)</x:f>
        <x:v>61.7</x:v>
      </x:c>
      <x:c r="AR681" s="37" t="n">
        <x:f>ROUND((AI681*0.20+AJ681*0.15+AN681*0.18+AG681*0.12+Z681*0.15+AQ681*0.20),1)</x:f>
        <x:v>84.2</x:v>
      </x:c>
      <x:c r="AS681" s="39" t="n">
        <x:f>ROUND((AC681*AF681*120)+(AH681*350)+(MAX(0,AI681-75)*220)+(MAX(0,AQ681-60)*100),0)</x:f>
        <x:v>55574</x:v>
      </x:c>
    </x:row>
    <x:row r="682">
      <x:c r="A682" s="35" t="n">
        <x:v>681</x:v>
      </x:c>
      <x:c r="B682" s="35" t="n">
        <x:v>21</x:v>
      </x:c>
      <x:c r="C682" s="35" t="str">
        <x:v>Male</x:v>
      </x:c>
      <x:c r="D682" s="35" t="str">
        <x:v>Marketing</x:v>
      </x:c>
      <x:c r="E682" s="35" t="str">
        <x:v>Marketing Manager</x:v>
      </x:c>
      <x:c r="F682" s="35" t="str">
        <x:v>Human Resources</x:v>
      </x:c>
      <x:c r="G682" s="35" t="str">
        <x:v>Single</x:v>
      </x:c>
      <x:c r="H682" s="35" t="n">
        <x:v>1</x:v>
      </x:c>
      <x:c r="I682" s="36" t="n">
        <x:v>5750</x:v>
      </x:c>
      <x:c r="J682" s="35" t="n">
        <x:v>0</x:v>
      </x:c>
      <x:c r="K682" s="35" t="n">
        <x:v>0</x:v>
      </x:c>
      <x:c r="L682" s="35" t="n">
        <x:v>0</x:v>
      </x:c>
      <x:c r="M682" s="35" t="n">
        <x:v>7</x:v>
      </x:c>
      <x:c r="N682" s="35" t="str">
        <x:v>Yes</x:v>
      </x:c>
      <x:c r="O682" s="35" t="n">
        <x:v>3</x:v>
      </x:c>
      <x:c r="P682" s="35" t="n">
        <x:v>2</x:v>
      </x:c>
      <x:c r="Q682" s="35" t="n">
        <x:v>4</x:v>
      </x:c>
      <x:c r="R682" s="35" t="n">
        <x:v>3</x:v>
      </x:c>
      <x:c r="S682" s="35" t="n">
        <x:v>3</x:v>
      </x:c>
      <x:c r="T682" s="35" t="n">
        <x:v>2</x:v>
      </x:c>
      <x:c r="U682" s="35" t="n">
        <x:v>1</x:v>
      </x:c>
      <x:c r="V682" s="35" t="n">
        <x:v>9</x:v>
      </x:c>
      <x:c r="W682" s="35" t="n">
        <x:v>20</x:v>
      </x:c>
      <x:c r="X682" s="35" t="n">
        <x:v>66</x:v>
      </x:c>
      <x:c r="Y682" s="35" t="n">
        <x:v>5</x:v>
      </x:c>
      <x:c r="Z682" s="35" t="n">
        <x:v>96</x:v>
      </x:c>
      <x:c r="AA682" s="35" t="n">
        <x:v>4</x:v>
      </x:c>
      <x:c r="AB682" s="35" t="n">
        <x:v>3</x:v>
      </x:c>
      <x:c r="AC682" s="35" t="n">
        <x:v>3</x:v>
      </x:c>
      <x:c r="AD682" s="35" t="n">
        <x:v>57</x:v>
      </x:c>
      <x:c r="AE682" s="35" t="n">
        <x:v>91</x:v>
      </x:c>
      <x:c r="AF682" s="35" t="n">
        <x:v>66</x:v>
      </x:c>
      <x:c r="AG682" s="35" t="n">
        <x:v>100</x:v>
      </x:c>
      <x:c r="AH682" s="35" t="n">
        <x:v>8</x:v>
      </x:c>
      <x:c r="AI682" s="37" t="n">
        <x:v>100</x:v>
      </x:c>
      <x:c r="AJ682" s="37" t="n">
        <x:v>89.3</x:v>
      </x:c>
      <x:c r="AK682" s="35" t="str">
        <x:v>No</x:v>
      </x:c>
      <x:c r="AL682" s="38" t="n">
        <x:f>IF(AA682=0,0,AB682/AA682)</x:f>
        <x:v>0.75</x:v>
      </x:c>
      <x:c r="AM682" s="38" t="n">
        <x:f>IF(AB682=0,0,AC682/AB682)</x:f>
        <x:v>1</x:v>
      </x:c>
      <x:c r="AN682" s="37" t="n">
        <x:f>ROUND((AD682*0.20+AE682*0.20+AF682*0.25+AG682*0.15+MIN(100,AC682*12)*0.20),1)</x:f>
        <x:v>68.3</x:v>
      </x:c>
      <x:c r="AO682" s="37" t="n">
        <x:f>ROUND(MAX(0,MIN(100,(X682*0.35)+(W682/45*100*0.20)+((5-O682)/4*100*0.15)+((5-P682)/4*100*0.10)+((6-Y682)/5*100*0.10)+((100-Z682)*0.10))),1)</x:f>
        <x:v>49.4</x:v>
      </x:c>
      <x:c r="AP682" s="37" t="str">
        <x:f>IF(AO682&gt;=70,"High",IF(AO682&gt;=40,"Moderate","Low"))</x:f>
        <x:v>Moderate</x:v>
      </x:c>
      <x:c r="AQ682" s="37" t="n">
        <x:f>ROUND(MAX(0,MIN(100,(O682/4*100*0.25)+(P682/4*100*0.20)+(Q682/4*100*0.15)+(Y682/5*100*0.20)+(100-AO682)*0.20)),1)</x:f>
        <x:v>73.9</x:v>
      </x:c>
      <x:c r="AR682" s="37" t="n">
        <x:f>ROUND((AI682*0.20+AJ682*0.15+AN682*0.18+AG682*0.12+Z682*0.15+AQ682*0.20),1)</x:f>
        <x:v>86.9</x:v>
      </x:c>
      <x:c r="AS682" s="39" t="n">
        <x:f>ROUND((AC682*AF682*120)+(AH682*350)+(MAX(0,AI682-75)*220)+(MAX(0,AQ682-60)*100),0)</x:f>
        <x:v>33450</x:v>
      </x:c>
    </x:row>
    <x:row r="683">
      <x:c r="A683" s="35" t="n">
        <x:v>682</x:v>
      </x:c>
      <x:c r="B683" s="35" t="n">
        <x:v>22</x:v>
      </x:c>
      <x:c r="C683" s="35" t="str">
        <x:v>Male</x:v>
      </x:c>
      <x:c r="D683" s="35" t="str">
        <x:v>Marketing</x:v>
      </x:c>
      <x:c r="E683" s="35" t="str">
        <x:v>Digital Marketing Analyst</x:v>
      </x:c>
      <x:c r="F683" s="35" t="str">
        <x:v>Human Resources</x:v>
      </x:c>
      <x:c r="G683" s="35" t="str">
        <x:v>Married</x:v>
      </x:c>
      <x:c r="H683" s="35" t="n">
        <x:v>1</x:v>
      </x:c>
      <x:c r="I683" s="36" t="n">
        <x:v>6960</x:v>
      </x:c>
      <x:c r="J683" s="35" t="n">
        <x:v>1</x:v>
      </x:c>
      <x:c r="K683" s="35" t="n">
        <x:v>1</x:v>
      </x:c>
      <x:c r="L683" s="35" t="n">
        <x:v>0</x:v>
      </x:c>
      <x:c r="M683" s="35" t="n">
        <x:v>10</x:v>
      </x:c>
      <x:c r="N683" s="35" t="str">
        <x:v>No</x:v>
      </x:c>
      <x:c r="O683" s="35" t="n">
        <x:v>2</x:v>
      </x:c>
      <x:c r="P683" s="35" t="n">
        <x:v>2</x:v>
      </x:c>
      <x:c r="Q683" s="35" t="n">
        <x:v>4</x:v>
      </x:c>
      <x:c r="R683" s="35" t="n">
        <x:v>3</x:v>
      </x:c>
      <x:c r="S683" s="35" t="n">
        <x:v>4</x:v>
      </x:c>
      <x:c r="T683" s="35" t="n">
        <x:v>3</x:v>
      </x:c>
      <x:c r="U683" s="35" t="n">
        <x:v>0</x:v>
      </x:c>
      <x:c r="V683" s="35" t="n">
        <x:v>4</x:v>
      </x:c>
      <x:c r="W683" s="35" t="n">
        <x:v>8</x:v>
      </x:c>
      <x:c r="X683" s="35" t="n">
        <x:v>53</x:v>
      </x:c>
      <x:c r="Y683" s="35" t="n">
        <x:v>5</x:v>
      </x:c>
      <x:c r="Z683" s="35" t="n">
        <x:v>97</x:v>
      </x:c>
      <x:c r="AA683" s="35" t="n">
        <x:v>6</x:v>
      </x:c>
      <x:c r="AB683" s="35" t="n">
        <x:v>6</x:v>
      </x:c>
      <x:c r="AC683" s="35" t="n">
        <x:v>5</x:v>
      </x:c>
      <x:c r="AD683" s="35" t="n">
        <x:v>90</x:v>
      </x:c>
      <x:c r="AE683" s="35" t="n">
        <x:v>89</x:v>
      </x:c>
      <x:c r="AF683" s="35" t="n">
        <x:v>67</x:v>
      </x:c>
      <x:c r="AG683" s="35" t="n">
        <x:v>90</x:v>
      </x:c>
      <x:c r="AH683" s="35" t="n">
        <x:v>12</x:v>
      </x:c>
      <x:c r="AI683" s="37" t="n">
        <x:v>100</x:v>
      </x:c>
      <x:c r="AJ683" s="37" t="n">
        <x:v>94.3</x:v>
      </x:c>
      <x:c r="AK683" s="35" t="str">
        <x:v>No</x:v>
      </x:c>
      <x:c r="AL683" s="38" t="n">
        <x:f>IF(AA683=0,0,AB683/AA683)</x:f>
        <x:v>1</x:v>
      </x:c>
      <x:c r="AM683" s="38" t="n">
        <x:f>IF(AB683=0,0,AC683/AB683)</x:f>
        <x:v>0.8333333333333334</x:v>
      </x:c>
      <x:c r="AN683" s="37" t="n">
        <x:f>ROUND((AD683*0.20+AE683*0.20+AF683*0.25+AG683*0.15+MIN(100,AC683*12)*0.20),1)</x:f>
        <x:v>78.1</x:v>
      </x:c>
      <x:c r="AO683" s="37" t="n">
        <x:f>ROUND(MAX(0,MIN(100,(X683*0.35)+(W683/45*100*0.20)+((5-O683)/4*100*0.15)+((5-P683)/4*100*0.10)+((6-Y683)/5*100*0.10)+((100-Z683)*0.10))),1)</x:f>
        <x:v>43.2</x:v>
      </x:c>
      <x:c r="AP683" s="37" t="str">
        <x:f>IF(AO683&gt;=70,"High",IF(AO683&gt;=40,"Moderate","Low"))</x:f>
        <x:v>Moderate</x:v>
      </x:c>
      <x:c r="AQ683" s="37" t="n">
        <x:f>ROUND(MAX(0,MIN(100,(O683/4*100*0.25)+(P683/4*100*0.20)+(Q683/4*100*0.15)+(Y683/5*100*0.20)+(100-AO683)*0.20)),1)</x:f>
        <x:v>68.9</x:v>
      </x:c>
      <x:c r="AR683" s="37" t="n">
        <x:f>ROUND((AI683*0.20+AJ683*0.15+AN683*0.18+AG683*0.12+Z683*0.15+AQ683*0.20),1)</x:f>
        <x:v>87.3</x:v>
      </x:c>
      <x:c r="AS683" s="39" t="n">
        <x:f>ROUND((AC683*AF683*120)+(AH683*350)+(MAX(0,AI683-75)*220)+(MAX(0,AQ683-60)*100),0)</x:f>
        <x:v>50790</x:v>
      </x:c>
    </x:row>
    <x:row r="684">
      <x:c r="A684" s="35" t="n">
        <x:v>683</x:v>
      </x:c>
      <x:c r="B684" s="35" t="n">
        <x:v>34</x:v>
      </x:c>
      <x:c r="C684" s="35" t="str">
        <x:v>Female</x:v>
      </x:c>
      <x:c r="D684" s="35" t="str">
        <x:v>Sales</x:v>
      </x:c>
      <x:c r="E684" s="35" t="str">
        <x:v>Account Manager</x:v>
      </x:c>
      <x:c r="F684" s="35" t="str">
        <x:v>Human Resources</x:v>
      </x:c>
      <x:c r="G684" s="35" t="str">
        <x:v>Married</x:v>
      </x:c>
      <x:c r="H684" s="35" t="n">
        <x:v>3</x:v>
      </x:c>
      <x:c r="I684" s="36" t="n">
        <x:v>13840</x:v>
      </x:c>
      <x:c r="J684" s="35" t="n">
        <x:v>12</x:v>
      </x:c>
      <x:c r="K684" s="35" t="n">
        <x:v>7</x:v>
      </x:c>
      <x:c r="L684" s="35" t="n">
        <x:v>2</x:v>
      </x:c>
      <x:c r="M684" s="35" t="n">
        <x:v>2</x:v>
      </x:c>
      <x:c r="N684" s="35" t="str">
        <x:v>No</x:v>
      </x:c>
      <x:c r="O684" s="35" t="n">
        <x:v>2</x:v>
      </x:c>
      <x:c r="P684" s="35" t="n">
        <x:v>2</x:v>
      </x:c>
      <x:c r="Q684" s="35" t="n">
        <x:v>2</x:v>
      </x:c>
      <x:c r="R684" s="35" t="n">
        <x:v>3</x:v>
      </x:c>
      <x:c r="S684" s="35" t="n">
        <x:v>3</x:v>
      </x:c>
      <x:c r="T684" s="35" t="n">
        <x:v>5</x:v>
      </x:c>
      <x:c r="U684" s="35" t="n">
        <x:v>1</x:v>
      </x:c>
      <x:c r="V684" s="35" t="n">
        <x:v>7</x:v>
      </x:c>
      <x:c r="W684" s="35" t="n">
        <x:v>8</x:v>
      </x:c>
      <x:c r="X684" s="35" t="n">
        <x:v>71</x:v>
      </x:c>
      <x:c r="Y684" s="35" t="n">
        <x:v>3</x:v>
      </x:c>
      <x:c r="Z684" s="35" t="n">
        <x:v>81</x:v>
      </x:c>
      <x:c r="AA684" s="35" t="n">
        <x:v>1</x:v>
      </x:c>
      <x:c r="AB684" s="35" t="n">
        <x:v>1</x:v>
      </x:c>
      <x:c r="AC684" s="35" t="n">
        <x:v>1</x:v>
      </x:c>
      <x:c r="AD684" s="35" t="n">
        <x:v>65</x:v>
      </x:c>
      <x:c r="AE684" s="35" t="n">
        <x:v>81</x:v>
      </x:c>
      <x:c r="AF684" s="35" t="n">
        <x:v>78</x:v>
      </x:c>
      <x:c r="AG684" s="35" t="n">
        <x:v>86</x:v>
      </x:c>
      <x:c r="AH684" s="35" t="n">
        <x:v>3</x:v>
      </x:c>
      <x:c r="AI684" s="37" t="n">
        <x:v>96.8</x:v>
      </x:c>
      <x:c r="AJ684" s="37" t="n">
        <x:v>83</x:v>
      </x:c>
      <x:c r="AK684" s="35" t="str">
        <x:v>Yes</x:v>
      </x:c>
      <x:c r="AL684" s="38" t="n">
        <x:f>IF(AA684=0,0,AB684/AA684)</x:f>
        <x:v>1</x:v>
      </x:c>
      <x:c r="AM684" s="38" t="n">
        <x:f>IF(AB684=0,0,AC684/AB684)</x:f>
        <x:v>1</x:v>
      </x:c>
      <x:c r="AN684" s="37" t="n">
        <x:f>ROUND((AD684*0.20+AE684*0.20+AF684*0.25+AG684*0.15+MIN(100,AC684*12)*0.20),1)</x:f>
        <x:v>64</x:v>
      </x:c>
      <x:c r="AO684" s="37" t="n">
        <x:f>ROUND(MAX(0,MIN(100,(X684*0.35)+(W684/45*100*0.20)+((5-O684)/4*100*0.15)+((5-P684)/4*100*0.10)+((6-Y684)/5*100*0.10)+((100-Z684)*0.10))),1)</x:f>
        <x:v>55.1</x:v>
      </x:c>
      <x:c r="AP684" s="37" t="str">
        <x:f>IF(AO684&gt;=70,"High",IF(AO684&gt;=40,"Moderate","Low"))</x:f>
        <x:v>Moderate</x:v>
      </x:c>
      <x:c r="AQ684" s="37" t="n">
        <x:f>ROUND(MAX(0,MIN(100,(O684/4*100*0.25)+(P684/4*100*0.20)+(Q684/4*100*0.15)+(Y684/5*100*0.20)+(100-AO684)*0.20)),1)</x:f>
        <x:v>51</x:v>
      </x:c>
      <x:c r="AR684" s="37" t="n">
        <x:f>ROUND((AI684*0.20+AJ684*0.15+AN684*0.18+AG684*0.12+Z684*0.15+AQ684*0.20),1)</x:f>
        <x:v>76</x:v>
      </x:c>
      <x:c r="AS684" s="39" t="n">
        <x:f>ROUND((AC684*AF684*120)+(AH684*350)+(MAX(0,AI684-75)*220)+(MAX(0,AQ684-60)*100),0)</x:f>
        <x:v>15206</x:v>
      </x:c>
    </x:row>
    <x:row r="685">
      <x:c r="A685" s="35" t="n">
        <x:v>684</x:v>
      </x:c>
      <x:c r="B685" s="35" t="n">
        <x:v>30</x:v>
      </x:c>
      <x:c r="C685" s="35" t="str">
        <x:v>Male</x:v>
      </x:c>
      <x:c r="D685" s="35" t="str">
        <x:v>Human Resources</x:v>
      </x:c>
      <x:c r="E685" s="35" t="str">
        <x:v>HR Manager</x:v>
      </x:c>
      <x:c r="F685" s="35" t="str">
        <x:v>Human Resources</x:v>
      </x:c>
      <x:c r="G685" s="35" t="str">
        <x:v>Single</x:v>
      </x:c>
      <x:c r="H685" s="35" t="n">
        <x:v>1</x:v>
      </x:c>
      <x:c r="I685" s="36" t="n">
        <x:v>5190</x:v>
      </x:c>
      <x:c r="J685" s="35" t="n">
        <x:v>5</x:v>
      </x:c>
      <x:c r="K685" s="35" t="n">
        <x:v>3</x:v>
      </x:c>
      <x:c r="L685" s="35" t="n">
        <x:v>1</x:v>
      </x:c>
      <x:c r="M685" s="35" t="n">
        <x:v>9</x:v>
      </x:c>
      <x:c r="N685" s="35" t="str">
        <x:v>No</x:v>
      </x:c>
      <x:c r="O685" s="35" t="n">
        <x:v>3</x:v>
      </x:c>
      <x:c r="P685" s="35" t="n">
        <x:v>3</x:v>
      </x:c>
      <x:c r="Q685" s="35" t="n">
        <x:v>3</x:v>
      </x:c>
      <x:c r="R685" s="35" t="n">
        <x:v>3</x:v>
      </x:c>
      <x:c r="S685" s="35" t="n">
        <x:v>3</x:v>
      </x:c>
      <x:c r="T685" s="35" t="n">
        <x:v>4</x:v>
      </x:c>
      <x:c r="U685" s="35" t="n">
        <x:v>0</x:v>
      </x:c>
      <x:c r="V685" s="35" t="n">
        <x:v>3</x:v>
      </x:c>
      <x:c r="W685" s="35" t="n">
        <x:v>15</x:v>
      </x:c>
      <x:c r="X685" s="35" t="n">
        <x:v>68</x:v>
      </x:c>
      <x:c r="Y685" s="35" t="n">
        <x:v>3</x:v>
      </x:c>
      <x:c r="Z685" s="35" t="n">
        <x:v>95</x:v>
      </x:c>
      <x:c r="AA685" s="35" t="n">
        <x:v>8</x:v>
      </x:c>
      <x:c r="AB685" s="35" t="n">
        <x:v>6</x:v>
      </x:c>
      <x:c r="AC685" s="35" t="n">
        <x:v>5</x:v>
      </x:c>
      <x:c r="AD685" s="35" t="n">
        <x:v>68</x:v>
      </x:c>
      <x:c r="AE685" s="35" t="n">
        <x:v>90</x:v>
      </x:c>
      <x:c r="AF685" s="35" t="n">
        <x:v>89</x:v>
      </x:c>
      <x:c r="AG685" s="35" t="n">
        <x:v>95</x:v>
      </x:c>
      <x:c r="AH685" s="35" t="n">
        <x:v>6</x:v>
      </x:c>
      <x:c r="AI685" s="37" t="n">
        <x:v>91.6</x:v>
      </x:c>
      <x:c r="AJ685" s="37" t="n">
        <x:v>90.6</x:v>
      </x:c>
      <x:c r="AK685" s="35" t="str">
        <x:v>No</x:v>
      </x:c>
      <x:c r="AL685" s="38" t="n">
        <x:f>IF(AA685=0,0,AB685/AA685)</x:f>
        <x:v>0.75</x:v>
      </x:c>
      <x:c r="AM685" s="38" t="n">
        <x:f>IF(AB685=0,0,AC685/AB685)</x:f>
        <x:v>0.8333333333333334</x:v>
      </x:c>
      <x:c r="AN685" s="37" t="n">
        <x:f>ROUND((AD685*0.20+AE685*0.20+AF685*0.25+AG685*0.15+MIN(100,AC685*12)*0.20),1)</x:f>
        <x:v>80.1</x:v>
      </x:c>
      <x:c r="AO685" s="37" t="n">
        <x:f>ROUND(MAX(0,MIN(100,(X685*0.35)+(W685/45*100*0.20)+((5-O685)/4*100*0.15)+((5-P685)/4*100*0.10)+((6-Y685)/5*100*0.10)+((100-Z685)*0.10))),1)</x:f>
        <x:v>49.5</x:v>
      </x:c>
      <x:c r="AP685" s="37" t="str">
        <x:f>IF(AO685&gt;=70,"High",IF(AO685&gt;=40,"Moderate","Low"))</x:f>
        <x:v>Moderate</x:v>
      </x:c>
      <x:c r="AQ685" s="37" t="n">
        <x:f>ROUND(MAX(0,MIN(100,(O685/4*100*0.25)+(P685/4*100*0.20)+(Q685/4*100*0.15)+(Y685/5*100*0.20)+(100-AO685)*0.20)),1)</x:f>
        <x:v>67.1</x:v>
      </x:c>
      <x:c r="AR685" s="37" t="n">
        <x:f>ROUND((AI685*0.20+AJ685*0.15+AN685*0.18+AG685*0.12+Z685*0.15+AQ685*0.20),1)</x:f>
        <x:v>85.4</x:v>
      </x:c>
      <x:c r="AS685" s="39" t="n">
        <x:f>ROUND((AC685*AF685*120)+(AH685*350)+(MAX(0,AI685-75)*220)+(MAX(0,AQ685-60)*100),0)</x:f>
        <x:v>59862</x:v>
      </x:c>
    </x:row>
    <x:row r="686">
      <x:c r="A686" s="35" t="n">
        <x:v>685</x:v>
      </x:c>
      <x:c r="B686" s="35" t="n">
        <x:v>32</x:v>
      </x:c>
      <x:c r="C686" s="35" t="str">
        <x:v>Male</x:v>
      </x:c>
      <x:c r="D686" s="35" t="str">
        <x:v>Research &amp; Development</x:v>
      </x:c>
      <x:c r="E686" s="35" t="str">
        <x:v>Research Scientist</x:v>
      </x:c>
      <x:c r="F686" s="35" t="str">
        <x:v>Business</x:v>
      </x:c>
      <x:c r="G686" s="35" t="str">
        <x:v>Single</x:v>
      </x:c>
      <x:c r="H686" s="35" t="n">
        <x:v>1</x:v>
      </x:c>
      <x:c r="I686" s="36" t="n">
        <x:v>5430</x:v>
      </x:c>
      <x:c r="J686" s="35" t="n">
        <x:v>7</x:v>
      </x:c>
      <x:c r="K686" s="35" t="n">
        <x:v>2</x:v>
      </x:c>
      <x:c r="L686" s="35" t="n">
        <x:v>1</x:v>
      </x:c>
      <x:c r="M686" s="35" t="n">
        <x:v>4</x:v>
      </x:c>
      <x:c r="N686" s="35" t="str">
        <x:v>Yes</x:v>
      </x:c>
      <x:c r="O686" s="35" t="n">
        <x:v>2</x:v>
      </x:c>
      <x:c r="P686" s="35" t="n">
        <x:v>3</x:v>
      </x:c>
      <x:c r="Q686" s="35" t="n">
        <x:v>1</x:v>
      </x:c>
      <x:c r="R686" s="35" t="n">
        <x:v>3</x:v>
      </x:c>
      <x:c r="S686" s="35" t="n">
        <x:v>3</x:v>
      </x:c>
      <x:c r="T686" s="35" t="n">
        <x:v>1</x:v>
      </x:c>
      <x:c r="U686" s="35" t="n">
        <x:v>1</x:v>
      </x:c>
      <x:c r="V686" s="35" t="n">
        <x:v>4</x:v>
      </x:c>
      <x:c r="W686" s="35" t="n">
        <x:v>18</x:v>
      </x:c>
      <x:c r="X686" s="35" t="n">
        <x:v>71</x:v>
      </x:c>
      <x:c r="Y686" s="35" t="n">
        <x:v>4</x:v>
      </x:c>
      <x:c r="Z686" s="35" t="n">
        <x:v>97</x:v>
      </x:c>
      <x:c r="AA686" s="35" t="n">
        <x:v>3</x:v>
      </x:c>
      <x:c r="AB686" s="35" t="n">
        <x:v>2</x:v>
      </x:c>
      <x:c r="AC686" s="35" t="n">
        <x:v>2</x:v>
      </x:c>
      <x:c r="AD686" s="35" t="n">
        <x:v>70</x:v>
      </x:c>
      <x:c r="AE686" s="35" t="n">
        <x:v>70</x:v>
      </x:c>
      <x:c r="AF686" s="35" t="n">
        <x:v>68</x:v>
      </x:c>
      <x:c r="AG686" s="35" t="n">
        <x:v>100</x:v>
      </x:c>
      <x:c r="AH686" s="35" t="n">
        <x:v>3</x:v>
      </x:c>
      <x:c r="AI686" s="37" t="n">
        <x:v>94.4</x:v>
      </x:c>
      <x:c r="AJ686" s="37" t="n">
        <x:v>83.7</x:v>
      </x:c>
      <x:c r="AK686" s="35" t="str">
        <x:v>No</x:v>
      </x:c>
      <x:c r="AL686" s="38" t="n">
        <x:f>IF(AA686=0,0,AB686/AA686)</x:f>
        <x:v>0.6666666666666666</x:v>
      </x:c>
      <x:c r="AM686" s="38" t="n">
        <x:f>IF(AB686=0,0,AC686/AB686)</x:f>
        <x:v>1</x:v>
      </x:c>
      <x:c r="AN686" s="37" t="n">
        <x:f>ROUND((AD686*0.20+AE686*0.20+AF686*0.25+AG686*0.15+MIN(100,AC686*12)*0.20),1)</x:f>
        <x:v>64.8</x:v>
      </x:c>
      <x:c r="AO686" s="37" t="n">
        <x:f>ROUND(MAX(0,MIN(100,(X686*0.35)+(W686/45*100*0.20)+((5-O686)/4*100*0.15)+((5-P686)/4*100*0.10)+((6-Y686)/5*100*0.10)+((100-Z686)*0.10))),1)</x:f>
        <x:v>53.4</x:v>
      </x:c>
      <x:c r="AP686" s="37" t="str">
        <x:f>IF(AO686&gt;=70,"High",IF(AO686&gt;=40,"Moderate","Low"))</x:f>
        <x:v>Moderate</x:v>
      </x:c>
      <x:c r="AQ686" s="37" t="n">
        <x:f>ROUND(MAX(0,MIN(100,(O686/4*100*0.25)+(P686/4*100*0.20)+(Q686/4*100*0.15)+(Y686/5*100*0.20)+(100-AO686)*0.20)),1)</x:f>
        <x:v>56.6</x:v>
      </x:c>
      <x:c r="AR686" s="37" t="n">
        <x:f>ROUND((AI686*0.20+AJ686*0.15+AN686*0.18+AG686*0.12+Z686*0.15+AQ686*0.20),1)</x:f>
        <x:v>81</x:v>
      </x:c>
      <x:c r="AS686" s="39" t="n">
        <x:f>ROUND((AC686*AF686*120)+(AH686*350)+(MAX(0,AI686-75)*220)+(MAX(0,AQ686-60)*100),0)</x:f>
        <x:v>21638</x:v>
      </x:c>
    </x:row>
    <x:row r="687">
      <x:c r="A687" s="35" t="n">
        <x:v>686</x:v>
      </x:c>
      <x:c r="B687" s="35" t="n">
        <x:v>40</x:v>
      </x:c>
      <x:c r="C687" s="35" t="str">
        <x:v>Female</x:v>
      </x:c>
      <x:c r="D687" s="35" t="str">
        <x:v>Sales</x:v>
      </x:c>
      <x:c r="E687" s="35" t="str">
        <x:v>Sales Executive</x:v>
      </x:c>
      <x:c r="F687" s="35" t="str">
        <x:v>Marketing</x:v>
      </x:c>
      <x:c r="G687" s="35" t="str">
        <x:v>Married</x:v>
      </x:c>
      <x:c r="H687" s="35" t="n">
        <x:v>3</x:v>
      </x:c>
      <x:c r="I687" s="36" t="n">
        <x:v>12730</x:v>
      </x:c>
      <x:c r="J687" s="35" t="n">
        <x:v>10</x:v>
      </x:c>
      <x:c r="K687" s="35" t="n">
        <x:v>6</x:v>
      </x:c>
      <x:c r="L687" s="35" t="n">
        <x:v>2</x:v>
      </x:c>
      <x:c r="M687" s="35" t="n">
        <x:v>6</x:v>
      </x:c>
      <x:c r="N687" s="35" t="str">
        <x:v>No</x:v>
      </x:c>
      <x:c r="O687" s="35" t="n">
        <x:v>3</x:v>
      </x:c>
      <x:c r="P687" s="35" t="n">
        <x:v>4</x:v>
      </x:c>
      <x:c r="Q687" s="35" t="n">
        <x:v>2</x:v>
      </x:c>
      <x:c r="R687" s="35" t="n">
        <x:v>3</x:v>
      </x:c>
      <x:c r="S687" s="35" t="n">
        <x:v>3</x:v>
      </x:c>
      <x:c r="T687" s="35" t="n">
        <x:v>0</x:v>
      </x:c>
      <x:c r="U687" s="35" t="n">
        <x:v>0</x:v>
      </x:c>
      <x:c r="V687" s="35" t="n">
        <x:v>5</x:v>
      </x:c>
      <x:c r="W687" s="35" t="n">
        <x:v>0</x:v>
      </x:c>
      <x:c r="X687" s="35" t="n">
        <x:v>66</x:v>
      </x:c>
      <x:c r="Y687" s="35" t="n">
        <x:v>5</x:v>
      </x:c>
      <x:c r="Z687" s="35" t="n">
        <x:v>100</x:v>
      </x:c>
      <x:c r="AA687" s="35" t="n">
        <x:v>6</x:v>
      </x:c>
      <x:c r="AB687" s="35" t="n">
        <x:v>4</x:v>
      </x:c>
      <x:c r="AC687" s="35" t="n">
        <x:v>3</x:v>
      </x:c>
      <x:c r="AD687" s="35" t="n">
        <x:v>62</x:v>
      </x:c>
      <x:c r="AE687" s="35" t="n">
        <x:v>85</x:v>
      </x:c>
      <x:c r="AF687" s="35" t="n">
        <x:v>81</x:v>
      </x:c>
      <x:c r="AG687" s="35" t="n">
        <x:v>88</x:v>
      </x:c>
      <x:c r="AH687" s="35" t="n">
        <x:v>6</x:v>
      </x:c>
      <x:c r="AI687" s="37" t="n">
        <x:v>89.3</x:v>
      </x:c>
      <x:c r="AJ687" s="37" t="n">
        <x:v>87.1</x:v>
      </x:c>
      <x:c r="AK687" s="35" t="str">
        <x:v>No</x:v>
      </x:c>
      <x:c r="AL687" s="38" t="n">
        <x:f>IF(AA687=0,0,AB687/AA687)</x:f>
        <x:v>0.6666666666666666</x:v>
      </x:c>
      <x:c r="AM687" s="38" t="n">
        <x:f>IF(AB687=0,0,AC687/AB687)</x:f>
        <x:v>0.75</x:v>
      </x:c>
      <x:c r="AN687" s="37" t="n">
        <x:f>ROUND((AD687*0.20+AE687*0.20+AF687*0.25+AG687*0.15+MIN(100,AC687*12)*0.20),1)</x:f>
        <x:v>70.1</x:v>
      </x:c>
      <x:c r="AO687" s="37" t="n">
        <x:f>ROUND(MAX(0,MIN(100,(X687*0.35)+(W687/45*100*0.20)+((5-O687)/4*100*0.15)+((5-P687)/4*100*0.10)+((6-Y687)/5*100*0.10)+((100-Z687)*0.10))),1)</x:f>
        <x:v>35.1</x:v>
      </x:c>
      <x:c r="AP687" s="37" t="str">
        <x:f>IF(AO687&gt;=70,"High",IF(AO687&gt;=40,"Moderate","Low"))</x:f>
        <x:v>Low</x:v>
      </x:c>
      <x:c r="AQ687" s="37" t="n">
        <x:f>ROUND(MAX(0,MIN(100,(O687/4*100*0.25)+(P687/4*100*0.20)+(Q687/4*100*0.15)+(Y687/5*100*0.20)+(100-AO687)*0.20)),1)</x:f>
        <x:v>79.2</x:v>
      </x:c>
      <x:c r="AR687" s="37" t="n">
        <x:f>ROUND((AI687*0.20+AJ687*0.15+AN687*0.18+AG687*0.12+Z687*0.15+AQ687*0.20),1)</x:f>
        <x:v>84.9</x:v>
      </x:c>
      <x:c r="AS687" s="39" t="n">
        <x:f>ROUND((AC687*AF687*120)+(AH687*350)+(MAX(0,AI687-75)*220)+(MAX(0,AQ687-60)*100),0)</x:f>
        <x:v>36326</x:v>
      </x:c>
    </x:row>
    <x:row r="688">
      <x:c r="A688" s="35" t="n">
        <x:v>687</x:v>
      </x:c>
      <x:c r="B688" s="35" t="n">
        <x:v>34</x:v>
      </x:c>
      <x:c r="C688" s="35" t="str">
        <x:v>Female</x:v>
      </x:c>
      <x:c r="D688" s="35" t="str">
        <x:v>Research &amp; Development</x:v>
      </x:c>
      <x:c r="E688" s="35" t="str">
        <x:v>Data Scientist</x:v>
      </x:c>
      <x:c r="F688" s="35" t="str">
        <x:v>Life Sciences</x:v>
      </x:c>
      <x:c r="G688" s="35" t="str">
        <x:v>Divorced</x:v>
      </x:c>
      <x:c r="H688" s="35" t="n">
        <x:v>2</x:v>
      </x:c>
      <x:c r="I688" s="36" t="n">
        <x:v>5400</x:v>
      </x:c>
      <x:c r="J688" s="35" t="n">
        <x:v>6</x:v>
      </x:c>
      <x:c r="K688" s="35" t="n">
        <x:v>3</x:v>
      </x:c>
      <x:c r="L688" s="35" t="n">
        <x:v>1</x:v>
      </x:c>
      <x:c r="M688" s="35" t="n">
        <x:v>13</x:v>
      </x:c>
      <x:c r="N688" s="35" t="str">
        <x:v>No</x:v>
      </x:c>
      <x:c r="O688" s="35" t="n">
        <x:v>4</x:v>
      </x:c>
      <x:c r="P688" s="35" t="n">
        <x:v>3</x:v>
      </x:c>
      <x:c r="Q688" s="35" t="n">
        <x:v>3</x:v>
      </x:c>
      <x:c r="R688" s="35" t="n">
        <x:v>3</x:v>
      </x:c>
      <x:c r="S688" s="35" t="n">
        <x:v>3</x:v>
      </x:c>
      <x:c r="T688" s="35" t="n">
        <x:v>5</x:v>
      </x:c>
      <x:c r="U688" s="35" t="n">
        <x:v>2</x:v>
      </x:c>
      <x:c r="V688" s="35" t="n">
        <x:v>9</x:v>
      </x:c>
      <x:c r="W688" s="35" t="n">
        <x:v>22</x:v>
      </x:c>
      <x:c r="X688" s="35" t="n">
        <x:v>70</x:v>
      </x:c>
      <x:c r="Y688" s="35" t="n">
        <x:v>4</x:v>
      </x:c>
      <x:c r="Z688" s="35" t="n">
        <x:v>92</x:v>
      </x:c>
      <x:c r="AA688" s="35" t="n">
        <x:v>5</x:v>
      </x:c>
      <x:c r="AB688" s="35" t="n">
        <x:v>5</x:v>
      </x:c>
      <x:c r="AC688" s="35" t="n">
        <x:v>3</x:v>
      </x:c>
      <x:c r="AD688" s="35" t="n">
        <x:v>98</x:v>
      </x:c>
      <x:c r="AE688" s="35" t="n">
        <x:v>71</x:v>
      </x:c>
      <x:c r="AF688" s="35" t="n">
        <x:v>67</x:v>
      </x:c>
      <x:c r="AG688" s="35" t="n">
        <x:v>78</x:v>
      </x:c>
      <x:c r="AH688" s="35" t="n">
        <x:v>6</x:v>
      </x:c>
      <x:c r="AI688" s="37" t="n">
        <x:v>91.6</x:v>
      </x:c>
      <x:c r="AJ688" s="37" t="n">
        <x:v>95.3</x:v>
      </x:c>
      <x:c r="AK688" s="35" t="str">
        <x:v>No</x:v>
      </x:c>
      <x:c r="AL688" s="38" t="n">
        <x:f>IF(AA688=0,0,AB688/AA688)</x:f>
        <x:v>1</x:v>
      </x:c>
      <x:c r="AM688" s="38" t="n">
        <x:f>IF(AB688=0,0,AC688/AB688)</x:f>
        <x:v>0.6</x:v>
      </x:c>
      <x:c r="AN688" s="37" t="n">
        <x:f>ROUND((AD688*0.20+AE688*0.20+AF688*0.25+AG688*0.15+MIN(100,AC688*12)*0.20),1)</x:f>
        <x:v>69.5</x:v>
      </x:c>
      <x:c r="AO688" s="37" t="n">
        <x:f>ROUND(MAX(0,MIN(100,(X688*0.35)+(W688/45*100*0.20)+((5-O688)/4*100*0.15)+((5-P688)/4*100*0.10)+((6-Y688)/5*100*0.10)+((100-Z688)*0.10))),1)</x:f>
        <x:v>47.8</x:v>
      </x:c>
      <x:c r="AP688" s="37" t="str">
        <x:f>IF(AO688&gt;=70,"High",IF(AO688&gt;=40,"Moderate","Low"))</x:f>
        <x:v>Moderate</x:v>
      </x:c>
      <x:c r="AQ688" s="37" t="n">
        <x:f>ROUND(MAX(0,MIN(100,(O688/4*100*0.25)+(P688/4*100*0.20)+(Q688/4*100*0.15)+(Y688/5*100*0.20)+(100-AO688)*0.20)),1)</x:f>
        <x:v>77.7</x:v>
      </x:c>
      <x:c r="AR688" s="37" t="n">
        <x:f>ROUND((AI688*0.20+AJ688*0.15+AN688*0.18+AG688*0.12+Z688*0.15+AQ688*0.20),1)</x:f>
        <x:v>83.8</x:v>
      </x:c>
      <x:c r="AS688" s="39" t="n">
        <x:f>ROUND((AC688*AF688*120)+(AH688*350)+(MAX(0,AI688-75)*220)+(MAX(0,AQ688-60)*100),0)</x:f>
        <x:v>31642</x:v>
      </x:c>
    </x:row>
    <x:row r="689">
      <x:c r="A689" s="35" t="n">
        <x:v>688</x:v>
      </x:c>
      <x:c r="B689" s="35" t="n">
        <x:v>24</x:v>
      </x:c>
      <x:c r="C689" s="35" t="str">
        <x:v>Male</x:v>
      </x:c>
      <x:c r="D689" s="35" t="str">
        <x:v>Operations</x:v>
      </x:c>
      <x:c r="E689" s="35" t="str">
        <x:v>Operations Specialist</x:v>
      </x:c>
      <x:c r="F689" s="35" t="str">
        <x:v>Life Sciences</x:v>
      </x:c>
      <x:c r="G689" s="35" t="str">
        <x:v>Single</x:v>
      </x:c>
      <x:c r="H689" s="35" t="n">
        <x:v>1</x:v>
      </x:c>
      <x:c r="I689" s="36" t="n">
        <x:v>4600</x:v>
      </x:c>
      <x:c r="J689" s="35" t="n">
        <x:v>2</x:v>
      </x:c>
      <x:c r="K689" s="35" t="n">
        <x:v>1</x:v>
      </x:c>
      <x:c r="L689" s="35" t="n">
        <x:v>0</x:v>
      </x:c>
      <x:c r="M689" s="35" t="n">
        <x:v>4</x:v>
      </x:c>
      <x:c r="N689" s="35" t="str">
        <x:v>Yes</x:v>
      </x:c>
      <x:c r="O689" s="35" t="n">
        <x:v>3</x:v>
      </x:c>
      <x:c r="P689" s="35" t="n">
        <x:v>3</x:v>
      </x:c>
      <x:c r="Q689" s="35" t="n">
        <x:v>3</x:v>
      </x:c>
      <x:c r="R689" s="35" t="n">
        <x:v>4</x:v>
      </x:c>
      <x:c r="S689" s="35" t="n">
        <x:v>3</x:v>
      </x:c>
      <x:c r="T689" s="35" t="n">
        <x:v>3</x:v>
      </x:c>
      <x:c r="U689" s="35" t="n">
        <x:v>0</x:v>
      </x:c>
      <x:c r="V689" s="35" t="n">
        <x:v>10</x:v>
      </x:c>
      <x:c r="W689" s="35" t="n">
        <x:v>15</x:v>
      </x:c>
      <x:c r="X689" s="35" t="n">
        <x:v>55</x:v>
      </x:c>
      <x:c r="Y689" s="35" t="n">
        <x:v>4</x:v>
      </x:c>
      <x:c r="Z689" s="35" t="n">
        <x:v>100</x:v>
      </x:c>
      <x:c r="AA689" s="35" t="n">
        <x:v>4</x:v>
      </x:c>
      <x:c r="AB689" s="35" t="n">
        <x:v>4</x:v>
      </x:c>
      <x:c r="AC689" s="35" t="n">
        <x:v>2</x:v>
      </x:c>
      <x:c r="AD689" s="35" t="n">
        <x:v>72</x:v>
      </x:c>
      <x:c r="AE689" s="35" t="n">
        <x:v>79</x:v>
      </x:c>
      <x:c r="AF689" s="35" t="n">
        <x:v>67</x:v>
      </x:c>
      <x:c r="AG689" s="35" t="n">
        <x:v>100</x:v>
      </x:c>
      <x:c r="AH689" s="35" t="n">
        <x:v>10</x:v>
      </x:c>
      <x:c r="AI689" s="37" t="n">
        <x:v>94.3</x:v>
      </x:c>
      <x:c r="AJ689" s="37" t="n">
        <x:v>87.4</x:v>
      </x:c>
      <x:c r="AK689" s="35" t="str">
        <x:v>No</x:v>
      </x:c>
      <x:c r="AL689" s="38" t="n">
        <x:f>IF(AA689=0,0,AB689/AA689)</x:f>
        <x:v>1</x:v>
      </x:c>
      <x:c r="AM689" s="38" t="n">
        <x:f>IF(AB689=0,0,AC689/AB689)</x:f>
        <x:v>0.5</x:v>
      </x:c>
      <x:c r="AN689" s="37" t="n">
        <x:f>ROUND((AD689*0.20+AE689*0.20+AF689*0.25+AG689*0.15+MIN(100,AC689*12)*0.20),1)</x:f>
        <x:v>66.8</x:v>
      </x:c>
      <x:c r="AO689" s="37" t="n">
        <x:f>ROUND(MAX(0,MIN(100,(X689*0.35)+(W689/45*100*0.20)+((5-O689)/4*100*0.15)+((5-P689)/4*100*0.10)+((6-Y689)/5*100*0.10)+((100-Z689)*0.10))),1)</x:f>
        <x:v>42.4</x:v>
      </x:c>
      <x:c r="AP689" s="37" t="str">
        <x:f>IF(AO689&gt;=70,"High",IF(AO689&gt;=40,"Moderate","Low"))</x:f>
        <x:v>Moderate</x:v>
      </x:c>
      <x:c r="AQ689" s="37" t="n">
        <x:f>ROUND(MAX(0,MIN(100,(O689/4*100*0.25)+(P689/4*100*0.20)+(Q689/4*100*0.15)+(Y689/5*100*0.20)+(100-AO689)*0.20)),1)</x:f>
        <x:v>72.5</x:v>
      </x:c>
      <x:c r="AR689" s="37" t="n">
        <x:f>ROUND((AI689*0.20+AJ689*0.15+AN689*0.18+AG689*0.12+Z689*0.15+AQ689*0.20),1)</x:f>
        <x:v>85.5</x:v>
      </x:c>
      <x:c r="AS689" s="39" t="n">
        <x:f>ROUND((AC689*AF689*120)+(AH689*350)+(MAX(0,AI689-75)*220)+(MAX(0,AQ689-60)*100),0)</x:f>
        <x:v>25076</x:v>
      </x:c>
    </x:row>
    <x:row r="690">
      <x:c r="A690" s="35" t="n">
        <x:v>689</x:v>
      </x:c>
      <x:c r="B690" s="35" t="n">
        <x:v>39</x:v>
      </x:c>
      <x:c r="C690" s="35" t="str">
        <x:v>Male</x:v>
      </x:c>
      <x:c r="D690" s="35" t="str">
        <x:v>Information Technology</x:v>
      </x:c>
      <x:c r="E690" s="35" t="str">
        <x:v>IT Support</x:v>
      </x:c>
      <x:c r="F690" s="35" t="str">
        <x:v>Business</x:v>
      </x:c>
      <x:c r="G690" s="35" t="str">
        <x:v>Married</x:v>
      </x:c>
      <x:c r="H690" s="35" t="n">
        <x:v>2</x:v>
      </x:c>
      <x:c r="I690" s="36" t="n">
        <x:v>8850</x:v>
      </x:c>
      <x:c r="J690" s="35" t="n">
        <x:v>16</x:v>
      </x:c>
      <x:c r="K690" s="35" t="n">
        <x:v>8</x:v>
      </x:c>
      <x:c r="L690" s="35" t="n">
        <x:v>4</x:v>
      </x:c>
      <x:c r="M690" s="35" t="n">
        <x:v>17</x:v>
      </x:c>
      <x:c r="N690" s="35" t="str">
        <x:v>No</x:v>
      </x:c>
      <x:c r="O690" s="35" t="n">
        <x:v>3</x:v>
      </x:c>
      <x:c r="P690" s="35" t="n">
        <x:v>4</x:v>
      </x:c>
      <x:c r="Q690" s="35" t="n">
        <x:v>3</x:v>
      </x:c>
      <x:c r="R690" s="35" t="n">
        <x:v>4</x:v>
      </x:c>
      <x:c r="S690" s="35" t="n">
        <x:v>3</x:v>
      </x:c>
      <x:c r="T690" s="35" t="n">
        <x:v>3</x:v>
      </x:c>
      <x:c r="U690" s="35" t="n">
        <x:v>1</x:v>
      </x:c>
      <x:c r="V690" s="35" t="n">
        <x:v>3</x:v>
      </x:c>
      <x:c r="W690" s="35" t="n">
        <x:v>0</x:v>
      </x:c>
      <x:c r="X690" s="35" t="n">
        <x:v>63</x:v>
      </x:c>
      <x:c r="Y690" s="35" t="n">
        <x:v>4</x:v>
      </x:c>
      <x:c r="Z690" s="35" t="n">
        <x:v>100</x:v>
      </x:c>
      <x:c r="AA690" s="35" t="n">
        <x:v>2</x:v>
      </x:c>
      <x:c r="AB690" s="35" t="n">
        <x:v>1</x:v>
      </x:c>
      <x:c r="AC690" s="35" t="n">
        <x:v>1</x:v>
      </x:c>
      <x:c r="AD690" s="35" t="n">
        <x:v>88</x:v>
      </x:c>
      <x:c r="AE690" s="35" t="n">
        <x:v>82</x:v>
      </x:c>
      <x:c r="AF690" s="35" t="n">
        <x:v>70</x:v>
      </x:c>
      <x:c r="AG690" s="35" t="n">
        <x:v>100</x:v>
      </x:c>
      <x:c r="AH690" s="35" t="n">
        <x:v>3</x:v>
      </x:c>
      <x:c r="AI690" s="37" t="n">
        <x:v>92.8</x:v>
      </x:c>
      <x:c r="AJ690" s="37" t="n">
        <x:v>100</x:v>
      </x:c>
      <x:c r="AK690" s="35" t="str">
        <x:v>No</x:v>
      </x:c>
      <x:c r="AL690" s="38" t="n">
        <x:f>IF(AA690=0,0,AB690/AA690)</x:f>
        <x:v>0.5</x:v>
      </x:c>
      <x:c r="AM690" s="38" t="n">
        <x:f>IF(AB690=0,0,AC690/AB690)</x:f>
        <x:v>1</x:v>
      </x:c>
      <x:c r="AN690" s="37" t="n">
        <x:f>ROUND((AD690*0.20+AE690*0.20+AF690*0.25+AG690*0.15+MIN(100,AC690*12)*0.20),1)</x:f>
        <x:v>68.9</x:v>
      </x:c>
      <x:c r="AO690" s="37" t="n">
        <x:f>ROUND(MAX(0,MIN(100,(X690*0.35)+(W690/45*100*0.20)+((5-O690)/4*100*0.15)+((5-P690)/4*100*0.10)+((6-Y690)/5*100*0.10)+((100-Z690)*0.10))),1)</x:f>
        <x:v>36.1</x:v>
      </x:c>
      <x:c r="AP690" s="37" t="str">
        <x:f>IF(AO690&gt;=70,"High",IF(AO690&gt;=40,"Moderate","Low"))</x:f>
        <x:v>Low</x:v>
      </x:c>
      <x:c r="AQ690" s="37" t="n">
        <x:f>ROUND(MAX(0,MIN(100,(O690/4*100*0.25)+(P690/4*100*0.20)+(Q690/4*100*0.15)+(Y690/5*100*0.20)+(100-AO690)*0.20)),1)</x:f>
        <x:v>78.8</x:v>
      </x:c>
      <x:c r="AR690" s="37" t="n">
        <x:f>ROUND((AI690*0.20+AJ690*0.15+AN690*0.18+AG690*0.12+Z690*0.15+AQ690*0.20),1)</x:f>
        <x:v>88.7</x:v>
      </x:c>
      <x:c r="AS690" s="39" t="n">
        <x:f>ROUND((AC690*AF690*120)+(AH690*350)+(MAX(0,AI690-75)*220)+(MAX(0,AQ690-60)*100),0)</x:f>
        <x:v>15246</x:v>
      </x:c>
    </x:row>
    <x:row r="691">
      <x:c r="A691" s="35" t="n">
        <x:v>690</x:v>
      </x:c>
      <x:c r="B691" s="35" t="n">
        <x:v>32</x:v>
      </x:c>
      <x:c r="C691" s="35" t="str">
        <x:v>Male</x:v>
      </x:c>
      <x:c r="D691" s="35" t="str">
        <x:v>Research &amp; Development</x:v>
      </x:c>
      <x:c r="E691" s="35" t="str">
        <x:v>R&amp;D Manager</x:v>
      </x:c>
      <x:c r="F691" s="35" t="str">
        <x:v>Business</x:v>
      </x:c>
      <x:c r="G691" s="35" t="str">
        <x:v>Married</x:v>
      </x:c>
      <x:c r="H691" s="35" t="n">
        <x:v>3</x:v>
      </x:c>
      <x:c r="I691" s="36" t="n">
        <x:v>11640</x:v>
      </x:c>
      <x:c r="J691" s="35" t="n">
        <x:v>5</x:v>
      </x:c>
      <x:c r="K691" s="35" t="n">
        <x:v>4</x:v>
      </x:c>
      <x:c r="L691" s="35" t="n">
        <x:v>3</x:v>
      </x:c>
      <x:c r="M691" s="35" t="n">
        <x:v>22</x:v>
      </x:c>
      <x:c r="N691" s="35" t="str">
        <x:v>Yes</x:v>
      </x:c>
      <x:c r="O691" s="35" t="n">
        <x:v>2</x:v>
      </x:c>
      <x:c r="P691" s="35" t="n">
        <x:v>4</x:v>
      </x:c>
      <x:c r="Q691" s="35" t="n">
        <x:v>3</x:v>
      </x:c>
      <x:c r="R691" s="35" t="n">
        <x:v>3</x:v>
      </x:c>
      <x:c r="S691" s="35" t="n">
        <x:v>3</x:v>
      </x:c>
      <x:c r="T691" s="35" t="n">
        <x:v>2</x:v>
      </x:c>
      <x:c r="U691" s="35" t="n">
        <x:v>0</x:v>
      </x:c>
      <x:c r="V691" s="35" t="n">
        <x:v>11</x:v>
      </x:c>
      <x:c r="W691" s="35" t="n">
        <x:v>3</x:v>
      </x:c>
      <x:c r="X691" s="35" t="n">
        <x:v>76</x:v>
      </x:c>
      <x:c r="Y691" s="35" t="n">
        <x:v>4</x:v>
      </x:c>
      <x:c r="Z691" s="35" t="n">
        <x:v>100</x:v>
      </x:c>
      <x:c r="AA691" s="35" t="n">
        <x:v>2</x:v>
      </x:c>
      <x:c r="AB691" s="35" t="n">
        <x:v>1</x:v>
      </x:c>
      <x:c r="AC691" s="35" t="n">
        <x:v>1</x:v>
      </x:c>
      <x:c r="AD691" s="35" t="n">
        <x:v>90</x:v>
      </x:c>
      <x:c r="AE691" s="35" t="n">
        <x:v>92</x:v>
      </x:c>
      <x:c r="AF691" s="35" t="n">
        <x:v>74</x:v>
      </x:c>
      <x:c r="AG691" s="35" t="n">
        <x:v>78</x:v>
      </x:c>
      <x:c r="AH691" s="35" t="n">
        <x:v>3</x:v>
      </x:c>
      <x:c r="AI691" s="37" t="n">
        <x:v>100</x:v>
      </x:c>
      <x:c r="AJ691" s="37" t="n">
        <x:v>85.7</x:v>
      </x:c>
      <x:c r="AK691" s="35" t="str">
        <x:v>Yes</x:v>
      </x:c>
      <x:c r="AL691" s="38" t="n">
        <x:f>IF(AA691=0,0,AB691/AA691)</x:f>
        <x:v>0.5</x:v>
      </x:c>
      <x:c r="AM691" s="38" t="n">
        <x:f>IF(AB691=0,0,AC691/AB691)</x:f>
        <x:v>1</x:v>
      </x:c>
      <x:c r="AN691" s="37" t="n">
        <x:f>ROUND((AD691*0.20+AE691*0.20+AF691*0.25+AG691*0.15+MIN(100,AC691*12)*0.20),1)</x:f>
        <x:v>69</x:v>
      </x:c>
      <x:c r="AO691" s="37" t="n">
        <x:f>ROUND(MAX(0,MIN(100,(X691*0.35)+(W691/45*100*0.20)+((5-O691)/4*100*0.15)+((5-P691)/4*100*0.10)+((6-Y691)/5*100*0.10)+((100-Z691)*0.10))),1)</x:f>
        <x:v>45.7</x:v>
      </x:c>
      <x:c r="AP691" s="37" t="str">
        <x:f>IF(AO691&gt;=70,"High",IF(AO691&gt;=40,"Moderate","Low"))</x:f>
        <x:v>Moderate</x:v>
      </x:c>
      <x:c r="AQ691" s="37" t="n">
        <x:f>ROUND(MAX(0,MIN(100,(O691/4*100*0.25)+(P691/4*100*0.20)+(Q691/4*100*0.15)+(Y691/5*100*0.20)+(100-AO691)*0.20)),1)</x:f>
        <x:v>70.6</x:v>
      </x:c>
      <x:c r="AR691" s="37" t="n">
        <x:f>ROUND((AI691*0.20+AJ691*0.15+AN691*0.18+AG691*0.12+Z691*0.15+AQ691*0.20),1)</x:f>
        <x:v>83.8</x:v>
      </x:c>
      <x:c r="AS691" s="39" t="n">
        <x:f>ROUND((AC691*AF691*120)+(AH691*350)+(MAX(0,AI691-75)*220)+(MAX(0,AQ691-60)*100),0)</x:f>
        <x:v>16490</x:v>
      </x:c>
    </x:row>
    <x:row r="692">
      <x:c r="A692" s="35" t="n">
        <x:v>691</x:v>
      </x:c>
      <x:c r="B692" s="35" t="n">
        <x:v>35</x:v>
      </x:c>
      <x:c r="C692" s="35" t="str">
        <x:v>Male</x:v>
      </x:c>
      <x:c r="D692" s="35" t="str">
        <x:v>Marketing</x:v>
      </x:c>
      <x:c r="E692" s="35" t="str">
        <x:v>Marketing Specialist</x:v>
      </x:c>
      <x:c r="F692" s="35" t="str">
        <x:v>Marketing</x:v>
      </x:c>
      <x:c r="G692" s="35" t="str">
        <x:v>Married</x:v>
      </x:c>
      <x:c r="H692" s="35" t="n">
        <x:v>2</x:v>
      </x:c>
      <x:c r="I692" s="36" t="n">
        <x:v>7730</x:v>
      </x:c>
      <x:c r="J692" s="35" t="n">
        <x:v>7</x:v>
      </x:c>
      <x:c r="K692" s="35" t="n">
        <x:v>2</x:v>
      </x:c>
      <x:c r="L692" s="35" t="n">
        <x:v>1</x:v>
      </x:c>
      <x:c r="M692" s="35" t="n">
        <x:v>7</x:v>
      </x:c>
      <x:c r="N692" s="35" t="str">
        <x:v>No</x:v>
      </x:c>
      <x:c r="O692" s="35" t="n">
        <x:v>4</x:v>
      </x:c>
      <x:c r="P692" s="35" t="n">
        <x:v>2</x:v>
      </x:c>
      <x:c r="Q692" s="35" t="n">
        <x:v>3</x:v>
      </x:c>
      <x:c r="R692" s="35" t="n">
        <x:v>4</x:v>
      </x:c>
      <x:c r="S692" s="35" t="n">
        <x:v>3</x:v>
      </x:c>
      <x:c r="T692" s="35" t="n">
        <x:v>4</x:v>
      </x:c>
      <x:c r="U692" s="35" t="n">
        <x:v>1</x:v>
      </x:c>
      <x:c r="V692" s="35" t="n">
        <x:v>2</x:v>
      </x:c>
      <x:c r="W692" s="35" t="n">
        <x:v>0</x:v>
      </x:c>
      <x:c r="X692" s="35" t="n">
        <x:v>69</x:v>
      </x:c>
      <x:c r="Y692" s="35" t="n">
        <x:v>4</x:v>
      </x:c>
      <x:c r="Z692" s="35" t="n">
        <x:v>100</x:v>
      </x:c>
      <x:c r="AA692" s="35" t="n">
        <x:v>8</x:v>
      </x:c>
      <x:c r="AB692" s="35" t="n">
        <x:v>7</x:v>
      </x:c>
      <x:c r="AC692" s="35" t="n">
        <x:v>6</x:v>
      </x:c>
      <x:c r="AD692" s="35" t="n">
        <x:v>76</x:v>
      </x:c>
      <x:c r="AE692" s="35" t="n">
        <x:v>98</x:v>
      </x:c>
      <x:c r="AF692" s="35" t="n">
        <x:v>82</x:v>
      </x:c>
      <x:c r="AG692" s="35" t="n">
        <x:v>99</x:v>
      </x:c>
      <x:c r="AH692" s="35" t="n">
        <x:v>11</x:v>
      </x:c>
      <x:c r="AI692" s="37" t="n">
        <x:v>96.2</x:v>
      </x:c>
      <x:c r="AJ692" s="37" t="n">
        <x:v>88.5</x:v>
      </x:c>
      <x:c r="AK692" s="35" t="str">
        <x:v>No</x:v>
      </x:c>
      <x:c r="AL692" s="38" t="n">
        <x:f>IF(AA692=0,0,AB692/AA692)</x:f>
        <x:v>0.875</x:v>
      </x:c>
      <x:c r="AM692" s="38" t="n">
        <x:f>IF(AB692=0,0,AC692/AB692)</x:f>
        <x:v>0.8571428571428571</x:v>
      </x:c>
      <x:c r="AN692" s="37" t="n">
        <x:f>ROUND((AD692*0.20+AE692*0.20+AF692*0.25+AG692*0.15+MIN(100,AC692*12)*0.20),1)</x:f>
        <x:v>84.6</x:v>
      </x:c>
      <x:c r="AO692" s="37" t="n">
        <x:f>ROUND(MAX(0,MIN(100,(X692*0.35)+(W692/45*100*0.20)+((5-O692)/4*100*0.15)+((5-P692)/4*100*0.10)+((6-Y692)/5*100*0.10)+((100-Z692)*0.10))),1)</x:f>
        <x:v>39.4</x:v>
      </x:c>
      <x:c r="AP692" s="37" t="str">
        <x:f>IF(AO692&gt;=70,"High",IF(AO692&gt;=40,"Moderate","Low"))</x:f>
        <x:v>Low</x:v>
      </x:c>
      <x:c r="AQ692" s="37" t="n">
        <x:f>ROUND(MAX(0,MIN(100,(O692/4*100*0.25)+(P692/4*100*0.20)+(Q692/4*100*0.15)+(Y692/5*100*0.20)+(100-AO692)*0.20)),1)</x:f>
        <x:v>74.4</x:v>
      </x:c>
      <x:c r="AR692" s="37" t="n">
        <x:f>ROUND((AI692*0.20+AJ692*0.15+AN692*0.18+AG692*0.12+Z692*0.15+AQ692*0.20),1)</x:f>
        <x:v>89.5</x:v>
      </x:c>
      <x:c r="AS692" s="39" t="n">
        <x:f>ROUND((AC692*AF692*120)+(AH692*350)+(MAX(0,AI692-75)*220)+(MAX(0,AQ692-60)*100),0)</x:f>
        <x:v>68994</x:v>
      </x:c>
    </x:row>
    <x:row r="693">
      <x:c r="A693" s="35" t="n">
        <x:v>692</x:v>
      </x:c>
      <x:c r="B693" s="35" t="n">
        <x:v>35</x:v>
      </x:c>
      <x:c r="C693" s="35" t="str">
        <x:v>Male</x:v>
      </x:c>
      <x:c r="D693" s="35" t="str">
        <x:v>Human Resources</x:v>
      </x:c>
      <x:c r="E693" s="35" t="str">
        <x:v>Talent Development Specialist</x:v>
      </x:c>
      <x:c r="F693" s="35" t="str">
        <x:v>Technical Degree</x:v>
      </x:c>
      <x:c r="G693" s="35" t="str">
        <x:v>Married</x:v>
      </x:c>
      <x:c r="H693" s="35" t="n">
        <x:v>2</x:v>
      </x:c>
      <x:c r="I693" s="36" t="n">
        <x:v>8790</x:v>
      </x:c>
      <x:c r="J693" s="35" t="n">
        <x:v>8</x:v>
      </x:c>
      <x:c r="K693" s="35" t="n">
        <x:v>4</x:v>
      </x:c>
      <x:c r="L693" s="35" t="n">
        <x:v>2</x:v>
      </x:c>
      <x:c r="M693" s="35" t="n">
        <x:v>8</x:v>
      </x:c>
      <x:c r="N693" s="35" t="str">
        <x:v>No</x:v>
      </x:c>
      <x:c r="O693" s="35" t="n">
        <x:v>4</x:v>
      </x:c>
      <x:c r="P693" s="35" t="n">
        <x:v>2</x:v>
      </x:c>
      <x:c r="Q693" s="35" t="n">
        <x:v>2</x:v>
      </x:c>
      <x:c r="R693" s="35" t="n">
        <x:v>3</x:v>
      </x:c>
      <x:c r="S693" s="35" t="n">
        <x:v>3</x:v>
      </x:c>
      <x:c r="T693" s="35" t="n">
        <x:v>2</x:v>
      </x:c>
      <x:c r="U693" s="35" t="n">
        <x:v>0</x:v>
      </x:c>
      <x:c r="V693" s="35" t="n">
        <x:v>8</x:v>
      </x:c>
      <x:c r="W693" s="35" t="n">
        <x:v>0</x:v>
      </x:c>
      <x:c r="X693" s="35" t="n">
        <x:v>54</x:v>
      </x:c>
      <x:c r="Y693" s="35" t="n">
        <x:v>4</x:v>
      </x:c>
      <x:c r="Z693" s="35" t="n">
        <x:v>89</x:v>
      </x:c>
      <x:c r="AA693" s="35" t="n">
        <x:v>8</x:v>
      </x:c>
      <x:c r="AB693" s="35" t="n">
        <x:v>5</x:v>
      </x:c>
      <x:c r="AC693" s="35" t="n">
        <x:v>3</x:v>
      </x:c>
      <x:c r="AD693" s="35" t="n">
        <x:v>60</x:v>
      </x:c>
      <x:c r="AE693" s="35" t="n">
        <x:v>73</x:v>
      </x:c>
      <x:c r="AF693" s="35" t="n">
        <x:v>100</x:v>
      </x:c>
      <x:c r="AG693" s="35" t="n">
        <x:v>89</x:v>
      </x:c>
      <x:c r="AH693" s="35" t="n">
        <x:v>8</x:v>
      </x:c>
      <x:c r="AI693" s="37" t="n">
        <x:v>100</x:v>
      </x:c>
      <x:c r="AJ693" s="37" t="n">
        <x:v>85.9</x:v>
      </x:c>
      <x:c r="AK693" s="35" t="str">
        <x:v>No</x:v>
      </x:c>
      <x:c r="AL693" s="38" t="n">
        <x:f>IF(AA693=0,0,AB693/AA693)</x:f>
        <x:v>0.625</x:v>
      </x:c>
      <x:c r="AM693" s="38" t="n">
        <x:f>IF(AB693=0,0,AC693/AB693)</x:f>
        <x:v>0.6</x:v>
      </x:c>
      <x:c r="AN693" s="37" t="n">
        <x:f>ROUND((AD693*0.20+AE693*0.20+AF693*0.25+AG693*0.15+MIN(100,AC693*12)*0.20),1)</x:f>
        <x:v>72.2</x:v>
      </x:c>
      <x:c r="AO693" s="37" t="n">
        <x:f>ROUND(MAX(0,MIN(100,(X693*0.35)+(W693/45*100*0.20)+((5-O693)/4*100*0.15)+((5-P693)/4*100*0.10)+((6-Y693)/5*100*0.10)+((100-Z693)*0.10))),1)</x:f>
        <x:v>35.3</x:v>
      </x:c>
      <x:c r="AP693" s="37" t="str">
        <x:f>IF(AO693&gt;=70,"High",IF(AO693&gt;=40,"Moderate","Low"))</x:f>
        <x:v>Low</x:v>
      </x:c>
      <x:c r="AQ693" s="37" t="n">
        <x:f>ROUND(MAX(0,MIN(100,(O693/4*100*0.25)+(P693/4*100*0.20)+(Q693/4*100*0.15)+(Y693/5*100*0.20)+(100-AO693)*0.20)),1)</x:f>
        <x:v>71.4</x:v>
      </x:c>
      <x:c r="AR693" s="37" t="n">
        <x:f>ROUND((AI693*0.20+AJ693*0.15+AN693*0.18+AG693*0.12+Z693*0.15+AQ693*0.20),1)</x:f>
        <x:v>84.2</x:v>
      </x:c>
      <x:c r="AS693" s="39" t="n">
        <x:f>ROUND((AC693*AF693*120)+(AH693*350)+(MAX(0,AI693-75)*220)+(MAX(0,AQ693-60)*100),0)</x:f>
        <x:v>45440</x:v>
      </x:c>
    </x:row>
    <x:row r="694">
      <x:c r="A694" s="35" t="n">
        <x:v>693</x:v>
      </x:c>
      <x:c r="B694" s="35" t="n">
        <x:v>45</x:v>
      </x:c>
      <x:c r="C694" s="35" t="str">
        <x:v>Female</x:v>
      </x:c>
      <x:c r="D694" s="35" t="str">
        <x:v>Operations</x:v>
      </x:c>
      <x:c r="E694" s="35" t="str">
        <x:v>Operations Specialist</x:v>
      </x:c>
      <x:c r="F694" s="35" t="str">
        <x:v>Life Sciences</x:v>
      </x:c>
      <x:c r="G694" s="35" t="str">
        <x:v>Single</x:v>
      </x:c>
      <x:c r="H694" s="35" t="n">
        <x:v>3</x:v>
      </x:c>
      <x:c r="I694" s="36" t="n">
        <x:v>17900</x:v>
      </x:c>
      <x:c r="J694" s="35" t="n">
        <x:v>14</x:v>
      </x:c>
      <x:c r="K694" s="35" t="n">
        <x:v>7</x:v>
      </x:c>
      <x:c r="L694" s="35" t="n">
        <x:v>4</x:v>
      </x:c>
      <x:c r="M694" s="35" t="n">
        <x:v>21</x:v>
      </x:c>
      <x:c r="N694" s="35" t="str">
        <x:v>No</x:v>
      </x:c>
      <x:c r="O694" s="35" t="n">
        <x:v>3</x:v>
      </x:c>
      <x:c r="P694" s="35" t="n">
        <x:v>3</x:v>
      </x:c>
      <x:c r="Q694" s="35" t="n">
        <x:v>4</x:v>
      </x:c>
      <x:c r="R694" s="35" t="n">
        <x:v>3</x:v>
      </x:c>
      <x:c r="S694" s="35" t="n">
        <x:v>4</x:v>
      </x:c>
      <x:c r="T694" s="35" t="n">
        <x:v>3</x:v>
      </x:c>
      <x:c r="U694" s="35" t="n">
        <x:v>1</x:v>
      </x:c>
      <x:c r="V694" s="35" t="n">
        <x:v>2</x:v>
      </x:c>
      <x:c r="W694" s="35" t="n">
        <x:v>6</x:v>
      </x:c>
      <x:c r="X694" s="35" t="n">
        <x:v>68</x:v>
      </x:c>
      <x:c r="Y694" s="35" t="n">
        <x:v>5</x:v>
      </x:c>
      <x:c r="Z694" s="35" t="n">
        <x:v>100</x:v>
      </x:c>
      <x:c r="AA694" s="35" t="n">
        <x:v>4</x:v>
      </x:c>
      <x:c r="AB694" s="35" t="n">
        <x:v>3</x:v>
      </x:c>
      <x:c r="AC694" s="35" t="n">
        <x:v>3</x:v>
      </x:c>
      <x:c r="AD694" s="35" t="n">
        <x:v>75</x:v>
      </x:c>
      <x:c r="AE694" s="35" t="n">
        <x:v>94</x:v>
      </x:c>
      <x:c r="AF694" s="35" t="n">
        <x:v>99</x:v>
      </x:c>
      <x:c r="AG694" s="35" t="n">
        <x:v>88</x:v>
      </x:c>
      <x:c r="AH694" s="35" t="n">
        <x:v>9</x:v>
      </x:c>
      <x:c r="AI694" s="37" t="n">
        <x:v>100</x:v>
      </x:c>
      <x:c r="AJ694" s="37" t="n">
        <x:v>88.2</x:v>
      </x:c>
      <x:c r="AK694" s="35" t="str">
        <x:v>No</x:v>
      </x:c>
      <x:c r="AL694" s="38" t="n">
        <x:f>IF(AA694=0,0,AB694/AA694)</x:f>
        <x:v>0.75</x:v>
      </x:c>
      <x:c r="AM694" s="38" t="n">
        <x:f>IF(AB694=0,0,AC694/AB694)</x:f>
        <x:v>1</x:v>
      </x:c>
      <x:c r="AN694" s="37" t="n">
        <x:f>ROUND((AD694*0.20+AE694*0.20+AF694*0.25+AG694*0.15+MIN(100,AC694*12)*0.20),1)</x:f>
        <x:v>79</x:v>
      </x:c>
      <x:c r="AO694" s="37" t="n">
        <x:f>ROUND(MAX(0,MIN(100,(X694*0.35)+(W694/45*100*0.20)+((5-O694)/4*100*0.15)+((5-P694)/4*100*0.10)+((6-Y694)/5*100*0.10)+((100-Z694)*0.10))),1)</x:f>
        <x:v>41</x:v>
      </x:c>
      <x:c r="AP694" s="37" t="str">
        <x:f>IF(AO694&gt;=70,"High",IF(AO694&gt;=40,"Moderate","Low"))</x:f>
        <x:v>Moderate</x:v>
      </x:c>
      <x:c r="AQ694" s="37" t="n">
        <x:f>ROUND(MAX(0,MIN(100,(O694/4*100*0.25)+(P694/4*100*0.20)+(Q694/4*100*0.15)+(Y694/5*100*0.20)+(100-AO694)*0.20)),1)</x:f>
        <x:v>80.6</x:v>
      </x:c>
      <x:c r="AR694" s="37" t="n">
        <x:f>ROUND((AI694*0.20+AJ694*0.15+AN694*0.18+AG694*0.12+Z694*0.15+AQ694*0.20),1)</x:f>
        <x:v>89.1</x:v>
      </x:c>
      <x:c r="AS694" s="39" t="n">
        <x:f>ROUND((AC694*AF694*120)+(AH694*350)+(MAX(0,AI694-75)*220)+(MAX(0,AQ694-60)*100),0)</x:f>
        <x:v>46350</x:v>
      </x:c>
    </x:row>
    <x:row r="695">
      <x:c r="A695" s="35" t="n">
        <x:v>694</x:v>
      </x:c>
      <x:c r="B695" s="35" t="n">
        <x:v>28</x:v>
      </x:c>
      <x:c r="C695" s="35" t="str">
        <x:v>Male</x:v>
      </x:c>
      <x:c r="D695" s="35" t="str">
        <x:v>Information Technology</x:v>
      </x:c>
      <x:c r="E695" s="35" t="str">
        <x:v>IT Support</x:v>
      </x:c>
      <x:c r="F695" s="35" t="str">
        <x:v>Life Sciences</x:v>
      </x:c>
      <x:c r="G695" s="35" t="str">
        <x:v>Single</x:v>
      </x:c>
      <x:c r="H695" s="35" t="n">
        <x:v>1</x:v>
      </x:c>
      <x:c r="I695" s="36" t="n">
        <x:v>6190</x:v>
      </x:c>
      <x:c r="J695" s="35" t="n">
        <x:v>3</x:v>
      </x:c>
      <x:c r="K695" s="35" t="n">
        <x:v>2</x:v>
      </x:c>
      <x:c r="L695" s="35" t="n">
        <x:v>1</x:v>
      </x:c>
      <x:c r="M695" s="35" t="n">
        <x:v>16</x:v>
      </x:c>
      <x:c r="N695" s="35" t="str">
        <x:v>No</x:v>
      </x:c>
      <x:c r="O695" s="35" t="n">
        <x:v>3</x:v>
      </x:c>
      <x:c r="P695" s="35" t="n">
        <x:v>2</x:v>
      </x:c>
      <x:c r="Q695" s="35" t="n">
        <x:v>3</x:v>
      </x:c>
      <x:c r="R695" s="35" t="n">
        <x:v>3</x:v>
      </x:c>
      <x:c r="S695" s="35" t="n">
        <x:v>3</x:v>
      </x:c>
      <x:c r="T695" s="35" t="n">
        <x:v>2</x:v>
      </x:c>
      <x:c r="U695" s="35" t="n">
        <x:v>2</x:v>
      </x:c>
      <x:c r="V695" s="35" t="n">
        <x:v>6</x:v>
      </x:c>
      <x:c r="W695" s="35" t="n">
        <x:v>15</x:v>
      </x:c>
      <x:c r="X695" s="35" t="n">
        <x:v>70</x:v>
      </x:c>
      <x:c r="Y695" s="35" t="n">
        <x:v>5</x:v>
      </x:c>
      <x:c r="Z695" s="35" t="n">
        <x:v>92</x:v>
      </x:c>
      <x:c r="AA695" s="35" t="n">
        <x:v>4</x:v>
      </x:c>
      <x:c r="AB695" s="35" t="n">
        <x:v>2</x:v>
      </x:c>
      <x:c r="AC695" s="35" t="n">
        <x:v>1</x:v>
      </x:c>
      <x:c r="AD695" s="35" t="n">
        <x:v>64</x:v>
      </x:c>
      <x:c r="AE695" s="35" t="n">
        <x:v>65</x:v>
      </x:c>
      <x:c r="AF695" s="35" t="n">
        <x:v>64</x:v>
      </x:c>
      <x:c r="AG695" s="35" t="n">
        <x:v>100</x:v>
      </x:c>
      <x:c r="AH695" s="35" t="n">
        <x:v>4</x:v>
      </x:c>
      <x:c r="AI695" s="37" t="n">
        <x:v>100</x:v>
      </x:c>
      <x:c r="AJ695" s="37" t="n">
        <x:v>94.1</x:v>
      </x:c>
      <x:c r="AK695" s="35" t="str">
        <x:v>Yes</x:v>
      </x:c>
      <x:c r="AL695" s="38" t="n">
        <x:f>IF(AA695=0,0,AB695/AA695)</x:f>
        <x:v>0.5</x:v>
      </x:c>
      <x:c r="AM695" s="38" t="n">
        <x:f>IF(AB695=0,0,AC695/AB695)</x:f>
        <x:v>0.5</x:v>
      </x:c>
      <x:c r="AN695" s="37" t="n">
        <x:f>ROUND((AD695*0.20+AE695*0.20+AF695*0.25+AG695*0.15+MIN(100,AC695*12)*0.20),1)</x:f>
        <x:v>59.2</x:v>
      </x:c>
      <x:c r="AO695" s="37" t="n">
        <x:f>ROUND(MAX(0,MIN(100,(X695*0.35)+(W695/45*100*0.20)+((5-O695)/4*100*0.15)+((5-P695)/4*100*0.10)+((6-Y695)/5*100*0.10)+((100-Z695)*0.10))),1)</x:f>
        <x:v>49</x:v>
      </x:c>
      <x:c r="AP695" s="37" t="str">
        <x:f>IF(AO695&gt;=70,"High",IF(AO695&gt;=40,"Moderate","Low"))</x:f>
        <x:v>Moderate</x:v>
      </x:c>
      <x:c r="AQ695" s="37" t="n">
        <x:f>ROUND(MAX(0,MIN(100,(O695/4*100*0.25)+(P695/4*100*0.20)+(Q695/4*100*0.15)+(Y695/5*100*0.20)+(100-AO695)*0.20)),1)</x:f>
        <x:v>70.2</x:v>
      </x:c>
      <x:c r="AR695" s="37" t="n">
        <x:f>ROUND((AI695*0.20+AJ695*0.15+AN695*0.18+AG695*0.12+Z695*0.15+AQ695*0.20),1)</x:f>
        <x:v>84.6</x:v>
      </x:c>
      <x:c r="AS695" s="39" t="n">
        <x:f>ROUND((AC695*AF695*120)+(AH695*350)+(MAX(0,AI695-75)*220)+(MAX(0,AQ695-60)*100),0)</x:f>
        <x:v>15600</x:v>
      </x:c>
    </x:row>
    <x:row r="696">
      <x:c r="A696" s="35" t="n">
        <x:v>695</x:v>
      </x:c>
      <x:c r="B696" s="35" t="n">
        <x:v>25</x:v>
      </x:c>
      <x:c r="C696" s="35" t="str">
        <x:v>Male</x:v>
      </x:c>
      <x:c r="D696" s="35" t="str">
        <x:v>Research &amp; Development</x:v>
      </x:c>
      <x:c r="E696" s="35" t="str">
        <x:v>Laboratory Technician</x:v>
      </x:c>
      <x:c r="F696" s="35" t="str">
        <x:v>Marketing</x:v>
      </x:c>
      <x:c r="G696" s="35" t="str">
        <x:v>Divorced</x:v>
      </x:c>
      <x:c r="H696" s="35" t="n">
        <x:v>1</x:v>
      </x:c>
      <x:c r="I696" s="36" t="n">
        <x:v>6130</x:v>
      </x:c>
      <x:c r="J696" s="35" t="n">
        <x:v>4</x:v>
      </x:c>
      <x:c r="K696" s="35" t="n">
        <x:v>3</x:v>
      </x:c>
      <x:c r="L696" s="35" t="n">
        <x:v>2</x:v>
      </x:c>
      <x:c r="M696" s="35" t="n">
        <x:v>7</x:v>
      </x:c>
      <x:c r="N696" s="35" t="str">
        <x:v>Yes</x:v>
      </x:c>
      <x:c r="O696" s="35" t="n">
        <x:v>3</x:v>
      </x:c>
      <x:c r="P696" s="35" t="n">
        <x:v>2</x:v>
      </x:c>
      <x:c r="Q696" s="35" t="n">
        <x:v>3</x:v>
      </x:c>
      <x:c r="R696" s="35" t="n">
        <x:v>3</x:v>
      </x:c>
      <x:c r="S696" s="35" t="n">
        <x:v>3</x:v>
      </x:c>
      <x:c r="T696" s="35" t="n">
        <x:v>4</x:v>
      </x:c>
      <x:c r="U696" s="35" t="n">
        <x:v>2</x:v>
      </x:c>
      <x:c r="V696" s="35" t="n">
        <x:v>2</x:v>
      </x:c>
      <x:c r="W696" s="35" t="n">
        <x:v>23</x:v>
      </x:c>
      <x:c r="X696" s="35" t="n">
        <x:v>78</x:v>
      </x:c>
      <x:c r="Y696" s="35" t="n">
        <x:v>4</x:v>
      </x:c>
      <x:c r="Z696" s="35" t="n">
        <x:v>88</x:v>
      </x:c>
      <x:c r="AA696" s="35" t="n">
        <x:v>9</x:v>
      </x:c>
      <x:c r="AB696" s="35" t="n">
        <x:v>8</x:v>
      </x:c>
      <x:c r="AC696" s="35" t="n">
        <x:v>6</x:v>
      </x:c>
      <x:c r="AD696" s="35" t="n">
        <x:v>83</x:v>
      </x:c>
      <x:c r="AE696" s="35" t="n">
        <x:v>89</x:v>
      </x:c>
      <x:c r="AF696" s="35" t="n">
        <x:v>83</x:v>
      </x:c>
      <x:c r="AG696" s="35" t="n">
        <x:v>100</x:v>
      </x:c>
      <x:c r="AH696" s="35" t="n">
        <x:v>11</x:v>
      </x:c>
      <x:c r="AI696" s="37" t="n">
        <x:v>92.8</x:v>
      </x:c>
      <x:c r="AJ696" s="37" t="n">
        <x:v>95.7</x:v>
      </x:c>
      <x:c r="AK696" s="35" t="str">
        <x:v>No</x:v>
      </x:c>
      <x:c r="AL696" s="38" t="n">
        <x:f>IF(AA696=0,0,AB696/AA696)</x:f>
        <x:v>0.8888888888888888</x:v>
      </x:c>
      <x:c r="AM696" s="38" t="n">
        <x:f>IF(AB696=0,0,AC696/AB696)</x:f>
        <x:v>0.75</x:v>
      </x:c>
      <x:c r="AN696" s="37" t="n">
        <x:f>ROUND((AD696*0.20+AE696*0.20+AF696*0.25+AG696*0.15+MIN(100,AC696*12)*0.20),1)</x:f>
        <x:v>84.6</x:v>
      </x:c>
      <x:c r="AO696" s="37" t="n">
        <x:f>ROUND(MAX(0,MIN(100,(X696*0.35)+(W696/45*100*0.20)+((5-O696)/4*100*0.15)+((5-P696)/4*100*0.10)+((6-Y696)/5*100*0.10)+((100-Z696)*0.10))),1)</x:f>
        <x:v>57.7</x:v>
      </x:c>
      <x:c r="AP696" s="37" t="str">
        <x:f>IF(AO696&gt;=70,"High",IF(AO696&gt;=40,"Moderate","Low"))</x:f>
        <x:v>Moderate</x:v>
      </x:c>
      <x:c r="AQ696" s="37" t="n">
        <x:f>ROUND(MAX(0,MIN(100,(O696/4*100*0.25)+(P696/4*100*0.20)+(Q696/4*100*0.15)+(Y696/5*100*0.20)+(100-AO696)*0.20)),1)</x:f>
        <x:v>64.5</x:v>
      </x:c>
      <x:c r="AR696" s="37" t="n">
        <x:f>ROUND((AI696*0.20+AJ696*0.15+AN696*0.18+AG696*0.12+Z696*0.15+AQ696*0.20),1)</x:f>
        <x:v>86.2</x:v>
      </x:c>
      <x:c r="AS696" s="39" t="n">
        <x:f>ROUND((AC696*AF696*120)+(AH696*350)+(MAX(0,AI696-75)*220)+(MAX(0,AQ696-60)*100),0)</x:f>
        <x:v>67976</x:v>
      </x:c>
    </x:row>
    <x:row r="697">
      <x:c r="A697" s="35" t="n">
        <x:v>696</x:v>
      </x:c>
      <x:c r="B697" s="35" t="n">
        <x:v>21</x:v>
      </x:c>
      <x:c r="C697" s="35" t="str">
        <x:v>Female</x:v>
      </x:c>
      <x:c r="D697" s="35" t="str">
        <x:v>Sales</x:v>
      </x:c>
      <x:c r="E697" s="35" t="str">
        <x:v>Sales Executive</x:v>
      </x:c>
      <x:c r="F697" s="35" t="str">
        <x:v>Life Sciences</x:v>
      </x:c>
      <x:c r="G697" s="35" t="str">
        <x:v>Married</x:v>
      </x:c>
      <x:c r="H697" s="35" t="n">
        <x:v>1</x:v>
      </x:c>
      <x:c r="I697" s="36" t="n">
        <x:v>6310</x:v>
      </x:c>
      <x:c r="J697" s="35" t="n">
        <x:v>0</x:v>
      </x:c>
      <x:c r="K697" s="35" t="n">
        <x:v>0</x:v>
      </x:c>
      <x:c r="L697" s="35" t="n">
        <x:v>0</x:v>
      </x:c>
      <x:c r="M697" s="35" t="n">
        <x:v>9</x:v>
      </x:c>
      <x:c r="N697" s="35" t="str">
        <x:v>No</x:v>
      </x:c>
      <x:c r="O697" s="35" t="n">
        <x:v>2</x:v>
      </x:c>
      <x:c r="P697" s="35" t="n">
        <x:v>1</x:v>
      </x:c>
      <x:c r="Q697" s="35" t="n">
        <x:v>2</x:v>
      </x:c>
      <x:c r="R697" s="35" t="n">
        <x:v>2</x:v>
      </x:c>
      <x:c r="S697" s="35" t="n">
        <x:v>4</x:v>
      </x:c>
      <x:c r="T697" s="35" t="n">
        <x:v>5</x:v>
      </x:c>
      <x:c r="U697" s="35" t="n">
        <x:v>2</x:v>
      </x:c>
      <x:c r="V697" s="35" t="n">
        <x:v>8</x:v>
      </x:c>
      <x:c r="W697" s="35" t="n">
        <x:v>21</x:v>
      </x:c>
      <x:c r="X697" s="35" t="n">
        <x:v>68</x:v>
      </x:c>
      <x:c r="Y697" s="35" t="n">
        <x:v>3</x:v>
      </x:c>
      <x:c r="Z697" s="35" t="n">
        <x:v>87</x:v>
      </x:c>
      <x:c r="AA697" s="35" t="n">
        <x:v>5</x:v>
      </x:c>
      <x:c r="AB697" s="35" t="n">
        <x:v>4</x:v>
      </x:c>
      <x:c r="AC697" s="35" t="n">
        <x:v>3</x:v>
      </x:c>
      <x:c r="AD697" s="35" t="n">
        <x:v>66</x:v>
      </x:c>
      <x:c r="AE697" s="35" t="n">
        <x:v>72</x:v>
      </x:c>
      <x:c r="AF697" s="35" t="n">
        <x:v>83</x:v>
      </x:c>
      <x:c r="AG697" s="35" t="n">
        <x:v>78</x:v>
      </x:c>
      <x:c r="AH697" s="35" t="n">
        <x:v>11</x:v>
      </x:c>
      <x:c r="AI697" s="37" t="n">
        <x:v>100</x:v>
      </x:c>
      <x:c r="AJ697" s="37" t="n">
        <x:v>100</x:v>
      </x:c>
      <x:c r="AK697" s="35" t="str">
        <x:v>No</x:v>
      </x:c>
      <x:c r="AL697" s="38" t="n">
        <x:f>IF(AA697=0,0,AB697/AA697)</x:f>
        <x:v>0.8</x:v>
      </x:c>
      <x:c r="AM697" s="38" t="n">
        <x:f>IF(AB697=0,0,AC697/AB697)</x:f>
        <x:v>0.75</x:v>
      </x:c>
      <x:c r="AN697" s="37" t="n">
        <x:f>ROUND((AD697*0.20+AE697*0.20+AF697*0.25+AG697*0.15+MIN(100,AC697*12)*0.20),1)</x:f>
        <x:v>67.3</x:v>
      </x:c>
      <x:c r="AO697" s="37" t="n">
        <x:f>ROUND(MAX(0,MIN(100,(X697*0.35)+(W697/45*100*0.20)+((5-O697)/4*100*0.15)+((5-P697)/4*100*0.10)+((6-Y697)/5*100*0.10)+((100-Z697)*0.10))),1)</x:f>
        <x:v>61.7</x:v>
      </x:c>
      <x:c r="AP697" s="37" t="str">
        <x:f>IF(AO697&gt;=70,"High",IF(AO697&gt;=40,"Moderate","Low"))</x:f>
        <x:v>Moderate</x:v>
      </x:c>
      <x:c r="AQ697" s="37" t="n">
        <x:f>ROUND(MAX(0,MIN(100,(O697/4*100*0.25)+(P697/4*100*0.20)+(Q697/4*100*0.15)+(Y697/5*100*0.20)+(100-AO697)*0.20)),1)</x:f>
        <x:v>44.7</x:v>
      </x:c>
      <x:c r="AR697" s="37" t="n">
        <x:f>ROUND((AI697*0.20+AJ697*0.15+AN697*0.18+AG697*0.12+Z697*0.15+AQ697*0.20),1)</x:f>
        <x:v>78.5</x:v>
      </x:c>
      <x:c r="AS697" s="39" t="n">
        <x:f>ROUND((AC697*AF697*120)+(AH697*350)+(MAX(0,AI697-75)*220)+(MAX(0,AQ697-60)*100),0)</x:f>
        <x:v>39230</x:v>
      </x:c>
    </x:row>
    <x:row r="698">
      <x:c r="A698" s="35" t="n">
        <x:v>697</x:v>
      </x:c>
      <x:c r="B698" s="35" t="n">
        <x:v>29</x:v>
      </x:c>
      <x:c r="C698" s="35" t="str">
        <x:v>Female</x:v>
      </x:c>
      <x:c r="D698" s="35" t="str">
        <x:v>Research &amp; Development</x:v>
      </x:c>
      <x:c r="E698" s="35" t="str">
        <x:v>R&amp;D Manager</x:v>
      </x:c>
      <x:c r="F698" s="35" t="str">
        <x:v>Computer Science</x:v>
      </x:c>
      <x:c r="G698" s="35" t="str">
        <x:v>Single</x:v>
      </x:c>
      <x:c r="H698" s="35" t="n">
        <x:v>1</x:v>
      </x:c>
      <x:c r="I698" s="36" t="n">
        <x:v>6930</x:v>
      </x:c>
      <x:c r="J698" s="35" t="n">
        <x:v>5</x:v>
      </x:c>
      <x:c r="K698" s="35" t="n">
        <x:v>3</x:v>
      </x:c>
      <x:c r="L698" s="35" t="n">
        <x:v>1</x:v>
      </x:c>
      <x:c r="M698" s="35" t="n">
        <x:v>5</x:v>
      </x:c>
      <x:c r="N698" s="35" t="str">
        <x:v>No</x:v>
      </x:c>
      <x:c r="O698" s="35" t="n">
        <x:v>2</x:v>
      </x:c>
      <x:c r="P698" s="35" t="n">
        <x:v>3</x:v>
      </x:c>
      <x:c r="Q698" s="35" t="n">
        <x:v>2</x:v>
      </x:c>
      <x:c r="R698" s="35" t="n">
        <x:v>2</x:v>
      </x:c>
      <x:c r="S698" s="35" t="n">
        <x:v>4</x:v>
      </x:c>
      <x:c r="T698" s="35" t="n">
        <x:v>3</x:v>
      </x:c>
      <x:c r="U698" s="35" t="n">
        <x:v>2</x:v>
      </x:c>
      <x:c r="V698" s="35" t="n">
        <x:v>3</x:v>
      </x:c>
      <x:c r="W698" s="35" t="n">
        <x:v>6</x:v>
      </x:c>
      <x:c r="X698" s="35" t="n">
        <x:v>63</x:v>
      </x:c>
      <x:c r="Y698" s="35" t="n">
        <x:v>4</x:v>
      </x:c>
      <x:c r="Z698" s="35" t="n">
        <x:v>90</x:v>
      </x:c>
      <x:c r="AA698" s="35" t="n">
        <x:v>6</x:v>
      </x:c>
      <x:c r="AB698" s="35" t="n">
        <x:v>5</x:v>
      </x:c>
      <x:c r="AC698" s="35" t="n">
        <x:v>5</x:v>
      </x:c>
      <x:c r="AD698" s="35" t="n">
        <x:v>79</x:v>
      </x:c>
      <x:c r="AE698" s="35" t="n">
        <x:v>82</x:v>
      </x:c>
      <x:c r="AF698" s="35" t="n">
        <x:v>94</x:v>
      </x:c>
      <x:c r="AG698" s="35" t="n">
        <x:v>83</x:v>
      </x:c>
      <x:c r="AH698" s="35" t="n">
        <x:v>9</x:v>
      </x:c>
      <x:c r="AI698" s="37" t="n">
        <x:v>100</x:v>
      </x:c>
      <x:c r="AJ698" s="37" t="n">
        <x:v>100</x:v>
      </x:c>
      <x:c r="AK698" s="35" t="str">
        <x:v>No</x:v>
      </x:c>
      <x:c r="AL698" s="38" t="n">
        <x:f>IF(AA698=0,0,AB698/AA698)</x:f>
        <x:v>0.8333333333333334</x:v>
      </x:c>
      <x:c r="AM698" s="38" t="n">
        <x:f>IF(AB698=0,0,AC698/AB698)</x:f>
        <x:v>1</x:v>
      </x:c>
      <x:c r="AN698" s="37" t="n">
        <x:f>ROUND((AD698*0.20+AE698*0.20+AF698*0.25+AG698*0.15+MIN(100,AC698*12)*0.20),1)</x:f>
        <x:v>80.2</x:v>
      </x:c>
      <x:c r="AO698" s="37" t="n">
        <x:f>ROUND(MAX(0,MIN(100,(X698*0.35)+(W698/45*100*0.20)+((5-O698)/4*100*0.15)+((5-P698)/4*100*0.10)+((6-Y698)/5*100*0.10)+((100-Z698)*0.10))),1)</x:f>
        <x:v>46</x:v>
      </x:c>
      <x:c r="AP698" s="37" t="str">
        <x:f>IF(AO698&gt;=70,"High",IF(AO698&gt;=40,"Moderate","Low"))</x:f>
        <x:v>Moderate</x:v>
      </x:c>
      <x:c r="AQ698" s="37" t="n">
        <x:f>ROUND(MAX(0,MIN(100,(O698/4*100*0.25)+(P698/4*100*0.20)+(Q698/4*100*0.15)+(Y698/5*100*0.20)+(100-AO698)*0.20)),1)</x:f>
        <x:v>61.8</x:v>
      </x:c>
      <x:c r="AR698" s="37" t="n">
        <x:f>ROUND((AI698*0.20+AJ698*0.15+AN698*0.18+AG698*0.12+Z698*0.15+AQ698*0.20),1)</x:f>
        <x:v>85.3</x:v>
      </x:c>
      <x:c r="AS698" s="39" t="n">
        <x:f>ROUND((AC698*AF698*120)+(AH698*350)+(MAX(0,AI698-75)*220)+(MAX(0,AQ698-60)*100),0)</x:f>
        <x:v>65230</x:v>
      </x:c>
    </x:row>
    <x:row r="699">
      <x:c r="A699" s="35" t="n">
        <x:v>698</x:v>
      </x:c>
      <x:c r="B699" s="35" t="n">
        <x:v>29</x:v>
      </x:c>
      <x:c r="C699" s="35" t="str">
        <x:v>Male</x:v>
      </x:c>
      <x:c r="D699" s="35" t="str">
        <x:v>Marketing</x:v>
      </x:c>
      <x:c r="E699" s="35" t="str">
        <x:v>Digital Marketing Analyst</x:v>
      </x:c>
      <x:c r="F699" s="35" t="str">
        <x:v>Computer Science</x:v>
      </x:c>
      <x:c r="G699" s="35" t="str">
        <x:v>Divorced</x:v>
      </x:c>
      <x:c r="H699" s="35" t="n">
        <x:v>1</x:v>
      </x:c>
      <x:c r="I699" s="36" t="n">
        <x:v>7120</x:v>
      </x:c>
      <x:c r="J699" s="35" t="n">
        <x:v>6</x:v>
      </x:c>
      <x:c r="K699" s="35" t="n">
        <x:v>5</x:v>
      </x:c>
      <x:c r="L699" s="35" t="n">
        <x:v>2</x:v>
      </x:c>
      <x:c r="M699" s="35" t="n">
        <x:v>5</x:v>
      </x:c>
      <x:c r="N699" s="35" t="str">
        <x:v>No</x:v>
      </x:c>
      <x:c r="O699" s="35" t="n">
        <x:v>3</x:v>
      </x:c>
      <x:c r="P699" s="35" t="n">
        <x:v>3</x:v>
      </x:c>
      <x:c r="Q699" s="35" t="n">
        <x:v>3</x:v>
      </x:c>
      <x:c r="R699" s="35" t="n">
        <x:v>3</x:v>
      </x:c>
      <x:c r="S699" s="35" t="n">
        <x:v>3</x:v>
      </x:c>
      <x:c r="T699" s="35" t="n">
        <x:v>4</x:v>
      </x:c>
      <x:c r="U699" s="35" t="n">
        <x:v>0</x:v>
      </x:c>
      <x:c r="V699" s="35" t="n">
        <x:v>3</x:v>
      </x:c>
      <x:c r="W699" s="35" t="n">
        <x:v>7</x:v>
      </x:c>
      <x:c r="X699" s="35" t="n">
        <x:v>74</x:v>
      </x:c>
      <x:c r="Y699" s="35" t="n">
        <x:v>5</x:v>
      </x:c>
      <x:c r="Z699" s="35" t="n">
        <x:v>100</x:v>
      </x:c>
      <x:c r="AA699" s="35" t="n">
        <x:v>12</x:v>
      </x:c>
      <x:c r="AB699" s="35" t="n">
        <x:v>10</x:v>
      </x:c>
      <x:c r="AC699" s="35" t="n">
        <x:v>9</x:v>
      </x:c>
      <x:c r="AD699" s="35" t="n">
        <x:v>82</x:v>
      </x:c>
      <x:c r="AE699" s="35" t="n">
        <x:v>100</x:v>
      </x:c>
      <x:c r="AF699" s="35" t="n">
        <x:v>94</x:v>
      </x:c>
      <x:c r="AG699" s="35" t="n">
        <x:v>79</x:v>
      </x:c>
      <x:c r="AH699" s="35" t="n">
        <x:v>12</x:v>
      </x:c>
      <x:c r="AI699" s="37" t="n">
        <x:v>96.7</x:v>
      </x:c>
      <x:c r="AJ699" s="37" t="n">
        <x:v>88.8</x:v>
      </x:c>
      <x:c r="AK699" s="35" t="str">
        <x:v>No</x:v>
      </x:c>
      <x:c r="AL699" s="38" t="n">
        <x:f>IF(AA699=0,0,AB699/AA699)</x:f>
        <x:v>0.8333333333333334</x:v>
      </x:c>
      <x:c r="AM699" s="38" t="n">
        <x:f>IF(AB699=0,0,AC699/AB699)</x:f>
        <x:v>0.9</x:v>
      </x:c>
      <x:c r="AN699" s="37" t="n">
        <x:f>ROUND((AD699*0.20+AE699*0.20+AF699*0.25+AG699*0.15+MIN(100,AC699*12)*0.20),1)</x:f>
        <x:v>91.8</x:v>
      </x:c>
      <x:c r="AO699" s="37" t="n">
        <x:f>ROUND(MAX(0,MIN(100,(X699*0.35)+(W699/45*100*0.20)+((5-O699)/4*100*0.15)+((5-P699)/4*100*0.10)+((6-Y699)/5*100*0.10)+((100-Z699)*0.10))),1)</x:f>
        <x:v>43.5</x:v>
      </x:c>
      <x:c r="AP699" s="37" t="str">
        <x:f>IF(AO699&gt;=70,"High",IF(AO699&gt;=40,"Moderate","Low"))</x:f>
        <x:v>Moderate</x:v>
      </x:c>
      <x:c r="AQ699" s="37" t="n">
        <x:f>ROUND(MAX(0,MIN(100,(O699/4*100*0.25)+(P699/4*100*0.20)+(Q699/4*100*0.15)+(Y699/5*100*0.20)+(100-AO699)*0.20)),1)</x:f>
        <x:v>76.3</x:v>
      </x:c>
      <x:c r="AR699" s="37" t="n">
        <x:f>ROUND((AI699*0.20+AJ699*0.15+AN699*0.18+AG699*0.12+Z699*0.15+AQ699*0.20),1)</x:f>
        <x:v>88.9</x:v>
      </x:c>
      <x:c r="AS699" s="39" t="n">
        <x:f>ROUND((AC699*AF699*120)+(AH699*350)+(MAX(0,AI699-75)*220)+(MAX(0,AQ699-60)*100),0)</x:f>
        <x:v>112124</x:v>
      </x:c>
    </x:row>
    <x:row r="700">
      <x:c r="A700" s="35" t="n">
        <x:v>699</x:v>
      </x:c>
      <x:c r="B700" s="35" t="n">
        <x:v>27</x:v>
      </x:c>
      <x:c r="C700" s="35" t="str">
        <x:v>Male</x:v>
      </x:c>
      <x:c r="D700" s="35" t="str">
        <x:v>Human Resources</x:v>
      </x:c>
      <x:c r="E700" s="35" t="str">
        <x:v>Talent Development Specialist</x:v>
      </x:c>
      <x:c r="F700" s="35" t="str">
        <x:v>Computer Science</x:v>
      </x:c>
      <x:c r="G700" s="35" t="str">
        <x:v>Single</x:v>
      </x:c>
      <x:c r="H700" s="35" t="n">
        <x:v>1</x:v>
      </x:c>
      <x:c r="I700" s="36" t="n">
        <x:v>4000</x:v>
      </x:c>
      <x:c r="J700" s="35" t="n">
        <x:v>3</x:v>
      </x:c>
      <x:c r="K700" s="35" t="n">
        <x:v>1</x:v>
      </x:c>
      <x:c r="L700" s="35" t="n">
        <x:v>1</x:v>
      </x:c>
      <x:c r="M700" s="35" t="n">
        <x:v>2</x:v>
      </x:c>
      <x:c r="N700" s="35" t="str">
        <x:v>No</x:v>
      </x:c>
      <x:c r="O700" s="35" t="n">
        <x:v>3</x:v>
      </x:c>
      <x:c r="P700" s="35" t="n">
        <x:v>2</x:v>
      </x:c>
      <x:c r="Q700" s="35" t="n">
        <x:v>3</x:v>
      </x:c>
      <x:c r="R700" s="35" t="n">
        <x:v>2</x:v>
      </x:c>
      <x:c r="S700" s="35" t="n">
        <x:v>3</x:v>
      </x:c>
      <x:c r="T700" s="35" t="n">
        <x:v>4</x:v>
      </x:c>
      <x:c r="U700" s="35" t="n">
        <x:v>0</x:v>
      </x:c>
      <x:c r="V700" s="35" t="n">
        <x:v>0</x:v>
      </x:c>
      <x:c r="W700" s="35" t="n">
        <x:v>6</x:v>
      </x:c>
      <x:c r="X700" s="35" t="n">
        <x:v>54</x:v>
      </x:c>
      <x:c r="Y700" s="35" t="n">
        <x:v>5</x:v>
      </x:c>
      <x:c r="Z700" s="35" t="n">
        <x:v>97</x:v>
      </x:c>
      <x:c r="AA700" s="35" t="n">
        <x:v>3</x:v>
      </x:c>
      <x:c r="AB700" s="35" t="n">
        <x:v>3</x:v>
      </x:c>
      <x:c r="AC700" s="35" t="n">
        <x:v>2</x:v>
      </x:c>
      <x:c r="AD700" s="35" t="n">
        <x:v>65</x:v>
      </x:c>
      <x:c r="AE700" s="35" t="n">
        <x:v>78</x:v>
      </x:c>
      <x:c r="AF700" s="35" t="n">
        <x:v>50</x:v>
      </x:c>
      <x:c r="AG700" s="35" t="n">
        <x:v>100</x:v>
      </x:c>
      <x:c r="AH700" s="35" t="n">
        <x:v>5</x:v>
      </x:c>
      <x:c r="AI700" s="37" t="n">
        <x:v>92.2</x:v>
      </x:c>
      <x:c r="AJ700" s="37" t="n">
        <x:v>96.7</x:v>
      </x:c>
      <x:c r="AK700" s="35" t="str">
        <x:v>No</x:v>
      </x:c>
      <x:c r="AL700" s="38" t="n">
        <x:f>IF(AA700=0,0,AB700/AA700)</x:f>
        <x:v>1</x:v>
      </x:c>
      <x:c r="AM700" s="38" t="n">
        <x:f>IF(AB700=0,0,AC700/AB700)</x:f>
        <x:v>0.6666666666666666</x:v>
      </x:c>
      <x:c r="AN700" s="37" t="n">
        <x:f>ROUND((AD700*0.20+AE700*0.20+AF700*0.25+AG700*0.15+MIN(100,AC700*12)*0.20),1)</x:f>
        <x:v>60.9</x:v>
      </x:c>
      <x:c r="AO700" s="37" t="n">
        <x:f>ROUND(MAX(0,MIN(100,(X700*0.35)+(W700/45*100*0.20)+((5-O700)/4*100*0.15)+((5-P700)/4*100*0.10)+((6-Y700)/5*100*0.10)+((100-Z700)*0.10))),1)</x:f>
        <x:v>38.9</x:v>
      </x:c>
      <x:c r="AP700" s="37" t="str">
        <x:f>IF(AO700&gt;=70,"High",IF(AO700&gt;=40,"Moderate","Low"))</x:f>
        <x:v>Low</x:v>
      </x:c>
      <x:c r="AQ700" s="37" t="n">
        <x:f>ROUND(MAX(0,MIN(100,(O700/4*100*0.25)+(P700/4*100*0.20)+(Q700/4*100*0.15)+(Y700/5*100*0.20)+(100-AO700)*0.20)),1)</x:f>
        <x:v>72.2</x:v>
      </x:c>
      <x:c r="AR700" s="37" t="n">
        <x:f>ROUND((AI700*0.20+AJ700*0.15+AN700*0.18+AG700*0.12+Z700*0.15+AQ700*0.20),1)</x:f>
        <x:v>84.9</x:v>
      </x:c>
      <x:c r="AS700" s="39" t="n">
        <x:f>ROUND((AC700*AF700*120)+(AH700*350)+(MAX(0,AI700-75)*220)+(MAX(0,AQ700-60)*100),0)</x:f>
        <x:v>18754</x:v>
      </x:c>
    </x:row>
    <x:row r="701">
      <x:c r="A701" s="35" t="n">
        <x:v>700</x:v>
      </x:c>
      <x:c r="B701" s="35" t="n">
        <x:v>39</x:v>
      </x:c>
      <x:c r="C701" s="35" t="str">
        <x:v>Male</x:v>
      </x:c>
      <x:c r="D701" s="35" t="str">
        <x:v>Sales</x:v>
      </x:c>
      <x:c r="E701" s="35" t="str">
        <x:v>Account Manager</x:v>
      </x:c>
      <x:c r="F701" s="35" t="str">
        <x:v>Technical Degree</x:v>
      </x:c>
      <x:c r="G701" s="35" t="str">
        <x:v>Divorced</x:v>
      </x:c>
      <x:c r="H701" s="35" t="n">
        <x:v>2</x:v>
      </x:c>
      <x:c r="I701" s="36" t="n">
        <x:v>9430</x:v>
      </x:c>
      <x:c r="J701" s="35" t="n">
        <x:v>13</x:v>
      </x:c>
      <x:c r="K701" s="35" t="n">
        <x:v>7</x:v>
      </x:c>
      <x:c r="L701" s="35" t="n">
        <x:v>5</x:v>
      </x:c>
      <x:c r="M701" s="35" t="n">
        <x:v>7</x:v>
      </x:c>
      <x:c r="N701" s="35" t="str">
        <x:v>No</x:v>
      </x:c>
      <x:c r="O701" s="35" t="n">
        <x:v>3</x:v>
      </x:c>
      <x:c r="P701" s="35" t="n">
        <x:v>1</x:v>
      </x:c>
      <x:c r="Q701" s="35" t="n">
        <x:v>4</x:v>
      </x:c>
      <x:c r="R701" s="35" t="n">
        <x:v>3</x:v>
      </x:c>
      <x:c r="S701" s="35" t="n">
        <x:v>3</x:v>
      </x:c>
      <x:c r="T701" s="35" t="n">
        <x:v>2</x:v>
      </x:c>
      <x:c r="U701" s="35" t="n">
        <x:v>0</x:v>
      </x:c>
      <x:c r="V701" s="35" t="n">
        <x:v>11</x:v>
      </x:c>
      <x:c r="W701" s="35" t="n">
        <x:v>1</x:v>
      </x:c>
      <x:c r="X701" s="35" t="n">
        <x:v>68</x:v>
      </x:c>
      <x:c r="Y701" s="35" t="n">
        <x:v>4</x:v>
      </x:c>
      <x:c r="Z701" s="35" t="n">
        <x:v>84</x:v>
      </x:c>
      <x:c r="AA701" s="35" t="n">
        <x:v>3</x:v>
      </x:c>
      <x:c r="AB701" s="35" t="n">
        <x:v>2</x:v>
      </x:c>
      <x:c r="AC701" s="35" t="n">
        <x:v>2</x:v>
      </x:c>
      <x:c r="AD701" s="35" t="n">
        <x:v>57</x:v>
      </x:c>
      <x:c r="AE701" s="35" t="n">
        <x:v>67</x:v>
      </x:c>
      <x:c r="AF701" s="35" t="n">
        <x:v>76</x:v>
      </x:c>
      <x:c r="AG701" s="35" t="n">
        <x:v>85</x:v>
      </x:c>
      <x:c r="AH701" s="35" t="n">
        <x:v>6</x:v>
      </x:c>
      <x:c r="AI701" s="37" t="n">
        <x:v>88.7</x:v>
      </x:c>
      <x:c r="AJ701" s="37" t="n">
        <x:v>87.7</x:v>
      </x:c>
      <x:c r="AK701" s="35" t="str">
        <x:v>Yes</x:v>
      </x:c>
      <x:c r="AL701" s="38" t="n">
        <x:f>IF(AA701=0,0,AB701/AA701)</x:f>
        <x:v>0.6666666666666666</x:v>
      </x:c>
      <x:c r="AM701" s="38" t="n">
        <x:f>IF(AB701=0,0,AC701/AB701)</x:f>
        <x:v>1</x:v>
      </x:c>
      <x:c r="AN701" s="37" t="n">
        <x:f>ROUND((AD701*0.20+AE701*0.20+AF701*0.25+AG701*0.15+MIN(100,AC701*12)*0.20),1)</x:f>
        <x:v>61.4</x:v>
      </x:c>
      <x:c r="AO701" s="37" t="n">
        <x:f>ROUND(MAX(0,MIN(100,(X701*0.35)+(W701/45*100*0.20)+((5-O701)/4*100*0.15)+((5-P701)/4*100*0.10)+((6-Y701)/5*100*0.10)+((100-Z701)*0.10))),1)</x:f>
        <x:v>47.3</x:v>
      </x:c>
      <x:c r="AP701" s="37" t="str">
        <x:f>IF(AO701&gt;=70,"High",IF(AO701&gt;=40,"Moderate","Low"))</x:f>
        <x:v>Moderate</x:v>
      </x:c>
      <x:c r="AQ701" s="37" t="n">
        <x:f>ROUND(MAX(0,MIN(100,(O701/4*100*0.25)+(P701/4*100*0.20)+(Q701/4*100*0.15)+(Y701/5*100*0.20)+(100-AO701)*0.20)),1)</x:f>
        <x:v>65.3</x:v>
      </x:c>
      <x:c r="AR701" s="37" t="n">
        <x:f>ROUND((AI701*0.20+AJ701*0.15+AN701*0.18+AG701*0.12+Z701*0.15+AQ701*0.20),1)</x:f>
        <x:v>77.8</x:v>
      </x:c>
      <x:c r="AS701" s="39" t="n">
        <x:f>ROUND((AC701*AF701*120)+(AH701*350)+(MAX(0,AI701-75)*220)+(MAX(0,AQ701-60)*100),0)</x:f>
        <x:v>23884</x:v>
      </x:c>
    </x:row>
    <x:row r="702">
      <x:c r="A702" s="35" t="n">
        <x:v>701</x:v>
      </x:c>
      <x:c r="B702" s="35" t="n">
        <x:v>41</x:v>
      </x:c>
      <x:c r="C702" s="35" t="str">
        <x:v>Male</x:v>
      </x:c>
      <x:c r="D702" s="35" t="str">
        <x:v>Research &amp; Development</x:v>
      </x:c>
      <x:c r="E702" s="35" t="str">
        <x:v>Laboratory Technician</x:v>
      </x:c>
      <x:c r="F702" s="35" t="str">
        <x:v>Marketing</x:v>
      </x:c>
      <x:c r="G702" s="35" t="str">
        <x:v>Married</x:v>
      </x:c>
      <x:c r="H702" s="35" t="n">
        <x:v>3</x:v>
      </x:c>
      <x:c r="I702" s="36" t="n">
        <x:v>9900</x:v>
      </x:c>
      <x:c r="J702" s="35" t="n">
        <x:v>17</x:v>
      </x:c>
      <x:c r="K702" s="35" t="n">
        <x:v>12</x:v>
      </x:c>
      <x:c r="L702" s="35" t="n">
        <x:v>4</x:v>
      </x:c>
      <x:c r="M702" s="35" t="n">
        <x:v>7</x:v>
      </x:c>
      <x:c r="N702" s="35" t="str">
        <x:v>No</x:v>
      </x:c>
      <x:c r="O702" s="35" t="n">
        <x:v>4</x:v>
      </x:c>
      <x:c r="P702" s="35" t="n">
        <x:v>3</x:v>
      </x:c>
      <x:c r="Q702" s="35" t="n">
        <x:v>2</x:v>
      </x:c>
      <x:c r="R702" s="35" t="n">
        <x:v>3</x:v>
      </x:c>
      <x:c r="S702" s="35" t="n">
        <x:v>3</x:v>
      </x:c>
      <x:c r="T702" s="35" t="n">
        <x:v>3</x:v>
      </x:c>
      <x:c r="U702" s="35" t="n">
        <x:v>0</x:v>
      </x:c>
      <x:c r="V702" s="35" t="n">
        <x:v>6</x:v>
      </x:c>
      <x:c r="W702" s="35" t="n">
        <x:v>0</x:v>
      </x:c>
      <x:c r="X702" s="35" t="n">
        <x:v>70</x:v>
      </x:c>
      <x:c r="Y702" s="35" t="n">
        <x:v>5</x:v>
      </x:c>
      <x:c r="Z702" s="35" t="n">
        <x:v>100</x:v>
      </x:c>
      <x:c r="AA702" s="35" t="n">
        <x:v>7</x:v>
      </x:c>
      <x:c r="AB702" s="35" t="n">
        <x:v>2</x:v>
      </x:c>
      <x:c r="AC702" s="35" t="n">
        <x:v>2</x:v>
      </x:c>
      <x:c r="AD702" s="35" t="n">
        <x:v>73</x:v>
      </x:c>
      <x:c r="AE702" s="35" t="n">
        <x:v>62</x:v>
      </x:c>
      <x:c r="AF702" s="35" t="n">
        <x:v>82</x:v>
      </x:c>
      <x:c r="AG702" s="35" t="n">
        <x:v>87</x:v>
      </x:c>
      <x:c r="AH702" s="35" t="n">
        <x:v>6</x:v>
      </x:c>
      <x:c r="AI702" s="37" t="n">
        <x:v>100</x:v>
      </x:c>
      <x:c r="AJ702" s="37" t="n">
        <x:v>96.3</x:v>
      </x:c>
      <x:c r="AK702" s="35" t="str">
        <x:v>No</x:v>
      </x:c>
      <x:c r="AL702" s="38" t="n">
        <x:f>IF(AA702=0,0,AB702/AA702)</x:f>
        <x:v>0.2857142857142857</x:v>
      </x:c>
      <x:c r="AM702" s="38" t="n">
        <x:f>IF(AB702=0,0,AC702/AB702)</x:f>
        <x:v>1</x:v>
      </x:c>
      <x:c r="AN702" s="37" t="n">
        <x:f>ROUND((AD702*0.20+AE702*0.20+AF702*0.25+AG702*0.15+MIN(100,AC702*12)*0.20),1)</x:f>
        <x:v>65.4</x:v>
      </x:c>
      <x:c r="AO702" s="37" t="n">
        <x:f>ROUND(MAX(0,MIN(100,(X702*0.35)+(W702/45*100*0.20)+((5-O702)/4*100*0.15)+((5-P702)/4*100*0.10)+((6-Y702)/5*100*0.10)+((100-Z702)*0.10))),1)</x:f>
        <x:v>35.3</x:v>
      </x:c>
      <x:c r="AP702" s="37" t="str">
        <x:f>IF(AO702&gt;=70,"High",IF(AO702&gt;=40,"Moderate","Low"))</x:f>
        <x:v>Low</x:v>
      </x:c>
      <x:c r="AQ702" s="37" t="n">
        <x:f>ROUND(MAX(0,MIN(100,(O702/4*100*0.25)+(P702/4*100*0.20)+(Q702/4*100*0.15)+(Y702/5*100*0.20)+(100-AO702)*0.20)),1)</x:f>
        <x:v>80.4</x:v>
      </x:c>
      <x:c r="AR702" s="37" t="n">
        <x:f>ROUND((AI702*0.20+AJ702*0.15+AN702*0.18+AG702*0.12+Z702*0.15+AQ702*0.20),1)</x:f>
        <x:v>87.7</x:v>
      </x:c>
      <x:c r="AS702" s="39" t="n">
        <x:f>ROUND((AC702*AF702*120)+(AH702*350)+(MAX(0,AI702-75)*220)+(MAX(0,AQ702-60)*100),0)</x:f>
        <x:v>29320</x:v>
      </x:c>
    </x:row>
    <x:row r="703">
      <x:c r="A703" s="35" t="n">
        <x:v>702</x:v>
      </x:c>
      <x:c r="B703" s="35" t="n">
        <x:v>29</x:v>
      </x:c>
      <x:c r="C703" s="35" t="str">
        <x:v>Male</x:v>
      </x:c>
      <x:c r="D703" s="35" t="str">
        <x:v>Research &amp; Development</x:v>
      </x:c>
      <x:c r="E703" s="35" t="str">
        <x:v>Research Scientist</x:v>
      </x:c>
      <x:c r="F703" s="35" t="str">
        <x:v>Technical Degree</x:v>
      </x:c>
      <x:c r="G703" s="35" t="str">
        <x:v>Single</x:v>
      </x:c>
      <x:c r="H703" s="35" t="n">
        <x:v>2</x:v>
      </x:c>
      <x:c r="I703" s="36" t="n">
        <x:v>9620</x:v>
      </x:c>
      <x:c r="J703" s="35" t="n">
        <x:v>4</x:v>
      </x:c>
      <x:c r="K703" s="35" t="n">
        <x:v>1</x:v>
      </x:c>
      <x:c r="L703" s="35" t="n">
        <x:v>1</x:v>
      </x:c>
      <x:c r="M703" s="35" t="n">
        <x:v>4</x:v>
      </x:c>
      <x:c r="N703" s="35" t="str">
        <x:v>No</x:v>
      </x:c>
      <x:c r="O703" s="35" t="n">
        <x:v>2</x:v>
      </x:c>
      <x:c r="P703" s="35" t="n">
        <x:v>2</x:v>
      </x:c>
      <x:c r="Q703" s="35" t="n">
        <x:v>3</x:v>
      </x:c>
      <x:c r="R703" s="35" t="n">
        <x:v>4</x:v>
      </x:c>
      <x:c r="S703" s="35" t="n">
        <x:v>4</x:v>
      </x:c>
      <x:c r="T703" s="35" t="n">
        <x:v>2</x:v>
      </x:c>
      <x:c r="U703" s="35" t="n">
        <x:v>1</x:v>
      </x:c>
      <x:c r="V703" s="35" t="n">
        <x:v>6</x:v>
      </x:c>
      <x:c r="W703" s="35" t="n">
        <x:v>13</x:v>
      </x:c>
      <x:c r="X703" s="35" t="n">
        <x:v>80</x:v>
      </x:c>
      <x:c r="Y703" s="35" t="n">
        <x:v>4</x:v>
      </x:c>
      <x:c r="Z703" s="35" t="n">
        <x:v>100</x:v>
      </x:c>
      <x:c r="AA703" s="35" t="n">
        <x:v>4</x:v>
      </x:c>
      <x:c r="AB703" s="35" t="n">
        <x:v>3</x:v>
      </x:c>
      <x:c r="AC703" s="35" t="n">
        <x:v>3</x:v>
      </x:c>
      <x:c r="AD703" s="35" t="n">
        <x:v>83</x:v>
      </x:c>
      <x:c r="AE703" s="35" t="n">
        <x:v>97</x:v>
      </x:c>
      <x:c r="AF703" s="35" t="n">
        <x:v>72</x:v>
      </x:c>
      <x:c r="AG703" s="35" t="n">
        <x:v>100</x:v>
      </x:c>
      <x:c r="AH703" s="35" t="n">
        <x:v>6</x:v>
      </x:c>
      <x:c r="AI703" s="37" t="n">
        <x:v>100</x:v>
      </x:c>
      <x:c r="AJ703" s="37" t="n">
        <x:v>95.9</x:v>
      </x:c>
      <x:c r="AK703" s="35" t="str">
        <x:v>Yes</x:v>
      </x:c>
      <x:c r="AL703" s="38" t="n">
        <x:f>IF(AA703=0,0,AB703/AA703)</x:f>
        <x:v>0.75</x:v>
      </x:c>
      <x:c r="AM703" s="38" t="n">
        <x:f>IF(AB703=0,0,AC703/AB703)</x:f>
        <x:v>1</x:v>
      </x:c>
      <x:c r="AN703" s="37" t="n">
        <x:f>ROUND((AD703*0.20+AE703*0.20+AF703*0.25+AG703*0.15+MIN(100,AC703*12)*0.20),1)</x:f>
        <x:v>76.2</x:v>
      </x:c>
      <x:c r="AO703" s="37" t="n">
        <x:f>ROUND(MAX(0,MIN(100,(X703*0.35)+(W703/45*100*0.20)+((5-O703)/4*100*0.15)+((5-P703)/4*100*0.10)+((6-Y703)/5*100*0.10)+((100-Z703)*0.10))),1)</x:f>
        <x:v>56.5</x:v>
      </x:c>
      <x:c r="AP703" s="37" t="str">
        <x:f>IF(AO703&gt;=70,"High",IF(AO703&gt;=40,"Moderate","Low"))</x:f>
        <x:v>Moderate</x:v>
      </x:c>
      <x:c r="AQ703" s="37" t="n">
        <x:f>ROUND(MAX(0,MIN(100,(O703/4*100*0.25)+(P703/4*100*0.20)+(Q703/4*100*0.15)+(Y703/5*100*0.20)+(100-AO703)*0.20)),1)</x:f>
        <x:v>58.5</x:v>
      </x:c>
      <x:c r="AR703" s="37" t="n">
        <x:f>ROUND((AI703*0.20+AJ703*0.15+AN703*0.18+AG703*0.12+Z703*0.15+AQ703*0.20),1)</x:f>
        <x:v>86.8</x:v>
      </x:c>
      <x:c r="AS703" s="39" t="n">
        <x:f>ROUND((AC703*AF703*120)+(AH703*350)+(MAX(0,AI703-75)*220)+(MAX(0,AQ703-60)*100),0)</x:f>
        <x:v>33520</x:v>
      </x:c>
    </x:row>
    <x:row r="704">
      <x:c r="A704" s="35" t="n">
        <x:v>703</x:v>
      </x:c>
      <x:c r="B704" s="35" t="n">
        <x:v>42</x:v>
      </x:c>
      <x:c r="C704" s="35" t="str">
        <x:v>Male</x:v>
      </x:c>
      <x:c r="D704" s="35" t="str">
        <x:v>Finance</x:v>
      </x:c>
      <x:c r="E704" s="35" t="str">
        <x:v>Accountant</x:v>
      </x:c>
      <x:c r="F704" s="35" t="str">
        <x:v>Human Resources</x:v>
      </x:c>
      <x:c r="G704" s="35" t="str">
        <x:v>Married</x:v>
      </x:c>
      <x:c r="H704" s="35" t="n">
        <x:v>4</x:v>
      </x:c>
      <x:c r="I704" s="36" t="n">
        <x:v>17760</x:v>
      </x:c>
      <x:c r="J704" s="35" t="n">
        <x:v>19</x:v>
      </x:c>
      <x:c r="K704" s="35" t="n">
        <x:v>6</x:v>
      </x:c>
      <x:c r="L704" s="35" t="n">
        <x:v>5</x:v>
      </x:c>
      <x:c r="M704" s="35" t="n">
        <x:v>21</x:v>
      </x:c>
      <x:c r="N704" s="35" t="str">
        <x:v>No</x:v>
      </x:c>
      <x:c r="O704" s="35" t="n">
        <x:v>3</x:v>
      </x:c>
      <x:c r="P704" s="35" t="n">
        <x:v>3</x:v>
      </x:c>
      <x:c r="Q704" s="35" t="n">
        <x:v>3</x:v>
      </x:c>
      <x:c r="R704" s="35" t="n">
        <x:v>3</x:v>
      </x:c>
      <x:c r="S704" s="35" t="n">
        <x:v>4</x:v>
      </x:c>
      <x:c r="T704" s="35" t="n">
        <x:v>4</x:v>
      </x:c>
      <x:c r="U704" s="35" t="n">
        <x:v>1</x:v>
      </x:c>
      <x:c r="V704" s="35" t="n">
        <x:v>5</x:v>
      </x:c>
      <x:c r="W704" s="35" t="n">
        <x:v>9</x:v>
      </x:c>
      <x:c r="X704" s="35" t="n">
        <x:v>57</x:v>
      </x:c>
      <x:c r="Y704" s="35" t="n">
        <x:v>5</x:v>
      </x:c>
      <x:c r="Z704" s="35" t="n">
        <x:v>100</x:v>
      </x:c>
      <x:c r="AA704" s="35" t="n">
        <x:v>2</x:v>
      </x:c>
      <x:c r="AB704" s="35" t="n">
        <x:v>1</x:v>
      </x:c>
      <x:c r="AC704" s="35" t="n">
        <x:v>1</x:v>
      </x:c>
      <x:c r="AD704" s="35" t="n">
        <x:v>50</x:v>
      </x:c>
      <x:c r="AE704" s="35" t="n">
        <x:v>80</x:v>
      </x:c>
      <x:c r="AF704" s="35" t="n">
        <x:v>81</x:v>
      </x:c>
      <x:c r="AG704" s="35" t="n">
        <x:v>80</x:v>
      </x:c>
      <x:c r="AH704" s="35" t="n">
        <x:v>8</x:v>
      </x:c>
      <x:c r="AI704" s="37" t="n">
        <x:v>92.3</x:v>
      </x:c>
      <x:c r="AJ704" s="37" t="n">
        <x:v>91.3</x:v>
      </x:c>
      <x:c r="AK704" s="35" t="str">
        <x:v>No</x:v>
      </x:c>
      <x:c r="AL704" s="38" t="n">
        <x:f>IF(AA704=0,0,AB704/AA704)</x:f>
        <x:v>0.5</x:v>
      </x:c>
      <x:c r="AM704" s="38" t="n">
        <x:f>IF(AB704=0,0,AC704/AB704)</x:f>
        <x:v>1</x:v>
      </x:c>
      <x:c r="AN704" s="37" t="n">
        <x:f>ROUND((AD704*0.20+AE704*0.20+AF704*0.25+AG704*0.15+MIN(100,AC704*12)*0.20),1)</x:f>
        <x:v>60.7</x:v>
      </x:c>
      <x:c r="AO704" s="37" t="n">
        <x:f>ROUND(MAX(0,MIN(100,(X704*0.35)+(W704/45*100*0.20)+((5-O704)/4*100*0.15)+((5-P704)/4*100*0.10)+((6-Y704)/5*100*0.10)+((100-Z704)*0.10))),1)</x:f>
        <x:v>38.5</x:v>
      </x:c>
      <x:c r="AP704" s="37" t="str">
        <x:f>IF(AO704&gt;=70,"High",IF(AO704&gt;=40,"Moderate","Low"))</x:f>
        <x:v>Low</x:v>
      </x:c>
      <x:c r="AQ704" s="37" t="n">
        <x:f>ROUND(MAX(0,MIN(100,(O704/4*100*0.25)+(P704/4*100*0.20)+(Q704/4*100*0.15)+(Y704/5*100*0.20)+(100-AO704)*0.20)),1)</x:f>
        <x:v>77.3</x:v>
      </x:c>
      <x:c r="AR704" s="37" t="n">
        <x:f>ROUND((AI704*0.20+AJ704*0.15+AN704*0.18+AG704*0.12+Z704*0.15+AQ704*0.20),1)</x:f>
        <x:v>83.1</x:v>
      </x:c>
      <x:c r="AS704" s="39" t="n">
        <x:f>ROUND((AC704*AF704*120)+(AH704*350)+(MAX(0,AI704-75)*220)+(MAX(0,AQ704-60)*100),0)</x:f>
        <x:v>18056</x:v>
      </x:c>
    </x:row>
    <x:row r="705">
      <x:c r="A705" s="35" t="n">
        <x:v>704</x:v>
      </x:c>
      <x:c r="B705" s="35" t="n">
        <x:v>48</x:v>
      </x:c>
      <x:c r="C705" s="35" t="str">
        <x:v>Male</x:v>
      </x:c>
      <x:c r="D705" s="35" t="str">
        <x:v>Research &amp; Development</x:v>
      </x:c>
      <x:c r="E705" s="35" t="str">
        <x:v>Research Scientist</x:v>
      </x:c>
      <x:c r="F705" s="35" t="str">
        <x:v>Computer Science</x:v>
      </x:c>
      <x:c r="G705" s="35" t="str">
        <x:v>Married</x:v>
      </x:c>
      <x:c r="H705" s="35" t="n">
        <x:v>3</x:v>
      </x:c>
      <x:c r="I705" s="36" t="n">
        <x:v>8940</x:v>
      </x:c>
      <x:c r="J705" s="35" t="n">
        <x:v>15</x:v>
      </x:c>
      <x:c r="K705" s="35" t="n">
        <x:v>9</x:v>
      </x:c>
      <x:c r="L705" s="35" t="n">
        <x:v>2</x:v>
      </x:c>
      <x:c r="M705" s="35" t="n">
        <x:v>9</x:v>
      </x:c>
      <x:c r="N705" s="35" t="str">
        <x:v>Yes</x:v>
      </x:c>
      <x:c r="O705" s="35" t="n">
        <x:v>2</x:v>
      </x:c>
      <x:c r="P705" s="35" t="n">
        <x:v>3</x:v>
      </x:c>
      <x:c r="Q705" s="35" t="n">
        <x:v>4</x:v>
      </x:c>
      <x:c r="R705" s="35" t="n">
        <x:v>3</x:v>
      </x:c>
      <x:c r="S705" s="35" t="n">
        <x:v>3</x:v>
      </x:c>
      <x:c r="T705" s="35" t="n">
        <x:v>6</x:v>
      </x:c>
      <x:c r="U705" s="35" t="n">
        <x:v>0</x:v>
      </x:c>
      <x:c r="V705" s="35" t="n">
        <x:v>7</x:v>
      </x:c>
      <x:c r="W705" s="35" t="n">
        <x:v>17</x:v>
      </x:c>
      <x:c r="X705" s="35" t="n">
        <x:v>73</x:v>
      </x:c>
      <x:c r="Y705" s="35" t="n">
        <x:v>3</x:v>
      </x:c>
      <x:c r="Z705" s="35" t="n">
        <x:v>100</x:v>
      </x:c>
      <x:c r="AA705" s="35" t="n">
        <x:v>3</x:v>
      </x:c>
      <x:c r="AB705" s="35" t="n">
        <x:v>2</x:v>
      </x:c>
      <x:c r="AC705" s="35" t="n">
        <x:v>1</x:v>
      </x:c>
      <x:c r="AD705" s="35" t="n">
        <x:v>69</x:v>
      </x:c>
      <x:c r="AE705" s="35" t="n">
        <x:v>63</x:v>
      </x:c>
      <x:c r="AF705" s="35" t="n">
        <x:v>65</x:v>
      </x:c>
      <x:c r="AG705" s="35" t="n">
        <x:v>91</x:v>
      </x:c>
      <x:c r="AH705" s="35" t="n">
        <x:v>4</x:v>
      </x:c>
      <x:c r="AI705" s="37" t="n">
        <x:v>93.1</x:v>
      </x:c>
      <x:c r="AJ705" s="37" t="n">
        <x:v>89.3</x:v>
      </x:c>
      <x:c r="AK705" s="35" t="str">
        <x:v>No</x:v>
      </x:c>
      <x:c r="AL705" s="38" t="n">
        <x:f>IF(AA705=0,0,AB705/AA705)</x:f>
        <x:v>0.6666666666666666</x:v>
      </x:c>
      <x:c r="AM705" s="38" t="n">
        <x:f>IF(AB705=0,0,AC705/AB705)</x:f>
        <x:v>0.5</x:v>
      </x:c>
      <x:c r="AN705" s="37" t="n">
        <x:f>ROUND((AD705*0.20+AE705*0.20+AF705*0.25+AG705*0.15+MIN(100,AC705*12)*0.20),1)</x:f>
        <x:v>58.7</x:v>
      </x:c>
      <x:c r="AO705" s="37" t="n">
        <x:f>ROUND(MAX(0,MIN(100,(X705*0.35)+(W705/45*100*0.20)+((5-O705)/4*100*0.15)+((5-P705)/4*100*0.10)+((6-Y705)/5*100*0.10)+((100-Z705)*0.10))),1)</x:f>
        <x:v>55.4</x:v>
      </x:c>
      <x:c r="AP705" s="37" t="str">
        <x:f>IF(AO705&gt;=70,"High",IF(AO705&gt;=40,"Moderate","Low"))</x:f>
        <x:v>Moderate</x:v>
      </x:c>
      <x:c r="AQ705" s="37" t="n">
        <x:f>ROUND(MAX(0,MIN(100,(O705/4*100*0.25)+(P705/4*100*0.20)+(Q705/4*100*0.15)+(Y705/5*100*0.20)+(100-AO705)*0.20)),1)</x:f>
        <x:v>63.4</x:v>
      </x:c>
      <x:c r="AR705" s="37" t="n">
        <x:f>ROUND((AI705*0.20+AJ705*0.15+AN705*0.18+AG705*0.12+Z705*0.15+AQ705*0.20),1)</x:f>
        <x:v>81.2</x:v>
      </x:c>
      <x:c r="AS705" s="39" t="n">
        <x:f>ROUND((AC705*AF705*120)+(AH705*350)+(MAX(0,AI705-75)*220)+(MAX(0,AQ705-60)*100),0)</x:f>
        <x:v>13522</x:v>
      </x:c>
    </x:row>
    <x:row r="706">
      <x:c r="A706" s="35" t="n">
        <x:v>705</x:v>
      </x:c>
      <x:c r="B706" s="35" t="n">
        <x:v>39</x:v>
      </x:c>
      <x:c r="C706" s="35" t="str">
        <x:v>Male</x:v>
      </x:c>
      <x:c r="D706" s="35" t="str">
        <x:v>Research &amp; Development</x:v>
      </x:c>
      <x:c r="E706" s="35" t="str">
        <x:v>R&amp;D Manager</x:v>
      </x:c>
      <x:c r="F706" s="35" t="str">
        <x:v>Human Resources</x:v>
      </x:c>
      <x:c r="G706" s="35" t="str">
        <x:v>Single</x:v>
      </x:c>
      <x:c r="H706" s="35" t="n">
        <x:v>1</x:v>
      </x:c>
      <x:c r="I706" s="36" t="n">
        <x:v>6920</x:v>
      </x:c>
      <x:c r="J706" s="35" t="n">
        <x:v>16</x:v>
      </x:c>
      <x:c r="K706" s="35" t="n">
        <x:v>13</x:v>
      </x:c>
      <x:c r="L706" s="35" t="n">
        <x:v>6</x:v>
      </x:c>
      <x:c r="M706" s="35" t="n">
        <x:v>12</x:v>
      </x:c>
      <x:c r="N706" s="35" t="str">
        <x:v>No</x:v>
      </x:c>
      <x:c r="O706" s="35" t="n">
        <x:v>3</x:v>
      </x:c>
      <x:c r="P706" s="35" t="n">
        <x:v>2</x:v>
      </x:c>
      <x:c r="Q706" s="35" t="n">
        <x:v>2</x:v>
      </x:c>
      <x:c r="R706" s="35" t="n">
        <x:v>3</x:v>
      </x:c>
      <x:c r="S706" s="35" t="n">
        <x:v>3</x:v>
      </x:c>
      <x:c r="T706" s="35" t="n">
        <x:v>0</x:v>
      </x:c>
      <x:c r="U706" s="35" t="n">
        <x:v>1</x:v>
      </x:c>
      <x:c r="V706" s="35" t="n">
        <x:v>1</x:v>
      </x:c>
      <x:c r="W706" s="35" t="n">
        <x:v>1</x:v>
      </x:c>
      <x:c r="X706" s="35" t="n">
        <x:v>69</x:v>
      </x:c>
      <x:c r="Y706" s="35" t="n">
        <x:v>5</x:v>
      </x:c>
      <x:c r="Z706" s="35" t="n">
        <x:v>100</x:v>
      </x:c>
      <x:c r="AA706" s="35" t="n">
        <x:v>3</x:v>
      </x:c>
      <x:c r="AB706" s="35" t="n">
        <x:v>3</x:v>
      </x:c>
      <x:c r="AC706" s="35" t="n">
        <x:v>3</x:v>
      </x:c>
      <x:c r="AD706" s="35" t="n">
        <x:v>72</x:v>
      </x:c>
      <x:c r="AE706" s="35" t="n">
        <x:v>82</x:v>
      </x:c>
      <x:c r="AF706" s="35" t="n">
        <x:v>72</x:v>
      </x:c>
      <x:c r="AG706" s="35" t="n">
        <x:v>100</x:v>
      </x:c>
      <x:c r="AH706" s="35" t="n">
        <x:v>7</x:v>
      </x:c>
      <x:c r="AI706" s="37" t="n">
        <x:v>98.7</x:v>
      </x:c>
      <x:c r="AJ706" s="37" t="n">
        <x:v>100</x:v>
      </x:c>
      <x:c r="AK706" s="35" t="str">
        <x:v>No</x:v>
      </x:c>
      <x:c r="AL706" s="38" t="n">
        <x:f>IF(AA706=0,0,AB706/AA706)</x:f>
        <x:v>1</x:v>
      </x:c>
      <x:c r="AM706" s="38" t="n">
        <x:f>IF(AB706=0,0,AC706/AB706)</x:f>
        <x:v>1</x:v>
      </x:c>
      <x:c r="AN706" s="37" t="n">
        <x:f>ROUND((AD706*0.20+AE706*0.20+AF706*0.25+AG706*0.15+MIN(100,AC706*12)*0.20),1)</x:f>
        <x:v>71</x:v>
      </x:c>
      <x:c r="AO706" s="37" t="n">
        <x:f>ROUND(MAX(0,MIN(100,(X706*0.35)+(W706/45*100*0.20)+((5-O706)/4*100*0.15)+((5-P706)/4*100*0.10)+((6-Y706)/5*100*0.10)+((100-Z706)*0.10))),1)</x:f>
        <x:v>41.6</x:v>
      </x:c>
      <x:c r="AP706" s="37" t="str">
        <x:f>IF(AO706&gt;=70,"High",IF(AO706&gt;=40,"Moderate","Low"))</x:f>
        <x:v>Moderate</x:v>
      </x:c>
      <x:c r="AQ706" s="37" t="n">
        <x:f>ROUND(MAX(0,MIN(100,(O706/4*100*0.25)+(P706/4*100*0.20)+(Q706/4*100*0.15)+(Y706/5*100*0.20)+(100-AO706)*0.20)),1)</x:f>
        <x:v>67.9</x:v>
      </x:c>
      <x:c r="AR706" s="37" t="n">
        <x:f>ROUND((AI706*0.20+AJ706*0.15+AN706*0.18+AG706*0.12+Z706*0.15+AQ706*0.20),1)</x:f>
        <x:v>88.1</x:v>
      </x:c>
      <x:c r="AS706" s="39" t="n">
        <x:f>ROUND((AC706*AF706*120)+(AH706*350)+(MAX(0,AI706-75)*220)+(MAX(0,AQ706-60)*100),0)</x:f>
        <x:v>34374</x:v>
      </x:c>
    </x:row>
    <x:row r="707">
      <x:c r="A707" s="35" t="n">
        <x:v>706</x:v>
      </x:c>
      <x:c r="B707" s="35" t="n">
        <x:v>38</x:v>
      </x:c>
      <x:c r="C707" s="35" t="str">
        <x:v>Male</x:v>
      </x:c>
      <x:c r="D707" s="35" t="str">
        <x:v>Operations</x:v>
      </x:c>
      <x:c r="E707" s="35" t="str">
        <x:v>Operations Manager</x:v>
      </x:c>
      <x:c r="F707" s="35" t="str">
        <x:v>Technical Degree</x:v>
      </x:c>
      <x:c r="G707" s="35" t="str">
        <x:v>Divorced</x:v>
      </x:c>
      <x:c r="H707" s="35" t="n">
        <x:v>2</x:v>
      </x:c>
      <x:c r="I707" s="36" t="n">
        <x:v>6710</x:v>
      </x:c>
      <x:c r="J707" s="35" t="n">
        <x:v>15</x:v>
      </x:c>
      <x:c r="K707" s="35" t="n">
        <x:v>5</x:v>
      </x:c>
      <x:c r="L707" s="35" t="n">
        <x:v>4</x:v>
      </x:c>
      <x:c r="M707" s="35" t="n">
        <x:v>12</x:v>
      </x:c>
      <x:c r="N707" s="35" t="str">
        <x:v>Yes</x:v>
      </x:c>
      <x:c r="O707" s="35" t="n">
        <x:v>2</x:v>
      </x:c>
      <x:c r="P707" s="35" t="n">
        <x:v>3</x:v>
      </x:c>
      <x:c r="Q707" s="35" t="n">
        <x:v>3</x:v>
      </x:c>
      <x:c r="R707" s="35" t="n">
        <x:v>3</x:v>
      </x:c>
      <x:c r="S707" s="35" t="n">
        <x:v>3</x:v>
      </x:c>
      <x:c r="T707" s="35" t="n">
        <x:v>2</x:v>
      </x:c>
      <x:c r="U707" s="35" t="n">
        <x:v>1</x:v>
      </x:c>
      <x:c r="V707" s="35" t="n">
        <x:v>10</x:v>
      </x:c>
      <x:c r="W707" s="35" t="n">
        <x:v>28</x:v>
      </x:c>
      <x:c r="X707" s="35" t="n">
        <x:v>72</x:v>
      </x:c>
      <x:c r="Y707" s="35" t="n">
        <x:v>3</x:v>
      </x:c>
      <x:c r="Z707" s="35" t="n">
        <x:v>100</x:v>
      </x:c>
      <x:c r="AA707" s="35" t="n">
        <x:v>7</x:v>
      </x:c>
      <x:c r="AB707" s="35" t="n">
        <x:v>5</x:v>
      </x:c>
      <x:c r="AC707" s="35" t="n">
        <x:v>4</x:v>
      </x:c>
      <x:c r="AD707" s="35" t="n">
        <x:v>59</x:v>
      </x:c>
      <x:c r="AE707" s="35" t="n">
        <x:v>98</x:v>
      </x:c>
      <x:c r="AF707" s="35" t="n">
        <x:v>77</x:v>
      </x:c>
      <x:c r="AG707" s="35" t="n">
        <x:v>89</x:v>
      </x:c>
      <x:c r="AH707" s="35" t="n">
        <x:v>10</x:v>
      </x:c>
      <x:c r="AI707" s="37" t="n">
        <x:v>100</x:v>
      </x:c>
      <x:c r="AJ707" s="37" t="n">
        <x:v>90.1</x:v>
      </x:c>
      <x:c r="AK707" s="35" t="str">
        <x:v>No</x:v>
      </x:c>
      <x:c r="AL707" s="38" t="n">
        <x:f>IF(AA707=0,0,AB707/AA707)</x:f>
        <x:v>0.7142857142857143</x:v>
      </x:c>
      <x:c r="AM707" s="38" t="n">
        <x:f>IF(AB707=0,0,AC707/AB707)</x:f>
        <x:v>0.8</x:v>
      </x:c>
      <x:c r="AN707" s="37" t="n">
        <x:f>ROUND((AD707*0.20+AE707*0.20+AF707*0.25+AG707*0.15+MIN(100,AC707*12)*0.20),1)</x:f>
        <x:v>73.6</x:v>
      </x:c>
      <x:c r="AO707" s="37" t="n">
        <x:f>ROUND(MAX(0,MIN(100,(X707*0.35)+(W707/45*100*0.20)+((5-O707)/4*100*0.15)+((5-P707)/4*100*0.10)+((6-Y707)/5*100*0.10)+((100-Z707)*0.10))),1)</x:f>
        <x:v>59.9</x:v>
      </x:c>
      <x:c r="AP707" s="37" t="str">
        <x:f>IF(AO707&gt;=70,"High",IF(AO707&gt;=40,"Moderate","Low"))</x:f>
        <x:v>Moderate</x:v>
      </x:c>
      <x:c r="AQ707" s="37" t="n">
        <x:f>ROUND(MAX(0,MIN(100,(O707/4*100*0.25)+(P707/4*100*0.20)+(Q707/4*100*0.15)+(Y707/5*100*0.20)+(100-AO707)*0.20)),1)</x:f>
        <x:v>58.8</x:v>
      </x:c>
      <x:c r="AR707" s="37" t="n">
        <x:f>ROUND((AI707*0.20+AJ707*0.15+AN707*0.18+AG707*0.12+Z707*0.15+AQ707*0.20),1)</x:f>
        <x:v>84.2</x:v>
      </x:c>
      <x:c r="AS707" s="39" t="n">
        <x:f>ROUND((AC707*AF707*120)+(AH707*350)+(MAX(0,AI707-75)*220)+(MAX(0,AQ707-60)*100),0)</x:f>
        <x:v>45960</x:v>
      </x:c>
    </x:row>
    <x:row r="708">
      <x:c r="A708" s="35" t="n">
        <x:v>707</x:v>
      </x:c>
      <x:c r="B708" s="35" t="n">
        <x:v>30</x:v>
      </x:c>
      <x:c r="C708" s="35" t="str">
        <x:v>Female</x:v>
      </x:c>
      <x:c r="D708" s="35" t="str">
        <x:v>Marketing</x:v>
      </x:c>
      <x:c r="E708" s="35" t="str">
        <x:v>Marketing Manager</x:v>
      </x:c>
      <x:c r="F708" s="35" t="str">
        <x:v>Human Resources</x:v>
      </x:c>
      <x:c r="G708" s="35" t="str">
        <x:v>Married</x:v>
      </x:c>
      <x:c r="H708" s="35" t="n">
        <x:v>2</x:v>
      </x:c>
      <x:c r="I708" s="36" t="n">
        <x:v>9670</x:v>
      </x:c>
      <x:c r="J708" s="35" t="n">
        <x:v>4</x:v>
      </x:c>
      <x:c r="K708" s="35" t="n">
        <x:v>1</x:v>
      </x:c>
      <x:c r="L708" s="35" t="n">
        <x:v>0</x:v>
      </x:c>
      <x:c r="M708" s="35" t="n">
        <x:v>4</x:v>
      </x:c>
      <x:c r="N708" s="35" t="str">
        <x:v>No</x:v>
      </x:c>
      <x:c r="O708" s="35" t="n">
        <x:v>4</x:v>
      </x:c>
      <x:c r="P708" s="35" t="n">
        <x:v>2</x:v>
      </x:c>
      <x:c r="Q708" s="35" t="n">
        <x:v>2</x:v>
      </x:c>
      <x:c r="R708" s="35" t="n">
        <x:v>2</x:v>
      </x:c>
      <x:c r="S708" s="35" t="n">
        <x:v>3</x:v>
      </x:c>
      <x:c r="T708" s="35" t="n">
        <x:v>4</x:v>
      </x:c>
      <x:c r="U708" s="35" t="n">
        <x:v>2</x:v>
      </x:c>
      <x:c r="V708" s="35" t="n">
        <x:v>0</x:v>
      </x:c>
      <x:c r="W708" s="35" t="n">
        <x:v>1</x:v>
      </x:c>
      <x:c r="X708" s="35" t="n">
        <x:v>64</x:v>
      </x:c>
      <x:c r="Y708" s="35" t="n">
        <x:v>5</x:v>
      </x:c>
      <x:c r="Z708" s="35" t="n">
        <x:v>89</x:v>
      </x:c>
      <x:c r="AA708" s="35" t="n">
        <x:v>7</x:v>
      </x:c>
      <x:c r="AB708" s="35" t="n">
        <x:v>5</x:v>
      </x:c>
      <x:c r="AC708" s="35" t="n">
        <x:v>4</x:v>
      </x:c>
      <x:c r="AD708" s="35" t="n">
        <x:v>61</x:v>
      </x:c>
      <x:c r="AE708" s="35" t="n">
        <x:v>83</x:v>
      </x:c>
      <x:c r="AF708" s="35" t="n">
        <x:v>80</x:v>
      </x:c>
      <x:c r="AG708" s="35" t="n">
        <x:v>82</x:v>
      </x:c>
      <x:c r="AH708" s="35" t="n">
        <x:v>6</x:v>
      </x:c>
      <x:c r="AI708" s="37" t="n">
        <x:v>100</x:v>
      </x:c>
      <x:c r="AJ708" s="37" t="n">
        <x:v>87.1</x:v>
      </x:c>
      <x:c r="AK708" s="35" t="str">
        <x:v>No</x:v>
      </x:c>
      <x:c r="AL708" s="38" t="n">
        <x:f>IF(AA708=0,0,AB708/AA708)</x:f>
        <x:v>0.7142857142857143</x:v>
      </x:c>
      <x:c r="AM708" s="38" t="n">
        <x:f>IF(AB708=0,0,AC708/AB708)</x:f>
        <x:v>0.8</x:v>
      </x:c>
      <x:c r="AN708" s="37" t="n">
        <x:f>ROUND((AD708*0.20+AE708*0.20+AF708*0.25+AG708*0.15+MIN(100,AC708*12)*0.20),1)</x:f>
        <x:v>70.7</x:v>
      </x:c>
      <x:c r="AO708" s="37" t="n">
        <x:f>ROUND(MAX(0,MIN(100,(X708*0.35)+(W708/45*100*0.20)+((5-O708)/4*100*0.15)+((5-P708)/4*100*0.10)+((6-Y708)/5*100*0.10)+((100-Z708)*0.10))),1)</x:f>
        <x:v>37.2</x:v>
      </x:c>
      <x:c r="AP708" s="37" t="str">
        <x:f>IF(AO708&gt;=70,"High",IF(AO708&gt;=40,"Moderate","Low"))</x:f>
        <x:v>Low</x:v>
      </x:c>
      <x:c r="AQ708" s="37" t="n">
        <x:f>ROUND(MAX(0,MIN(100,(O708/4*100*0.25)+(P708/4*100*0.20)+(Q708/4*100*0.15)+(Y708/5*100*0.20)+(100-AO708)*0.20)),1)</x:f>
        <x:v>75.1</x:v>
      </x:c>
      <x:c r="AR708" s="37" t="n">
        <x:f>ROUND((AI708*0.20+AJ708*0.15+AN708*0.18+AG708*0.12+Z708*0.15+AQ708*0.20),1)</x:f>
        <x:v>84</x:v>
      </x:c>
      <x:c r="AS708" s="39" t="n">
        <x:f>ROUND((AC708*AF708*120)+(AH708*350)+(MAX(0,AI708-75)*220)+(MAX(0,AQ708-60)*100),0)</x:f>
        <x:v>47510</x:v>
      </x:c>
    </x:row>
    <x:row r="709">
      <x:c r="A709" s="35" t="n">
        <x:v>708</x:v>
      </x:c>
      <x:c r="B709" s="35" t="n">
        <x:v>41</x:v>
      </x:c>
      <x:c r="C709" s="35" t="str">
        <x:v>Male</x:v>
      </x:c>
      <x:c r="D709" s="35" t="str">
        <x:v>Human Resources</x:v>
      </x:c>
      <x:c r="E709" s="35" t="str">
        <x:v>HR Manager</x:v>
      </x:c>
      <x:c r="F709" s="35" t="str">
        <x:v>Technical Degree</x:v>
      </x:c>
      <x:c r="G709" s="35" t="str">
        <x:v>Married</x:v>
      </x:c>
      <x:c r="H709" s="35" t="n">
        <x:v>3</x:v>
      </x:c>
      <x:c r="I709" s="36" t="n">
        <x:v>11290</x:v>
      </x:c>
      <x:c r="J709" s="35" t="n">
        <x:v>11</x:v>
      </x:c>
      <x:c r="K709" s="35" t="n">
        <x:v>9</x:v>
      </x:c>
      <x:c r="L709" s="35" t="n">
        <x:v>3</x:v>
      </x:c>
      <x:c r="M709" s="35" t="n">
        <x:v>20</x:v>
      </x:c>
      <x:c r="N709" s="35" t="str">
        <x:v>No</x:v>
      </x:c>
      <x:c r="O709" s="35" t="n">
        <x:v>4</x:v>
      </x:c>
      <x:c r="P709" s="35" t="n">
        <x:v>3</x:v>
      </x:c>
      <x:c r="Q709" s="35" t="n">
        <x:v>2</x:v>
      </x:c>
      <x:c r="R709" s="35" t="n">
        <x:v>3</x:v>
      </x:c>
      <x:c r="S709" s="35" t="n">
        <x:v>3</x:v>
      </x:c>
      <x:c r="T709" s="35" t="n">
        <x:v>2</x:v>
      </x:c>
      <x:c r="U709" s="35" t="n">
        <x:v>2</x:v>
      </x:c>
      <x:c r="V709" s="35" t="n">
        <x:v>5</x:v>
      </x:c>
      <x:c r="W709" s="35" t="n">
        <x:v>7</x:v>
      </x:c>
      <x:c r="X709" s="35" t="n">
        <x:v>54</x:v>
      </x:c>
      <x:c r="Y709" s="35" t="n">
        <x:v>5</x:v>
      </x:c>
      <x:c r="Z709" s="35" t="n">
        <x:v>100</x:v>
      </x:c>
      <x:c r="AA709" s="35" t="n">
        <x:v>8</x:v>
      </x:c>
      <x:c r="AB709" s="35" t="n">
        <x:v>8</x:v>
      </x:c>
      <x:c r="AC709" s="35" t="n">
        <x:v>7</x:v>
      </x:c>
      <x:c r="AD709" s="35" t="n">
        <x:v>81</x:v>
      </x:c>
      <x:c r="AE709" s="35" t="n">
        <x:v>88</x:v>
      </x:c>
      <x:c r="AF709" s="35" t="n">
        <x:v>100</x:v>
      </x:c>
      <x:c r="AG709" s="35" t="n">
        <x:v>100</x:v>
      </x:c>
      <x:c r="AH709" s="35" t="n">
        <x:v>8</x:v>
      </x:c>
      <x:c r="AI709" s="37" t="n">
        <x:v>95.6</x:v>
      </x:c>
      <x:c r="AJ709" s="37" t="n">
        <x:v>91.2</x:v>
      </x:c>
      <x:c r="AK709" s="35" t="str">
        <x:v>No</x:v>
      </x:c>
      <x:c r="AL709" s="38" t="n">
        <x:f>IF(AA709=0,0,AB709/AA709)</x:f>
        <x:v>1</x:v>
      </x:c>
      <x:c r="AM709" s="38" t="n">
        <x:f>IF(AB709=0,0,AC709/AB709)</x:f>
        <x:v>0.875</x:v>
      </x:c>
      <x:c r="AN709" s="37" t="n">
        <x:f>ROUND((AD709*0.20+AE709*0.20+AF709*0.25+AG709*0.15+MIN(100,AC709*12)*0.20),1)</x:f>
        <x:v>90.6</x:v>
      </x:c>
      <x:c r="AO709" s="37" t="n">
        <x:f>ROUND(MAX(0,MIN(100,(X709*0.35)+(W709/45*100*0.20)+((5-O709)/4*100*0.15)+((5-P709)/4*100*0.10)+((6-Y709)/5*100*0.10)+((100-Z709)*0.10))),1)</x:f>
        <x:v>32.8</x:v>
      </x:c>
      <x:c r="AP709" s="37" t="str">
        <x:f>IF(AO709&gt;=70,"High",IF(AO709&gt;=40,"Moderate","Low"))</x:f>
        <x:v>Low</x:v>
      </x:c>
      <x:c r="AQ709" s="37" t="n">
        <x:f>ROUND(MAX(0,MIN(100,(O709/4*100*0.25)+(P709/4*100*0.20)+(Q709/4*100*0.15)+(Y709/5*100*0.20)+(100-AO709)*0.20)),1)</x:f>
        <x:v>80.9</x:v>
      </x:c>
      <x:c r="AR709" s="37" t="n">
        <x:f>ROUND((AI709*0.20+AJ709*0.15+AN709*0.18+AG709*0.12+Z709*0.15+AQ709*0.20),1)</x:f>
        <x:v>92.3</x:v>
      </x:c>
      <x:c r="AS709" s="39" t="n">
        <x:f>ROUND((AC709*AF709*120)+(AH709*350)+(MAX(0,AI709-75)*220)+(MAX(0,AQ709-60)*100),0)</x:f>
        <x:v>93422</x:v>
      </x:c>
    </x:row>
    <x:row r="710">
      <x:c r="A710" s="35" t="n">
        <x:v>709</x:v>
      </x:c>
      <x:c r="B710" s="35" t="n">
        <x:v>35</x:v>
      </x:c>
      <x:c r="C710" s="35" t="str">
        <x:v>Female</x:v>
      </x:c>
      <x:c r="D710" s="35" t="str">
        <x:v>Operations</x:v>
      </x:c>
      <x:c r="E710" s="35" t="str">
        <x:v>Operations Manager</x:v>
      </x:c>
      <x:c r="F710" s="35" t="str">
        <x:v>Marketing</x:v>
      </x:c>
      <x:c r="G710" s="35" t="str">
        <x:v>Divorced</x:v>
      </x:c>
      <x:c r="H710" s="35" t="n">
        <x:v>3</x:v>
      </x:c>
      <x:c r="I710" s="36" t="n">
        <x:v>12280</x:v>
      </x:c>
      <x:c r="J710" s="35" t="n">
        <x:v>7</x:v>
      </x:c>
      <x:c r="K710" s="35" t="n">
        <x:v>4</x:v>
      </x:c>
      <x:c r="L710" s="35" t="n">
        <x:v>1</x:v>
      </x:c>
      <x:c r="M710" s="35" t="n">
        <x:v>4</x:v>
      </x:c>
      <x:c r="N710" s="35" t="str">
        <x:v>No</x:v>
      </x:c>
      <x:c r="O710" s="35" t="n">
        <x:v>3</x:v>
      </x:c>
      <x:c r="P710" s="35" t="n">
        <x:v>3</x:v>
      </x:c>
      <x:c r="Q710" s="35" t="n">
        <x:v>2</x:v>
      </x:c>
      <x:c r="R710" s="35" t="n">
        <x:v>2</x:v>
      </x:c>
      <x:c r="S710" s="35" t="n">
        <x:v>3</x:v>
      </x:c>
      <x:c r="T710" s="35" t="n">
        <x:v>2</x:v>
      </x:c>
      <x:c r="U710" s="35" t="n">
        <x:v>0</x:v>
      </x:c>
      <x:c r="V710" s="35" t="n">
        <x:v>10</x:v>
      </x:c>
      <x:c r="W710" s="35" t="n">
        <x:v>8</x:v>
      </x:c>
      <x:c r="X710" s="35" t="n">
        <x:v>74</x:v>
      </x:c>
      <x:c r="Y710" s="35" t="n">
        <x:v>5</x:v>
      </x:c>
      <x:c r="Z710" s="35" t="n">
        <x:v>86</x:v>
      </x:c>
      <x:c r="AA710" s="35" t="n">
        <x:v>2</x:v>
      </x:c>
      <x:c r="AB710" s="35" t="n">
        <x:v>2</x:v>
      </x:c>
      <x:c r="AC710" s="35" t="n">
        <x:v>2</x:v>
      </x:c>
      <x:c r="AD710" s="35" t="n">
        <x:v>74</x:v>
      </x:c>
      <x:c r="AE710" s="35" t="n">
        <x:v>70</x:v>
      </x:c>
      <x:c r="AF710" s="35" t="n">
        <x:v>89</x:v>
      </x:c>
      <x:c r="AG710" s="35" t="n">
        <x:v>80</x:v>
      </x:c>
      <x:c r="AH710" s="35" t="n">
        <x:v>7</x:v>
      </x:c>
      <x:c r="AI710" s="37" t="n">
        <x:v>89.9</x:v>
      </x:c>
      <x:c r="AJ710" s="37" t="n">
        <x:v>86.9</x:v>
      </x:c>
      <x:c r="AK710" s="35" t="str">
        <x:v>No</x:v>
      </x:c>
      <x:c r="AL710" s="38" t="n">
        <x:f>IF(AA710=0,0,AB710/AA710)</x:f>
        <x:v>1</x:v>
      </x:c>
      <x:c r="AM710" s="38" t="n">
        <x:f>IF(AB710=0,0,AC710/AB710)</x:f>
        <x:v>1</x:v>
      </x:c>
      <x:c r="AN710" s="37" t="n">
        <x:f>ROUND((AD710*0.20+AE710*0.20+AF710*0.25+AG710*0.15+MIN(100,AC710*12)*0.20),1)</x:f>
        <x:v>67.9</x:v>
      </x:c>
      <x:c r="AO710" s="37" t="n">
        <x:f>ROUND(MAX(0,MIN(100,(X710*0.35)+(W710/45*100*0.20)+((5-O710)/4*100*0.15)+((5-P710)/4*100*0.10)+((6-Y710)/5*100*0.10)+((100-Z710)*0.10))),1)</x:f>
        <x:v>45.4</x:v>
      </x:c>
      <x:c r="AP710" s="37" t="str">
        <x:f>IF(AO710&gt;=70,"High",IF(AO710&gt;=40,"Moderate","Low"))</x:f>
        <x:v>Moderate</x:v>
      </x:c>
      <x:c r="AQ710" s="37" t="n">
        <x:f>ROUND(MAX(0,MIN(100,(O710/4*100*0.25)+(P710/4*100*0.20)+(Q710/4*100*0.15)+(Y710/5*100*0.20)+(100-AO710)*0.20)),1)</x:f>
        <x:v>72.2</x:v>
      </x:c>
      <x:c r="AR710" s="37" t="n">
        <x:f>ROUND((AI710*0.20+AJ710*0.15+AN710*0.18+AG710*0.12+Z710*0.15+AQ710*0.20),1)</x:f>
        <x:v>80.2</x:v>
      </x:c>
      <x:c r="AS710" s="39" t="n">
        <x:f>ROUND((AC710*AF710*120)+(AH710*350)+(MAX(0,AI710-75)*220)+(MAX(0,AQ710-60)*100),0)</x:f>
        <x:v>28308</x:v>
      </x:c>
    </x:row>
    <x:row r="711">
      <x:c r="A711" s="35" t="n">
        <x:v>710</x:v>
      </x:c>
      <x:c r="B711" s="35" t="n">
        <x:v>36</x:v>
      </x:c>
      <x:c r="C711" s="35" t="str">
        <x:v>Female</x:v>
      </x:c>
      <x:c r="D711" s="35" t="str">
        <x:v>Research &amp; Development</x:v>
      </x:c>
      <x:c r="E711" s="35" t="str">
        <x:v>R&amp;D Manager</x:v>
      </x:c>
      <x:c r="F711" s="35" t="str">
        <x:v>Human Resources</x:v>
      </x:c>
      <x:c r="G711" s="35" t="str">
        <x:v>Married</x:v>
      </x:c>
      <x:c r="H711" s="35" t="n">
        <x:v>2</x:v>
      </x:c>
      <x:c r="I711" s="36" t="n">
        <x:v>8500</x:v>
      </x:c>
      <x:c r="J711" s="35" t="n">
        <x:v>13</x:v>
      </x:c>
      <x:c r="K711" s="35" t="n">
        <x:v>4</x:v>
      </x:c>
      <x:c r="L711" s="35" t="n">
        <x:v>3</x:v>
      </x:c>
      <x:c r="M711" s="35" t="n">
        <x:v>10</x:v>
      </x:c>
      <x:c r="N711" s="35" t="str">
        <x:v>No</x:v>
      </x:c>
      <x:c r="O711" s="35" t="n">
        <x:v>3</x:v>
      </x:c>
      <x:c r="P711" s="35" t="n">
        <x:v>4</x:v>
      </x:c>
      <x:c r="Q711" s="35" t="n">
        <x:v>4</x:v>
      </x:c>
      <x:c r="R711" s="35" t="n">
        <x:v>1</x:v>
      </x:c>
      <x:c r="S711" s="35" t="n">
        <x:v>4</x:v>
      </x:c>
      <x:c r="T711" s="35" t="n">
        <x:v>3</x:v>
      </x:c>
      <x:c r="U711" s="35" t="n">
        <x:v>2</x:v>
      </x:c>
      <x:c r="V711" s="35" t="n">
        <x:v>0</x:v>
      </x:c>
      <x:c r="W711" s="35" t="n">
        <x:v>9</x:v>
      </x:c>
      <x:c r="X711" s="35" t="n">
        <x:v>44</x:v>
      </x:c>
      <x:c r="Y711" s="35" t="n">
        <x:v>5</x:v>
      </x:c>
      <x:c r="Z711" s="35" t="n">
        <x:v>94</x:v>
      </x:c>
      <x:c r="AA711" s="35" t="n">
        <x:v>5</x:v>
      </x:c>
      <x:c r="AB711" s="35" t="n">
        <x:v>5</x:v>
      </x:c>
      <x:c r="AC711" s="35" t="n">
        <x:v>5</x:v>
      </x:c>
      <x:c r="AD711" s="35" t="n">
        <x:v>81</x:v>
      </x:c>
      <x:c r="AE711" s="35" t="n">
        <x:v>86</x:v>
      </x:c>
      <x:c r="AF711" s="35" t="n">
        <x:v>78</x:v>
      </x:c>
      <x:c r="AG711" s="35" t="n">
        <x:v>66</x:v>
      </x:c>
      <x:c r="AH711" s="35" t="n">
        <x:v>11</x:v>
      </x:c>
      <x:c r="AI711" s="37" t="n">
        <x:v>97.2</x:v>
      </x:c>
      <x:c r="AJ711" s="37" t="n">
        <x:v>88.5</x:v>
      </x:c>
      <x:c r="AK711" s="35" t="str">
        <x:v>No</x:v>
      </x:c>
      <x:c r="AL711" s="38" t="n">
        <x:f>IF(AA711=0,0,AB711/AA711)</x:f>
        <x:v>1</x:v>
      </x:c>
      <x:c r="AM711" s="38" t="n">
        <x:f>IF(AB711=0,0,AC711/AB711)</x:f>
        <x:v>1</x:v>
      </x:c>
      <x:c r="AN711" s="37" t="n">
        <x:f>ROUND((AD711*0.20+AE711*0.20+AF711*0.25+AG711*0.15+MIN(100,AC711*12)*0.20),1)</x:f>
        <x:v>74.8</x:v>
      </x:c>
      <x:c r="AO711" s="37" t="n">
        <x:f>ROUND(MAX(0,MIN(100,(X711*0.35)+(W711/45*100*0.20)+((5-O711)/4*100*0.15)+((5-P711)/4*100*0.10)+((6-Y711)/5*100*0.10)+((100-Z711)*0.10))),1)</x:f>
        <x:v>32</x:v>
      </x:c>
      <x:c r="AP711" s="37" t="str">
        <x:f>IF(AO711&gt;=70,"High",IF(AO711&gt;=40,"Moderate","Low"))</x:f>
        <x:v>Low</x:v>
      </x:c>
      <x:c r="AQ711" s="37" t="n">
        <x:f>ROUND(MAX(0,MIN(100,(O711/4*100*0.25)+(P711/4*100*0.20)+(Q711/4*100*0.15)+(Y711/5*100*0.20)+(100-AO711)*0.20)),1)</x:f>
        <x:v>87.4</x:v>
      </x:c>
      <x:c r="AR711" s="37" t="n">
        <x:f>ROUND((AI711*0.20+AJ711*0.15+AN711*0.18+AG711*0.12+Z711*0.15+AQ711*0.20),1)</x:f>
        <x:v>85.7</x:v>
      </x:c>
      <x:c r="AS711" s="39" t="n">
        <x:f>ROUND((AC711*AF711*120)+(AH711*350)+(MAX(0,AI711-75)*220)+(MAX(0,AQ711-60)*100),0)</x:f>
        <x:v>58274</x:v>
      </x:c>
    </x:row>
    <x:row r="712">
      <x:c r="A712" s="35" t="n">
        <x:v>711</x:v>
      </x:c>
      <x:c r="B712" s="35" t="n">
        <x:v>33</x:v>
      </x:c>
      <x:c r="C712" s="35" t="str">
        <x:v>Female</x:v>
      </x:c>
      <x:c r="D712" s="35" t="str">
        <x:v>Sales</x:v>
      </x:c>
      <x:c r="E712" s="35" t="str">
        <x:v>Sales Representative</x:v>
      </x:c>
      <x:c r="F712" s="35" t="str">
        <x:v>Technical Degree</x:v>
      </x:c>
      <x:c r="G712" s="35" t="str">
        <x:v>Single</x:v>
      </x:c>
      <x:c r="H712" s="35" t="n">
        <x:v>2</x:v>
      </x:c>
      <x:c r="I712" s="36" t="n">
        <x:v>7880</x:v>
      </x:c>
      <x:c r="J712" s="35" t="n">
        <x:v>7</x:v>
      </x:c>
      <x:c r="K712" s="35" t="n">
        <x:v>4</x:v>
      </x:c>
      <x:c r="L712" s="35" t="n">
        <x:v>2</x:v>
      </x:c>
      <x:c r="M712" s="35" t="n">
        <x:v>2</x:v>
      </x:c>
      <x:c r="N712" s="35" t="str">
        <x:v>No</x:v>
      </x:c>
      <x:c r="O712" s="35" t="n">
        <x:v>3</x:v>
      </x:c>
      <x:c r="P712" s="35" t="n">
        <x:v>3</x:v>
      </x:c>
      <x:c r="Q712" s="35" t="n">
        <x:v>2</x:v>
      </x:c>
      <x:c r="R712" s="35" t="n">
        <x:v>4</x:v>
      </x:c>
      <x:c r="S712" s="35" t="n">
        <x:v>3</x:v>
      </x:c>
      <x:c r="T712" s="35" t="n">
        <x:v>6</x:v>
      </x:c>
      <x:c r="U712" s="35" t="n">
        <x:v>1</x:v>
      </x:c>
      <x:c r="V712" s="35" t="n">
        <x:v>8</x:v>
      </x:c>
      <x:c r="W712" s="35" t="n">
        <x:v>0</x:v>
      </x:c>
      <x:c r="X712" s="35" t="n">
        <x:v>70</x:v>
      </x:c>
      <x:c r="Y712" s="35" t="n">
        <x:v>4</x:v>
      </x:c>
      <x:c r="Z712" s="35" t="n">
        <x:v>100</x:v>
      </x:c>
      <x:c r="AA712" s="35" t="n">
        <x:v>2</x:v>
      </x:c>
      <x:c r="AB712" s="35" t="n">
        <x:v>2</x:v>
      </x:c>
      <x:c r="AC712" s="35" t="n">
        <x:v>2</x:v>
      </x:c>
      <x:c r="AD712" s="35" t="n">
        <x:v>76</x:v>
      </x:c>
      <x:c r="AE712" s="35" t="n">
        <x:v>83</x:v>
      </x:c>
      <x:c r="AF712" s="35" t="n">
        <x:v>64</x:v>
      </x:c>
      <x:c r="AG712" s="35" t="n">
        <x:v>100</x:v>
      </x:c>
      <x:c r="AH712" s="35" t="n">
        <x:v>3</x:v>
      </x:c>
      <x:c r="AI712" s="37" t="n">
        <x:v>99.1</x:v>
      </x:c>
      <x:c r="AJ712" s="37" t="n">
        <x:v>100</x:v>
      </x:c>
      <x:c r="AK712" s="35" t="str">
        <x:v>No</x:v>
      </x:c>
      <x:c r="AL712" s="38" t="n">
        <x:f>IF(AA712=0,0,AB712/AA712)</x:f>
        <x:v>1</x:v>
      </x:c>
      <x:c r="AM712" s="38" t="n">
        <x:f>IF(AB712=0,0,AC712/AB712)</x:f>
        <x:v>1</x:v>
      </x:c>
      <x:c r="AN712" s="37" t="n">
        <x:f>ROUND((AD712*0.20+AE712*0.20+AF712*0.25+AG712*0.15+MIN(100,AC712*12)*0.20),1)</x:f>
        <x:v>67.6</x:v>
      </x:c>
      <x:c r="AO712" s="37" t="n">
        <x:f>ROUND(MAX(0,MIN(100,(X712*0.35)+(W712/45*100*0.20)+((5-O712)/4*100*0.15)+((5-P712)/4*100*0.10)+((6-Y712)/5*100*0.10)+((100-Z712)*0.10))),1)</x:f>
        <x:v>41</x:v>
      </x:c>
      <x:c r="AP712" s="37" t="str">
        <x:f>IF(AO712&gt;=70,"High",IF(AO712&gt;=40,"Moderate","Low"))</x:f>
        <x:v>Moderate</x:v>
      </x:c>
      <x:c r="AQ712" s="37" t="n">
        <x:f>ROUND(MAX(0,MIN(100,(O712/4*100*0.25)+(P712/4*100*0.20)+(Q712/4*100*0.15)+(Y712/5*100*0.20)+(100-AO712)*0.20)),1)</x:f>
        <x:v>69.1</x:v>
      </x:c>
      <x:c r="AR712" s="37" t="n">
        <x:f>ROUND((AI712*0.20+AJ712*0.15+AN712*0.18+AG712*0.12+Z712*0.15+AQ712*0.20),1)</x:f>
        <x:v>87.8</x:v>
      </x:c>
      <x:c r="AS712" s="39" t="n">
        <x:f>ROUND((AC712*AF712*120)+(AH712*350)+(MAX(0,AI712-75)*220)+(MAX(0,AQ712-60)*100),0)</x:f>
        <x:v>22622</x:v>
      </x:c>
    </x:row>
    <x:row r="713">
      <x:c r="A713" s="35" t="n">
        <x:v>712</x:v>
      </x:c>
      <x:c r="B713" s="35" t="n">
        <x:v>39</x:v>
      </x:c>
      <x:c r="C713" s="35" t="str">
        <x:v>Female</x:v>
      </x:c>
      <x:c r="D713" s="35" t="str">
        <x:v>Research &amp; Development</x:v>
      </x:c>
      <x:c r="E713" s="35" t="str">
        <x:v>R&amp;D Manager</x:v>
      </x:c>
      <x:c r="F713" s="35" t="str">
        <x:v>Life Sciences</x:v>
      </x:c>
      <x:c r="G713" s="35" t="str">
        <x:v>Single</x:v>
      </x:c>
      <x:c r="H713" s="35" t="n">
        <x:v>2</x:v>
      </x:c>
      <x:c r="I713" s="36" t="n">
        <x:v>7190</x:v>
      </x:c>
      <x:c r="J713" s="35" t="n">
        <x:v>15</x:v>
      </x:c>
      <x:c r="K713" s="35" t="n">
        <x:v>7</x:v>
      </x:c>
      <x:c r="L713" s="35" t="n">
        <x:v>2</x:v>
      </x:c>
      <x:c r="M713" s="35" t="n">
        <x:v>8</x:v>
      </x:c>
      <x:c r="N713" s="35" t="str">
        <x:v>No</x:v>
      </x:c>
      <x:c r="O713" s="35" t="n">
        <x:v>4</x:v>
      </x:c>
      <x:c r="P713" s="35" t="n">
        <x:v>2</x:v>
      </x:c>
      <x:c r="Q713" s="35" t="n">
        <x:v>3</x:v>
      </x:c>
      <x:c r="R713" s="35" t="n">
        <x:v>3</x:v>
      </x:c>
      <x:c r="S713" s="35" t="n">
        <x:v>3</x:v>
      </x:c>
      <x:c r="T713" s="35" t="n">
        <x:v>4</x:v>
      </x:c>
      <x:c r="U713" s="35" t="n">
        <x:v>2</x:v>
      </x:c>
      <x:c r="V713" s="35" t="n">
        <x:v>0</x:v>
      </x:c>
      <x:c r="W713" s="35" t="n">
        <x:v>2</x:v>
      </x:c>
      <x:c r="X713" s="35" t="n">
        <x:v>79</x:v>
      </x:c>
      <x:c r="Y713" s="35" t="n">
        <x:v>3</x:v>
      </x:c>
      <x:c r="Z713" s="35" t="n">
        <x:v>85</x:v>
      </x:c>
      <x:c r="AA713" s="35" t="n">
        <x:v>1</x:v>
      </x:c>
      <x:c r="AB713" s="35" t="n">
        <x:v>1</x:v>
      </x:c>
      <x:c r="AC713" s="35" t="n">
        <x:v>1</x:v>
      </x:c>
      <x:c r="AD713" s="35" t="n">
        <x:v>59</x:v>
      </x:c>
      <x:c r="AE713" s="35" t="n">
        <x:v>73</x:v>
      </x:c>
      <x:c r="AF713" s="35" t="n">
        <x:v>72</x:v>
      </x:c>
      <x:c r="AG713" s="35" t="n">
        <x:v>91</x:v>
      </x:c>
      <x:c r="AH713" s="35" t="n">
        <x:v>3</x:v>
      </x:c>
      <x:c r="AI713" s="37" t="n">
        <x:v>96.6</x:v>
      </x:c>
      <x:c r="AJ713" s="37" t="n">
        <x:v>90.6</x:v>
      </x:c>
      <x:c r="AK713" s="35" t="str">
        <x:v>No</x:v>
      </x:c>
      <x:c r="AL713" s="38" t="n">
        <x:f>IF(AA713=0,0,AB713/AA713)</x:f>
        <x:v>1</x:v>
      </x:c>
      <x:c r="AM713" s="38" t="n">
        <x:f>IF(AB713=0,0,AC713/AB713)</x:f>
        <x:v>1</x:v>
      </x:c>
      <x:c r="AN713" s="37" t="n">
        <x:f>ROUND((AD713*0.20+AE713*0.20+AF713*0.25+AG713*0.15+MIN(100,AC713*12)*0.20),1)</x:f>
        <x:v>60.5</x:v>
      </x:c>
      <x:c r="AO713" s="37" t="n">
        <x:f>ROUND(MAX(0,MIN(100,(X713*0.35)+(W713/45*100*0.20)+((5-O713)/4*100*0.15)+((5-P713)/4*100*0.10)+((6-Y713)/5*100*0.10)+((100-Z713)*0.10))),1)</x:f>
        <x:v>47.3</x:v>
      </x:c>
      <x:c r="AP713" s="37" t="str">
        <x:f>IF(AO713&gt;=70,"High",IF(AO713&gt;=40,"Moderate","Low"))</x:f>
        <x:v>Moderate</x:v>
      </x:c>
      <x:c r="AQ713" s="37" t="n">
        <x:f>ROUND(MAX(0,MIN(100,(O713/4*100*0.25)+(P713/4*100*0.20)+(Q713/4*100*0.15)+(Y713/5*100*0.20)+(100-AO713)*0.20)),1)</x:f>
        <x:v>68.8</x:v>
      </x:c>
      <x:c r="AR713" s="37" t="n">
        <x:f>ROUND((AI713*0.20+AJ713*0.15+AN713*0.18+AG713*0.12+Z713*0.15+AQ713*0.20),1)</x:f>
        <x:v>81.2</x:v>
      </x:c>
      <x:c r="AS713" s="39" t="n">
        <x:f>ROUND((AC713*AF713*120)+(AH713*350)+(MAX(0,AI713-75)*220)+(MAX(0,AQ713-60)*100),0)</x:f>
        <x:v>15322</x:v>
      </x:c>
    </x:row>
    <x:row r="714">
      <x:c r="A714" s="35" t="n">
        <x:v>713</x:v>
      </x:c>
      <x:c r="B714" s="35" t="n">
        <x:v>45</x:v>
      </x:c>
      <x:c r="C714" s="35" t="str">
        <x:v>Female</x:v>
      </x:c>
      <x:c r="D714" s="35" t="str">
        <x:v>Sales</x:v>
      </x:c>
      <x:c r="E714" s="35" t="str">
        <x:v>Sales Executive</x:v>
      </x:c>
      <x:c r="F714" s="35" t="str">
        <x:v>Technical Degree</x:v>
      </x:c>
      <x:c r="G714" s="35" t="str">
        <x:v>Married</x:v>
      </x:c>
      <x:c r="H714" s="35" t="n">
        <x:v>4</x:v>
      </x:c>
      <x:c r="I714" s="36" t="n">
        <x:v>18750</x:v>
      </x:c>
      <x:c r="J714" s="35" t="n">
        <x:v>14</x:v>
      </x:c>
      <x:c r="K714" s="35" t="n">
        <x:v>4</x:v>
      </x:c>
      <x:c r="L714" s="35" t="n">
        <x:v>3</x:v>
      </x:c>
      <x:c r="M714" s="35" t="n">
        <x:v>4</x:v>
      </x:c>
      <x:c r="N714" s="35" t="str">
        <x:v>No</x:v>
      </x:c>
      <x:c r="O714" s="35" t="n">
        <x:v>2</x:v>
      </x:c>
      <x:c r="P714" s="35" t="n">
        <x:v>3</x:v>
      </x:c>
      <x:c r="Q714" s="35" t="n">
        <x:v>2</x:v>
      </x:c>
      <x:c r="R714" s="35" t="n">
        <x:v>2</x:v>
      </x:c>
      <x:c r="S714" s="35" t="n">
        <x:v>4</x:v>
      </x:c>
      <x:c r="T714" s="35" t="n">
        <x:v>2</x:v>
      </x:c>
      <x:c r="U714" s="35" t="n">
        <x:v>0</x:v>
      </x:c>
      <x:c r="V714" s="35" t="n">
        <x:v>8</x:v>
      </x:c>
      <x:c r="W714" s="35" t="n">
        <x:v>0</x:v>
      </x:c>
      <x:c r="X714" s="35" t="n">
        <x:v>73</x:v>
      </x:c>
      <x:c r="Y714" s="35" t="n">
        <x:v>5</x:v>
      </x:c>
      <x:c r="Z714" s="35" t="n">
        <x:v>85</x:v>
      </x:c>
      <x:c r="AA714" s="35" t="n">
        <x:v>5</x:v>
      </x:c>
      <x:c r="AB714" s="35" t="n">
        <x:v>4</x:v>
      </x:c>
      <x:c r="AC714" s="35" t="n">
        <x:v>4</x:v>
      </x:c>
      <x:c r="AD714" s="35" t="n">
        <x:v>53</x:v>
      </x:c>
      <x:c r="AE714" s="35" t="n">
        <x:v>89</x:v>
      </x:c>
      <x:c r="AF714" s="35" t="n">
        <x:v>91</x:v>
      </x:c>
      <x:c r="AG714" s="35" t="n">
        <x:v>80</x:v>
      </x:c>
      <x:c r="AH714" s="35" t="n">
        <x:v>8</x:v>
      </x:c>
      <x:c r="AI714" s="37" t="n">
        <x:v>94.2</x:v>
      </x:c>
      <x:c r="AJ714" s="37" t="n">
        <x:v>89.4</x:v>
      </x:c>
      <x:c r="AK714" s="35" t="str">
        <x:v>Yes</x:v>
      </x:c>
      <x:c r="AL714" s="38" t="n">
        <x:f>IF(AA714=0,0,AB714/AA714)</x:f>
        <x:v>0.8</x:v>
      </x:c>
      <x:c r="AM714" s="38" t="n">
        <x:f>IF(AB714=0,0,AC714/AB714)</x:f>
        <x:v>1</x:v>
      </x:c>
      <x:c r="AN714" s="37" t="n">
        <x:f>ROUND((AD714*0.20+AE714*0.20+AF714*0.25+AG714*0.15+MIN(100,AC714*12)*0.20),1)</x:f>
        <x:v>72.8</x:v>
      </x:c>
      <x:c r="AO714" s="37" t="n">
        <x:f>ROUND(MAX(0,MIN(100,(X714*0.35)+(W714/45*100*0.20)+((5-O714)/4*100*0.15)+((5-P714)/4*100*0.10)+((6-Y714)/5*100*0.10)+((100-Z714)*0.10))),1)</x:f>
        <x:v>45.3</x:v>
      </x:c>
      <x:c r="AP714" s="37" t="str">
        <x:f>IF(AO714&gt;=70,"High",IF(AO714&gt;=40,"Moderate","Low"))</x:f>
        <x:v>Moderate</x:v>
      </x:c>
      <x:c r="AQ714" s="37" t="n">
        <x:f>ROUND(MAX(0,MIN(100,(O714/4*100*0.25)+(P714/4*100*0.20)+(Q714/4*100*0.15)+(Y714/5*100*0.20)+(100-AO714)*0.20)),1)</x:f>
        <x:v>65.9</x:v>
      </x:c>
      <x:c r="AR714" s="37" t="n">
        <x:f>ROUND((AI714*0.20+AJ714*0.15+AN714*0.18+AG714*0.12+Z714*0.15+AQ714*0.20),1)</x:f>
        <x:v>80.9</x:v>
      </x:c>
      <x:c r="AS714" s="39" t="n">
        <x:f>ROUND((AC714*AF714*120)+(AH714*350)+(MAX(0,AI714-75)*220)+(MAX(0,AQ714-60)*100),0)</x:f>
        <x:v>51294</x:v>
      </x:c>
    </x:row>
    <x:row r="715">
      <x:c r="A715" s="35" t="n">
        <x:v>714</x:v>
      </x:c>
      <x:c r="B715" s="35" t="n">
        <x:v>37</x:v>
      </x:c>
      <x:c r="C715" s="35" t="str">
        <x:v>Male</x:v>
      </x:c>
      <x:c r="D715" s="35" t="str">
        <x:v>Research &amp; Development</x:v>
      </x:c>
      <x:c r="E715" s="35" t="str">
        <x:v>R&amp;D Manager</x:v>
      </x:c>
      <x:c r="F715" s="35" t="str">
        <x:v>Medical</x:v>
      </x:c>
      <x:c r="G715" s="35" t="str">
        <x:v>Married</x:v>
      </x:c>
      <x:c r="H715" s="35" t="n">
        <x:v>1</x:v>
      </x:c>
      <x:c r="I715" s="36" t="n">
        <x:v>4630</x:v>
      </x:c>
      <x:c r="J715" s="35" t="n">
        <x:v>11</x:v>
      </x:c>
      <x:c r="K715" s="35" t="n">
        <x:v>9</x:v>
      </x:c>
      <x:c r="L715" s="35" t="n">
        <x:v>7</x:v>
      </x:c>
      <x:c r="M715" s="35" t="n">
        <x:v>15</x:v>
      </x:c>
      <x:c r="N715" s="35" t="str">
        <x:v>Yes</x:v>
      </x:c>
      <x:c r="O715" s="35" t="n">
        <x:v>2</x:v>
      </x:c>
      <x:c r="P715" s="35" t="n">
        <x:v>4</x:v>
      </x:c>
      <x:c r="Q715" s="35" t="n">
        <x:v>3</x:v>
      </x:c>
      <x:c r="R715" s="35" t="n">
        <x:v>2</x:v>
      </x:c>
      <x:c r="S715" s="35" t="n">
        <x:v>4</x:v>
      </x:c>
      <x:c r="T715" s="35" t="n">
        <x:v>5</x:v>
      </x:c>
      <x:c r="U715" s="35" t="n">
        <x:v>0</x:v>
      </x:c>
      <x:c r="V715" s="35" t="n">
        <x:v>2</x:v>
      </x:c>
      <x:c r="W715" s="35" t="n">
        <x:v>20</x:v>
      </x:c>
      <x:c r="X715" s="35" t="n">
        <x:v>76</x:v>
      </x:c>
      <x:c r="Y715" s="35" t="n">
        <x:v>4</x:v>
      </x:c>
      <x:c r="Z715" s="35" t="n">
        <x:v>98</x:v>
      </x:c>
      <x:c r="AA715" s="35" t="n">
        <x:v>15</x:v>
      </x:c>
      <x:c r="AB715" s="35" t="n">
        <x:v>11</x:v>
      </x:c>
      <x:c r="AC715" s="35" t="n">
        <x:v>8</x:v>
      </x:c>
      <x:c r="AD715" s="35" t="n">
        <x:v>84</x:v>
      </x:c>
      <x:c r="AE715" s="35" t="n">
        <x:v>80</x:v>
      </x:c>
      <x:c r="AF715" s="35" t="n">
        <x:v>92</x:v>
      </x:c>
      <x:c r="AG715" s="35" t="n">
        <x:v>79</x:v>
      </x:c>
      <x:c r="AH715" s="35" t="n">
        <x:v>12</x:v>
      </x:c>
      <x:c r="AI715" s="37" t="n">
        <x:v>97.6</x:v>
      </x:c>
      <x:c r="AJ715" s="37" t="n">
        <x:v>99.4</x:v>
      </x:c>
      <x:c r="AK715" s="35" t="str">
        <x:v>Yes</x:v>
      </x:c>
      <x:c r="AL715" s="38" t="n">
        <x:f>IF(AA715=0,0,AB715/AA715)</x:f>
        <x:v>0.7333333333333333</x:v>
      </x:c>
      <x:c r="AM715" s="38" t="n">
        <x:f>IF(AB715=0,0,AC715/AB715)</x:f>
        <x:v>0.7272727272727273</x:v>
      </x:c>
      <x:c r="AN715" s="37" t="n">
        <x:f>ROUND((AD715*0.20+AE715*0.20+AF715*0.25+AG715*0.15+MIN(100,AC715*12)*0.20),1)</x:f>
        <x:v>86.9</x:v>
      </x:c>
      <x:c r="AO715" s="37" t="n">
        <x:f>ROUND(MAX(0,MIN(100,(X715*0.35)+(W715/45*100*0.20)+((5-O715)/4*100*0.15)+((5-P715)/4*100*0.10)+((6-Y715)/5*100*0.10)+((100-Z715)*0.10))),1)</x:f>
        <x:v>53.4</x:v>
      </x:c>
      <x:c r="AP715" s="37" t="str">
        <x:f>IF(AO715&gt;=70,"High",IF(AO715&gt;=40,"Moderate","Low"))</x:f>
        <x:v>Moderate</x:v>
      </x:c>
      <x:c r="AQ715" s="37" t="n">
        <x:f>ROUND(MAX(0,MIN(100,(O715/4*100*0.25)+(P715/4*100*0.20)+(Q715/4*100*0.15)+(Y715/5*100*0.20)+(100-AO715)*0.20)),1)</x:f>
        <x:v>69.1</x:v>
      </x:c>
      <x:c r="AR715" s="37" t="n">
        <x:f>ROUND((AI715*0.20+AJ715*0.15+AN715*0.18+AG715*0.12+Z715*0.15+AQ715*0.20),1)</x:f>
        <x:v>88.1</x:v>
      </x:c>
      <x:c r="AS715" s="39" t="n">
        <x:f>ROUND((AC715*AF715*120)+(AH715*350)+(MAX(0,AI715-75)*220)+(MAX(0,AQ715-60)*100),0)</x:f>
        <x:v>98402</x:v>
      </x:c>
    </x:row>
    <x:row r="716">
      <x:c r="A716" s="35" t="n">
        <x:v>715</x:v>
      </x:c>
      <x:c r="B716" s="35" t="n">
        <x:v>26</x:v>
      </x:c>
      <x:c r="C716" s="35" t="str">
        <x:v>Male</x:v>
      </x:c>
      <x:c r="D716" s="35" t="str">
        <x:v>Marketing</x:v>
      </x:c>
      <x:c r="E716" s="35" t="str">
        <x:v>Marketing Specialist</x:v>
      </x:c>
      <x:c r="F716" s="35" t="str">
        <x:v>Medical</x:v>
      </x:c>
      <x:c r="G716" s="35" t="str">
        <x:v>Married</x:v>
      </x:c>
      <x:c r="H716" s="35" t="n">
        <x:v>2</x:v>
      </x:c>
      <x:c r="I716" s="36" t="n">
        <x:v>7700</x:v>
      </x:c>
      <x:c r="J716" s="35" t="n">
        <x:v>3</x:v>
      </x:c>
      <x:c r="K716" s="35" t="n">
        <x:v>1</x:v>
      </x:c>
      <x:c r="L716" s="35" t="n">
        <x:v>1</x:v>
      </x:c>
      <x:c r="M716" s="35" t="n">
        <x:v>7</x:v>
      </x:c>
      <x:c r="N716" s="35" t="str">
        <x:v>No</x:v>
      </x:c>
      <x:c r="O716" s="35" t="n">
        <x:v>3</x:v>
      </x:c>
      <x:c r="P716" s="35" t="n">
        <x:v>4</x:v>
      </x:c>
      <x:c r="Q716" s="35" t="n">
        <x:v>2</x:v>
      </x:c>
      <x:c r="R716" s="35" t="n">
        <x:v>3</x:v>
      </x:c>
      <x:c r="S716" s="35" t="n">
        <x:v>3</x:v>
      </x:c>
      <x:c r="T716" s="35" t="n">
        <x:v>1</x:v>
      </x:c>
      <x:c r="U716" s="35" t="n">
        <x:v>0</x:v>
      </x:c>
      <x:c r="V716" s="35" t="n">
        <x:v>0</x:v>
      </x:c>
      <x:c r="W716" s="35" t="n">
        <x:v>16</x:v>
      </x:c>
      <x:c r="X716" s="35" t="n">
        <x:v>55</x:v>
      </x:c>
      <x:c r="Y716" s="35" t="n">
        <x:v>5</x:v>
      </x:c>
      <x:c r="Z716" s="35" t="n">
        <x:v>100</x:v>
      </x:c>
      <x:c r="AA716" s="35" t="n">
        <x:v>6</x:v>
      </x:c>
      <x:c r="AB716" s="35" t="n">
        <x:v>5</x:v>
      </x:c>
      <x:c r="AC716" s="35" t="n">
        <x:v>5</x:v>
      </x:c>
      <x:c r="AD716" s="35" t="n">
        <x:v>64</x:v>
      </x:c>
      <x:c r="AE716" s="35" t="n">
        <x:v>80</x:v>
      </x:c>
      <x:c r="AF716" s="35" t="n">
        <x:v>76</x:v>
      </x:c>
      <x:c r="AG716" s="35" t="n">
        <x:v>79</x:v>
      </x:c>
      <x:c r="AH716" s="35" t="n">
        <x:v>4</x:v>
      </x:c>
      <x:c r="AI716" s="37" t="n">
        <x:v>90.1</x:v>
      </x:c>
      <x:c r="AJ716" s="37" t="n">
        <x:v>99</x:v>
      </x:c>
      <x:c r="AK716" s="35" t="str">
        <x:v>No</x:v>
      </x:c>
      <x:c r="AL716" s="38" t="n">
        <x:f>IF(AA716=0,0,AB716/AA716)</x:f>
        <x:v>0.8333333333333334</x:v>
      </x:c>
      <x:c r="AM716" s="38" t="n">
        <x:f>IF(AB716=0,0,AC716/AB716)</x:f>
        <x:v>1</x:v>
      </x:c>
      <x:c r="AN716" s="37" t="n">
        <x:f>ROUND((AD716*0.20+AE716*0.20+AF716*0.25+AG716*0.15+MIN(100,AC716*12)*0.20),1)</x:f>
        <x:v>71.7</x:v>
      </x:c>
      <x:c r="AO716" s="37" t="n">
        <x:f>ROUND(MAX(0,MIN(100,(X716*0.35)+(W716/45*100*0.20)+((5-O716)/4*100*0.15)+((5-P716)/4*100*0.10)+((6-Y716)/5*100*0.10)+((100-Z716)*0.10))),1)</x:f>
        <x:v>38.4</x:v>
      </x:c>
      <x:c r="AP716" s="37" t="str">
        <x:f>IF(AO716&gt;=70,"High",IF(AO716&gt;=40,"Moderate","Low"))</x:f>
        <x:v>Low</x:v>
      </x:c>
      <x:c r="AQ716" s="37" t="n">
        <x:f>ROUND(MAX(0,MIN(100,(O716/4*100*0.25)+(P716/4*100*0.20)+(Q716/4*100*0.15)+(Y716/5*100*0.20)+(100-AO716)*0.20)),1)</x:f>
        <x:v>78.6</x:v>
      </x:c>
      <x:c r="AR716" s="37" t="n">
        <x:f>ROUND((AI716*0.20+AJ716*0.15+AN716*0.18+AG716*0.12+Z716*0.15+AQ716*0.20),1)</x:f>
        <x:v>86</x:v>
      </x:c>
      <x:c r="AS716" s="39" t="n">
        <x:f>ROUND((AC716*AF716*120)+(AH716*350)+(MAX(0,AI716-75)*220)+(MAX(0,AQ716-60)*100),0)</x:f>
        <x:v>52182</x:v>
      </x:c>
    </x:row>
    <x:row r="717">
      <x:c r="A717" s="35" t="n">
        <x:v>716</x:v>
      </x:c>
      <x:c r="B717" s="35" t="n">
        <x:v>39</x:v>
      </x:c>
      <x:c r="C717" s="35" t="str">
        <x:v>Male</x:v>
      </x:c>
      <x:c r="D717" s="35" t="str">
        <x:v>Human Resources</x:v>
      </x:c>
      <x:c r="E717" s="35" t="str">
        <x:v>HR Specialist</x:v>
      </x:c>
      <x:c r="F717" s="35" t="str">
        <x:v>Medical</x:v>
      </x:c>
      <x:c r="G717" s="35" t="str">
        <x:v>Married</x:v>
      </x:c>
      <x:c r="H717" s="35" t="n">
        <x:v>3</x:v>
      </x:c>
      <x:c r="I717" s="36" t="n">
        <x:v>14510</x:v>
      </x:c>
      <x:c r="J717" s="35" t="n">
        <x:v>10</x:v>
      </x:c>
      <x:c r="K717" s="35" t="n">
        <x:v>3</x:v>
      </x:c>
      <x:c r="L717" s="35" t="n">
        <x:v>2</x:v>
      </x:c>
      <x:c r="M717" s="35" t="n">
        <x:v>10</x:v>
      </x:c>
      <x:c r="N717" s="35" t="str">
        <x:v>No</x:v>
      </x:c>
      <x:c r="O717" s="35" t="n">
        <x:v>3</x:v>
      </x:c>
      <x:c r="P717" s="35" t="n">
        <x:v>2</x:v>
      </x:c>
      <x:c r="Q717" s="35" t="n">
        <x:v>2</x:v>
      </x:c>
      <x:c r="R717" s="35" t="n">
        <x:v>3</x:v>
      </x:c>
      <x:c r="S717" s="35" t="n">
        <x:v>4</x:v>
      </x:c>
      <x:c r="T717" s="35" t="n">
        <x:v>1</x:v>
      </x:c>
      <x:c r="U717" s="35" t="n">
        <x:v>3</x:v>
      </x:c>
      <x:c r="V717" s="35" t="n">
        <x:v>2</x:v>
      </x:c>
      <x:c r="W717" s="35" t="n">
        <x:v>6</x:v>
      </x:c>
      <x:c r="X717" s="35" t="n">
        <x:v>37</x:v>
      </x:c>
      <x:c r="Y717" s="35" t="n">
        <x:v>5</x:v>
      </x:c>
      <x:c r="Z717" s="35" t="n">
        <x:v>100</x:v>
      </x:c>
      <x:c r="AA717" s="35" t="n">
        <x:v>10</x:v>
      </x:c>
      <x:c r="AB717" s="35" t="n">
        <x:v>6</x:v>
      </x:c>
      <x:c r="AC717" s="35" t="n">
        <x:v>5</x:v>
      </x:c>
      <x:c r="AD717" s="35" t="n">
        <x:v>74</x:v>
      </x:c>
      <x:c r="AE717" s="35" t="n">
        <x:v>94</x:v>
      </x:c>
      <x:c r="AF717" s="35" t="n">
        <x:v>93</x:v>
      </x:c>
      <x:c r="AG717" s="35" t="n">
        <x:v>80</x:v>
      </x:c>
      <x:c r="AH717" s="35" t="n">
        <x:v>12</x:v>
      </x:c>
      <x:c r="AI717" s="37" t="n">
        <x:v>100</x:v>
      </x:c>
      <x:c r="AJ717" s="37" t="n">
        <x:v>90.1</x:v>
      </x:c>
      <x:c r="AK717" s="35" t="str">
        <x:v>No</x:v>
      </x:c>
      <x:c r="AL717" s="38" t="n">
        <x:f>IF(AA717=0,0,AB717/AA717)</x:f>
        <x:v>0.6</x:v>
      </x:c>
      <x:c r="AM717" s="38" t="n">
        <x:f>IF(AB717=0,0,AC717/AB717)</x:f>
        <x:v>0.8333333333333334</x:v>
      </x:c>
      <x:c r="AN717" s="37" t="n">
        <x:f>ROUND((AD717*0.20+AE717*0.20+AF717*0.25+AG717*0.15+MIN(100,AC717*12)*0.20),1)</x:f>
        <x:v>80.9</x:v>
      </x:c>
      <x:c r="AO717" s="37" t="n">
        <x:f>ROUND(MAX(0,MIN(100,(X717*0.35)+(W717/45*100*0.20)+((5-O717)/4*100*0.15)+((5-P717)/4*100*0.10)+((6-Y717)/5*100*0.10)+((100-Z717)*0.10))),1)</x:f>
        <x:v>32.6</x:v>
      </x:c>
      <x:c r="AP717" s="37" t="str">
        <x:f>IF(AO717&gt;=70,"High",IF(AO717&gt;=40,"Moderate","Low"))</x:f>
        <x:v>Low</x:v>
      </x:c>
      <x:c r="AQ717" s="37" t="n">
        <x:f>ROUND(MAX(0,MIN(100,(O717/4*100*0.25)+(P717/4*100*0.20)+(Q717/4*100*0.15)+(Y717/5*100*0.20)+(100-AO717)*0.20)),1)</x:f>
        <x:v>69.7</x:v>
      </x:c>
      <x:c r="AR717" s="37" t="n">
        <x:f>ROUND((AI717*0.20+AJ717*0.15+AN717*0.18+AG717*0.12+Z717*0.15+AQ717*0.20),1)</x:f>
        <x:v>86.6</x:v>
      </x:c>
      <x:c r="AS717" s="39" t="n">
        <x:f>ROUND((AC717*AF717*120)+(AH717*350)+(MAX(0,AI717-75)*220)+(MAX(0,AQ717-60)*100),0)</x:f>
        <x:v>66470</x:v>
      </x:c>
    </x:row>
    <x:row r="718">
      <x:c r="A718" s="35" t="n">
        <x:v>717</x:v>
      </x:c>
      <x:c r="B718" s="35" t="n">
        <x:v>32</x:v>
      </x:c>
      <x:c r="C718" s="35" t="str">
        <x:v>Male</x:v>
      </x:c>
      <x:c r="D718" s="35" t="str">
        <x:v>Information Technology</x:v>
      </x:c>
      <x:c r="E718" s="35" t="str">
        <x:v>IT Manager</x:v>
      </x:c>
      <x:c r="F718" s="35" t="str">
        <x:v>Computer Science</x:v>
      </x:c>
      <x:c r="G718" s="35" t="str">
        <x:v>Married</x:v>
      </x:c>
      <x:c r="H718" s="35" t="n">
        <x:v>2</x:v>
      </x:c>
      <x:c r="I718" s="36" t="n">
        <x:v>8130</x:v>
      </x:c>
      <x:c r="J718" s="35" t="n">
        <x:v>7</x:v>
      </x:c>
      <x:c r="K718" s="35" t="n">
        <x:v>4</x:v>
      </x:c>
      <x:c r="L718" s="35" t="n">
        <x:v>2</x:v>
      </x:c>
      <x:c r="M718" s="35" t="n">
        <x:v>10</x:v>
      </x:c>
      <x:c r="N718" s="35" t="str">
        <x:v>No</x:v>
      </x:c>
      <x:c r="O718" s="35" t="n">
        <x:v>2</x:v>
      </x:c>
      <x:c r="P718" s="35" t="n">
        <x:v>4</x:v>
      </x:c>
      <x:c r="Q718" s="35" t="n">
        <x:v>4</x:v>
      </x:c>
      <x:c r="R718" s="35" t="n">
        <x:v>4</x:v>
      </x:c>
      <x:c r="S718" s="35" t="n">
        <x:v>4</x:v>
      </x:c>
      <x:c r="T718" s="35" t="n">
        <x:v>3</x:v>
      </x:c>
      <x:c r="U718" s="35" t="n">
        <x:v>1</x:v>
      </x:c>
      <x:c r="V718" s="35" t="n">
        <x:v>6</x:v>
      </x:c>
      <x:c r="W718" s="35" t="n">
        <x:v>7</x:v>
      </x:c>
      <x:c r="X718" s="35" t="n">
        <x:v>71</x:v>
      </x:c>
      <x:c r="Y718" s="35" t="n">
        <x:v>5</x:v>
      </x:c>
      <x:c r="Z718" s="35" t="n">
        <x:v>100</x:v>
      </x:c>
      <x:c r="AA718" s="35" t="n">
        <x:v>1</x:v>
      </x:c>
      <x:c r="AB718" s="35" t="n">
        <x:v>1</x:v>
      </x:c>
      <x:c r="AC718" s="35" t="n">
        <x:v>1</x:v>
      </x:c>
      <x:c r="AD718" s="35" t="n">
        <x:v>83</x:v>
      </x:c>
      <x:c r="AE718" s="35" t="n">
        <x:v>71</x:v>
      </x:c>
      <x:c r="AF718" s="35" t="n">
        <x:v>73</x:v>
      </x:c>
      <x:c r="AG718" s="35" t="n">
        <x:v>100</x:v>
      </x:c>
      <x:c r="AH718" s="35" t="n">
        <x:v>10</x:v>
      </x:c>
      <x:c r="AI718" s="37" t="n">
        <x:v>100</x:v>
      </x:c>
      <x:c r="AJ718" s="37" t="n">
        <x:v>100</x:v>
      </x:c>
      <x:c r="AK718" s="35" t="str">
        <x:v>No</x:v>
      </x:c>
      <x:c r="AL718" s="38" t="n">
        <x:f>IF(AA718=0,0,AB718/AA718)</x:f>
        <x:v>1</x:v>
      </x:c>
      <x:c r="AM718" s="38" t="n">
        <x:f>IF(AB718=0,0,AC718/AB718)</x:f>
        <x:v>1</x:v>
      </x:c>
      <x:c r="AN718" s="37" t="n">
        <x:f>ROUND((AD718*0.20+AE718*0.20+AF718*0.25+AG718*0.15+MIN(100,AC718*12)*0.20),1)</x:f>
        <x:v>66.5</x:v>
      </x:c>
      <x:c r="AO718" s="37" t="n">
        <x:f>ROUND(MAX(0,MIN(100,(X718*0.35)+(W718/45*100*0.20)+((5-O718)/4*100*0.15)+((5-P718)/4*100*0.10)+((6-Y718)/5*100*0.10)+((100-Z718)*0.10))),1)</x:f>
        <x:v>43.7</x:v>
      </x:c>
      <x:c r="AP718" s="37" t="str">
        <x:f>IF(AO718&gt;=70,"High",IF(AO718&gt;=40,"Moderate","Low"))</x:f>
        <x:v>Moderate</x:v>
      </x:c>
      <x:c r="AQ718" s="37" t="n">
        <x:f>ROUND(MAX(0,MIN(100,(O718/4*100*0.25)+(P718/4*100*0.20)+(Q718/4*100*0.15)+(Y718/5*100*0.20)+(100-AO718)*0.20)),1)</x:f>
        <x:v>78.8</x:v>
      </x:c>
      <x:c r="AR718" s="37" t="n">
        <x:f>ROUND((AI718*0.20+AJ718*0.15+AN718*0.18+AG718*0.12+Z718*0.15+AQ718*0.20),1)</x:f>
        <x:v>89.7</x:v>
      </x:c>
      <x:c r="AS718" s="39" t="n">
        <x:f>ROUND((AC718*AF718*120)+(AH718*350)+(MAX(0,AI718-75)*220)+(MAX(0,AQ718-60)*100),0)</x:f>
        <x:v>19640</x:v>
      </x:c>
    </x:row>
    <x:row r="719">
      <x:c r="A719" s="35" t="n">
        <x:v>718</x:v>
      </x:c>
      <x:c r="B719" s="35" t="n">
        <x:v>35</x:v>
      </x:c>
      <x:c r="C719" s="35" t="str">
        <x:v>Male</x:v>
      </x:c>
      <x:c r="D719" s="35" t="str">
        <x:v>Sales</x:v>
      </x:c>
      <x:c r="E719" s="35" t="str">
        <x:v>Account Manager</x:v>
      </x:c>
      <x:c r="F719" s="35" t="str">
        <x:v>Medical</x:v>
      </x:c>
      <x:c r="G719" s="35" t="str">
        <x:v>Divorced</x:v>
      </x:c>
      <x:c r="H719" s="35" t="n">
        <x:v>3</x:v>
      </x:c>
      <x:c r="I719" s="36" t="n">
        <x:v>14790</x:v>
      </x:c>
      <x:c r="J719" s="35" t="n">
        <x:v>10</x:v>
      </x:c>
      <x:c r="K719" s="35" t="n">
        <x:v>4</x:v>
      </x:c>
      <x:c r="L719" s="35" t="n">
        <x:v>3</x:v>
      </x:c>
      <x:c r="M719" s="35" t="n">
        <x:v>14</x:v>
      </x:c>
      <x:c r="N719" s="35" t="str">
        <x:v>No</x:v>
      </x:c>
      <x:c r="O719" s="35" t="n">
        <x:v>1</x:v>
      </x:c>
      <x:c r="P719" s="35" t="n">
        <x:v>2</x:v>
      </x:c>
      <x:c r="Q719" s="35" t="n">
        <x:v>3</x:v>
      </x:c>
      <x:c r="R719" s="35" t="n">
        <x:v>3</x:v>
      </x:c>
      <x:c r="S719" s="35" t="n">
        <x:v>3</x:v>
      </x:c>
      <x:c r="T719" s="35" t="n">
        <x:v>6</x:v>
      </x:c>
      <x:c r="U719" s="35" t="n">
        <x:v>0</x:v>
      </x:c>
      <x:c r="V719" s="35" t="n">
        <x:v>7</x:v>
      </x:c>
      <x:c r="W719" s="35" t="n">
        <x:v>0</x:v>
      </x:c>
      <x:c r="X719" s="35" t="n">
        <x:v>82</x:v>
      </x:c>
      <x:c r="Y719" s="35" t="n">
        <x:v>4</x:v>
      </x:c>
      <x:c r="Z719" s="35" t="n">
        <x:v>92</x:v>
      </x:c>
      <x:c r="AA719" s="35" t="n">
        <x:v>4</x:v>
      </x:c>
      <x:c r="AB719" s="35" t="n">
        <x:v>3</x:v>
      </x:c>
      <x:c r="AC719" s="35" t="n">
        <x:v>3</x:v>
      </x:c>
      <x:c r="AD719" s="35" t="n">
        <x:v>68</x:v>
      </x:c>
      <x:c r="AE719" s="35" t="n">
        <x:v>100</x:v>
      </x:c>
      <x:c r="AF719" s="35" t="n">
        <x:v>96</x:v>
      </x:c>
      <x:c r="AG719" s="35" t="n">
        <x:v>100</x:v>
      </x:c>
      <x:c r="AH719" s="35" t="n">
        <x:v>7</x:v>
      </x:c>
      <x:c r="AI719" s="37" t="n">
        <x:v>100</x:v>
      </x:c>
      <x:c r="AJ719" s="37" t="n">
        <x:v>76.2</x:v>
      </x:c>
      <x:c r="AK719" s="35" t="str">
        <x:v>No</x:v>
      </x:c>
      <x:c r="AL719" s="38" t="n">
        <x:f>IF(AA719=0,0,AB719/AA719)</x:f>
        <x:v>0.75</x:v>
      </x:c>
      <x:c r="AM719" s="38" t="n">
        <x:f>IF(AB719=0,0,AC719/AB719)</x:f>
        <x:v>1</x:v>
      </x:c>
      <x:c r="AN719" s="37" t="n">
        <x:f>ROUND((AD719*0.20+AE719*0.20+AF719*0.25+AG719*0.15+MIN(100,AC719*12)*0.20),1)</x:f>
        <x:v>79.8</x:v>
      </x:c>
      <x:c r="AO719" s="37" t="n">
        <x:f>ROUND(MAX(0,MIN(100,(X719*0.35)+(W719/45*100*0.20)+((5-O719)/4*100*0.15)+((5-P719)/4*100*0.10)+((6-Y719)/5*100*0.10)+((100-Z719)*0.10))),1)</x:f>
        <x:v>56</x:v>
      </x:c>
      <x:c r="AP719" s="37" t="str">
        <x:f>IF(AO719&gt;=70,"High",IF(AO719&gt;=40,"Moderate","Low"))</x:f>
        <x:v>Moderate</x:v>
      </x:c>
      <x:c r="AQ719" s="37" t="n">
        <x:f>ROUND(MAX(0,MIN(100,(O719/4*100*0.25)+(P719/4*100*0.20)+(Q719/4*100*0.15)+(Y719/5*100*0.20)+(100-AO719)*0.20)),1)</x:f>
        <x:v>52.3</x:v>
      </x:c>
      <x:c r="AR719" s="37" t="n">
        <x:f>ROUND((AI719*0.20+AJ719*0.15+AN719*0.18+AG719*0.12+Z719*0.15+AQ719*0.20),1)</x:f>
        <x:v>82.1</x:v>
      </x:c>
      <x:c r="AS719" s="39" t="n">
        <x:f>ROUND((AC719*AF719*120)+(AH719*350)+(MAX(0,AI719-75)*220)+(MAX(0,AQ719-60)*100),0)</x:f>
        <x:v>42510</x:v>
      </x:c>
    </x:row>
    <x:row r="720">
      <x:c r="A720" s="35" t="n">
        <x:v>719</x:v>
      </x:c>
      <x:c r="B720" s="35" t="n">
        <x:v>40</x:v>
      </x:c>
      <x:c r="C720" s="35" t="str">
        <x:v>Female</x:v>
      </x:c>
      <x:c r="D720" s="35" t="str">
        <x:v>Research &amp; Development</x:v>
      </x:c>
      <x:c r="E720" s="35" t="str">
        <x:v>Research Scientist</x:v>
      </x:c>
      <x:c r="F720" s="35" t="str">
        <x:v>Human Resources</x:v>
      </x:c>
      <x:c r="G720" s="35" t="str">
        <x:v>Divorced</x:v>
      </x:c>
      <x:c r="H720" s="35" t="n">
        <x:v>4</x:v>
      </x:c>
      <x:c r="I720" s="36" t="n">
        <x:v>13200</x:v>
      </x:c>
      <x:c r="J720" s="35" t="n">
        <x:v>16</x:v>
      </x:c>
      <x:c r="K720" s="35" t="n">
        <x:v>8</x:v>
      </x:c>
      <x:c r="L720" s="35" t="n">
        <x:v>5</x:v>
      </x:c>
      <x:c r="M720" s="35" t="n">
        <x:v>14</x:v>
      </x:c>
      <x:c r="N720" s="35" t="str">
        <x:v>No</x:v>
      </x:c>
      <x:c r="O720" s="35" t="n">
        <x:v>4</x:v>
      </x:c>
      <x:c r="P720" s="35" t="n">
        <x:v>4</x:v>
      </x:c>
      <x:c r="Q720" s="35" t="n">
        <x:v>2</x:v>
      </x:c>
      <x:c r="R720" s="35" t="n">
        <x:v>3</x:v>
      </x:c>
      <x:c r="S720" s="35" t="n">
        <x:v>3</x:v>
      </x:c>
      <x:c r="T720" s="35" t="n">
        <x:v>5</x:v>
      </x:c>
      <x:c r="U720" s="35" t="n">
        <x:v>2</x:v>
      </x:c>
      <x:c r="V720" s="35" t="n">
        <x:v>8</x:v>
      </x:c>
      <x:c r="W720" s="35" t="n">
        <x:v>0</x:v>
      </x:c>
      <x:c r="X720" s="35" t="n">
        <x:v>61</x:v>
      </x:c>
      <x:c r="Y720" s="35" t="n">
        <x:v>5</x:v>
      </x:c>
      <x:c r="Z720" s="35" t="n">
        <x:v>100</x:v>
      </x:c>
      <x:c r="AA720" s="35" t="n">
        <x:v>2</x:v>
      </x:c>
      <x:c r="AB720" s="35" t="n">
        <x:v>2</x:v>
      </x:c>
      <x:c r="AC720" s="35" t="n">
        <x:v>2</x:v>
      </x:c>
      <x:c r="AD720" s="35" t="n">
        <x:v>74</x:v>
      </x:c>
      <x:c r="AE720" s="35" t="n">
        <x:v>68</x:v>
      </x:c>
      <x:c r="AF720" s="35" t="n">
        <x:v>63</x:v>
      </x:c>
      <x:c r="AG720" s="35" t="n">
        <x:v>92</x:v>
      </x:c>
      <x:c r="AH720" s="35" t="n">
        <x:v>6</x:v>
      </x:c>
      <x:c r="AI720" s="37" t="n">
        <x:v>97.8</x:v>
      </x:c>
      <x:c r="AJ720" s="37" t="n">
        <x:v>89.8</x:v>
      </x:c>
      <x:c r="AK720" s="35" t="str">
        <x:v>No</x:v>
      </x:c>
      <x:c r="AL720" s="38" t="n">
        <x:f>IF(AA720=0,0,AB720/AA720)</x:f>
        <x:v>1</x:v>
      </x:c>
      <x:c r="AM720" s="38" t="n">
        <x:f>IF(AB720=0,0,AC720/AB720)</x:f>
        <x:v>1</x:v>
      </x:c>
      <x:c r="AN720" s="37" t="n">
        <x:f>ROUND((AD720*0.20+AE720*0.20+AF720*0.25+AG720*0.15+MIN(100,AC720*12)*0.20),1)</x:f>
        <x:v>62.8</x:v>
      </x:c>
      <x:c r="AO720" s="37" t="n">
        <x:f>ROUND(MAX(0,MIN(100,(X720*0.35)+(W720/45*100*0.20)+((5-O720)/4*100*0.15)+((5-P720)/4*100*0.10)+((6-Y720)/5*100*0.10)+((100-Z720)*0.10))),1)</x:f>
        <x:v>29.6</x:v>
      </x:c>
      <x:c r="AP720" s="37" t="str">
        <x:f>IF(AO720&gt;=70,"High",IF(AO720&gt;=40,"Moderate","Low"))</x:f>
        <x:v>Low</x:v>
      </x:c>
      <x:c r="AQ720" s="37" t="n">
        <x:f>ROUND(MAX(0,MIN(100,(O720/4*100*0.25)+(P720/4*100*0.20)+(Q720/4*100*0.15)+(Y720/5*100*0.20)+(100-AO720)*0.20)),1)</x:f>
        <x:v>86.6</x:v>
      </x:c>
      <x:c r="AR720" s="37" t="n">
        <x:f>ROUND((AI720*0.20+AJ720*0.15+AN720*0.18+AG720*0.12+Z720*0.15+AQ720*0.20),1)</x:f>
        <x:v>87.7</x:v>
      </x:c>
      <x:c r="AS720" s="39" t="n">
        <x:f>ROUND((AC720*AF720*120)+(AH720*350)+(MAX(0,AI720-75)*220)+(MAX(0,AQ720-60)*100),0)</x:f>
        <x:v>24896</x:v>
      </x:c>
    </x:row>
    <x:row r="721">
      <x:c r="A721" s="35" t="n">
        <x:v>720</x:v>
      </x:c>
      <x:c r="B721" s="35" t="n">
        <x:v>43</x:v>
      </x:c>
      <x:c r="C721" s="35" t="str">
        <x:v>Female</x:v>
      </x:c>
      <x:c r="D721" s="35" t="str">
        <x:v>Operations</x:v>
      </x:c>
      <x:c r="E721" s="35" t="str">
        <x:v>Operations Manager</x:v>
      </x:c>
      <x:c r="F721" s="35" t="str">
        <x:v>Marketing</x:v>
      </x:c>
      <x:c r="G721" s="35" t="str">
        <x:v>Married</x:v>
      </x:c>
      <x:c r="H721" s="35" t="n">
        <x:v>2</x:v>
      </x:c>
      <x:c r="I721" s="36" t="n">
        <x:v>9890</x:v>
      </x:c>
      <x:c r="J721" s="35" t="n">
        <x:v>17</x:v>
      </x:c>
      <x:c r="K721" s="35" t="n">
        <x:v>7</x:v>
      </x:c>
      <x:c r="L721" s="35" t="n">
        <x:v>4</x:v>
      </x:c>
      <x:c r="M721" s="35" t="n">
        <x:v>1</x:v>
      </x:c>
      <x:c r="N721" s="35" t="str">
        <x:v>Yes</x:v>
      </x:c>
      <x:c r="O721" s="35" t="n">
        <x:v>3</x:v>
      </x:c>
      <x:c r="P721" s="35" t="n">
        <x:v>3</x:v>
      </x:c>
      <x:c r="Q721" s="35" t="n">
        <x:v>4</x:v>
      </x:c>
      <x:c r="R721" s="35" t="n">
        <x:v>4</x:v>
      </x:c>
      <x:c r="S721" s="35" t="n">
        <x:v>4</x:v>
      </x:c>
      <x:c r="T721" s="35" t="n">
        <x:v>4</x:v>
      </x:c>
      <x:c r="U721" s="35" t="n">
        <x:v>0</x:v>
      </x:c>
      <x:c r="V721" s="35" t="n">
        <x:v>9</x:v>
      </x:c>
      <x:c r="W721" s="35" t="n">
        <x:v>12</x:v>
      </x:c>
      <x:c r="X721" s="35" t="n">
        <x:v>59</x:v>
      </x:c>
      <x:c r="Y721" s="35" t="n">
        <x:v>5</x:v>
      </x:c>
      <x:c r="Z721" s="35" t="n">
        <x:v>100</x:v>
      </x:c>
      <x:c r="AA721" s="35" t="n">
        <x:v>4</x:v>
      </x:c>
      <x:c r="AB721" s="35" t="n">
        <x:v>4</x:v>
      </x:c>
      <x:c r="AC721" s="35" t="n">
        <x:v>2</x:v>
      </x:c>
      <x:c r="AD721" s="35" t="n">
        <x:v>76</x:v>
      </x:c>
      <x:c r="AE721" s="35" t="n">
        <x:v>76</x:v>
      </x:c>
      <x:c r="AF721" s="35" t="n">
        <x:v>66</x:v>
      </x:c>
      <x:c r="AG721" s="35" t="n">
        <x:v>100</x:v>
      </x:c>
      <x:c r="AH721" s="35" t="n">
        <x:v>10</x:v>
      </x:c>
      <x:c r="AI721" s="37" t="n">
        <x:v>100</x:v>
      </x:c>
      <x:c r="AJ721" s="37" t="n">
        <x:v>99.1</x:v>
      </x:c>
      <x:c r="AK721" s="35" t="str">
        <x:v>No</x:v>
      </x:c>
      <x:c r="AL721" s="38" t="n">
        <x:f>IF(AA721=0,0,AB721/AA721)</x:f>
        <x:v>1</x:v>
      </x:c>
      <x:c r="AM721" s="38" t="n">
        <x:f>IF(AB721=0,0,AC721/AB721)</x:f>
        <x:v>0.5</x:v>
      </x:c>
      <x:c r="AN721" s="37" t="n">
        <x:f>ROUND((AD721*0.20+AE721*0.20+AF721*0.25+AG721*0.15+MIN(100,AC721*12)*0.20),1)</x:f>
        <x:v>66.7</x:v>
      </x:c>
      <x:c r="AO721" s="37" t="n">
        <x:f>ROUND(MAX(0,MIN(100,(X721*0.35)+(W721/45*100*0.20)+((5-O721)/4*100*0.15)+((5-P721)/4*100*0.10)+((6-Y721)/5*100*0.10)+((100-Z721)*0.10))),1)</x:f>
        <x:v>40.5</x:v>
      </x:c>
      <x:c r="AP721" s="37" t="str">
        <x:f>IF(AO721&gt;=70,"High",IF(AO721&gt;=40,"Moderate","Low"))</x:f>
        <x:v>Moderate</x:v>
      </x:c>
      <x:c r="AQ721" s="37" t="n">
        <x:f>ROUND(MAX(0,MIN(100,(O721/4*100*0.25)+(P721/4*100*0.20)+(Q721/4*100*0.15)+(Y721/5*100*0.20)+(100-AO721)*0.20)),1)</x:f>
        <x:v>80.7</x:v>
      </x:c>
      <x:c r="AR721" s="37" t="n">
        <x:f>ROUND((AI721*0.20+AJ721*0.15+AN721*0.18+AG721*0.12+Z721*0.15+AQ721*0.20),1)</x:f>
        <x:v>90</x:v>
      </x:c>
      <x:c r="AS721" s="39" t="n">
        <x:f>ROUND((AC721*AF721*120)+(AH721*350)+(MAX(0,AI721-75)*220)+(MAX(0,AQ721-60)*100),0)</x:f>
        <x:v>26910</x:v>
      </x:c>
    </x:row>
    <x:row r="722">
      <x:c r="A722" s="35" t="n">
        <x:v>721</x:v>
      </x:c>
      <x:c r="B722" s="35" t="n">
        <x:v>42</x:v>
      </x:c>
      <x:c r="C722" s="35" t="str">
        <x:v>Female</x:v>
      </x:c>
      <x:c r="D722" s="35" t="str">
        <x:v>Human Resources</x:v>
      </x:c>
      <x:c r="E722" s="35" t="str">
        <x:v>HR Specialist</x:v>
      </x:c>
      <x:c r="F722" s="35" t="str">
        <x:v>Life Sciences</x:v>
      </x:c>
      <x:c r="G722" s="35" t="str">
        <x:v>Married</x:v>
      </x:c>
      <x:c r="H722" s="35" t="n">
        <x:v>3</x:v>
      </x:c>
      <x:c r="I722" s="36" t="n">
        <x:v>13340</x:v>
      </x:c>
      <x:c r="J722" s="35" t="n">
        <x:v>17</x:v>
      </x:c>
      <x:c r="K722" s="35" t="n">
        <x:v>9</x:v>
      </x:c>
      <x:c r="L722" s="35" t="n">
        <x:v>5</x:v>
      </x:c>
      <x:c r="M722" s="35" t="n">
        <x:v>3</x:v>
      </x:c>
      <x:c r="N722" s="35" t="str">
        <x:v>No</x:v>
      </x:c>
      <x:c r="O722" s="35" t="n">
        <x:v>3</x:v>
      </x:c>
      <x:c r="P722" s="35" t="n">
        <x:v>3</x:v>
      </x:c>
      <x:c r="Q722" s="35" t="n">
        <x:v>4</x:v>
      </x:c>
      <x:c r="R722" s="35" t="n">
        <x:v>2</x:v>
      </x:c>
      <x:c r="S722" s="35" t="n">
        <x:v>3</x:v>
      </x:c>
      <x:c r="T722" s="35" t="n">
        <x:v>2</x:v>
      </x:c>
      <x:c r="U722" s="35" t="n">
        <x:v>1</x:v>
      </x:c>
      <x:c r="V722" s="35" t="n">
        <x:v>4</x:v>
      </x:c>
      <x:c r="W722" s="35" t="n">
        <x:v>0</x:v>
      </x:c>
      <x:c r="X722" s="35" t="n">
        <x:v>49</x:v>
      </x:c>
      <x:c r="Y722" s="35" t="n">
        <x:v>5</x:v>
      </x:c>
      <x:c r="Z722" s="35" t="n">
        <x:v>98</x:v>
      </x:c>
      <x:c r="AA722" s="35" t="n">
        <x:v>4</x:v>
      </x:c>
      <x:c r="AB722" s="35" t="n">
        <x:v>2</x:v>
      </x:c>
      <x:c r="AC722" s="35" t="n">
        <x:v>2</x:v>
      </x:c>
      <x:c r="AD722" s="35" t="n">
        <x:v>58</x:v>
      </x:c>
      <x:c r="AE722" s="35" t="n">
        <x:v>83</x:v>
      </x:c>
      <x:c r="AF722" s="35" t="n">
        <x:v>66</x:v>
      </x:c>
      <x:c r="AG722" s="35" t="n">
        <x:v>93</x:v>
      </x:c>
      <x:c r="AH722" s="35" t="n">
        <x:v>5</x:v>
      </x:c>
      <x:c r="AI722" s="37" t="n">
        <x:v>98.3</x:v>
      </x:c>
      <x:c r="AJ722" s="37" t="n">
        <x:v>95.3</x:v>
      </x:c>
      <x:c r="AK722" s="35" t="str">
        <x:v>No</x:v>
      </x:c>
      <x:c r="AL722" s="38" t="n">
        <x:f>IF(AA722=0,0,AB722/AA722)</x:f>
        <x:v>0.5</x:v>
      </x:c>
      <x:c r="AM722" s="38" t="n">
        <x:f>IF(AB722=0,0,AC722/AB722)</x:f>
        <x:v>1</x:v>
      </x:c>
      <x:c r="AN722" s="37" t="n">
        <x:f>ROUND((AD722*0.20+AE722*0.20+AF722*0.25+AG722*0.15+MIN(100,AC722*12)*0.20),1)</x:f>
        <x:v>63.5</x:v>
      </x:c>
      <x:c r="AO722" s="37" t="n">
        <x:f>ROUND(MAX(0,MIN(100,(X722*0.35)+(W722/45*100*0.20)+((5-O722)/4*100*0.15)+((5-P722)/4*100*0.10)+((6-Y722)/5*100*0.10)+((100-Z722)*0.10))),1)</x:f>
        <x:v>31.9</x:v>
      </x:c>
      <x:c r="AP722" s="37" t="str">
        <x:f>IF(AO722&gt;=70,"High",IF(AO722&gt;=40,"Moderate","Low"))</x:f>
        <x:v>Low</x:v>
      </x:c>
      <x:c r="AQ722" s="37" t="n">
        <x:f>ROUND(MAX(0,MIN(100,(O722/4*100*0.25)+(P722/4*100*0.20)+(Q722/4*100*0.15)+(Y722/5*100*0.20)+(100-AO722)*0.20)),1)</x:f>
        <x:v>82.4</x:v>
      </x:c>
      <x:c r="AR722" s="37" t="n">
        <x:f>ROUND((AI722*0.20+AJ722*0.15+AN722*0.18+AG722*0.12+Z722*0.15+AQ722*0.20),1)</x:f>
        <x:v>87.7</x:v>
      </x:c>
      <x:c r="AS722" s="39" t="n">
        <x:f>ROUND((AC722*AF722*120)+(AH722*350)+(MAX(0,AI722-75)*220)+(MAX(0,AQ722-60)*100),0)</x:f>
        <x:v>24956</x:v>
      </x:c>
    </x:row>
    <x:row r="723">
      <x:c r="A723" s="35" t="n">
        <x:v>722</x:v>
      </x:c>
      <x:c r="B723" s="35" t="n">
        <x:v>32</x:v>
      </x:c>
      <x:c r="C723" s="35" t="str">
        <x:v>Female</x:v>
      </x:c>
      <x:c r="D723" s="35" t="str">
        <x:v>Finance</x:v>
      </x:c>
      <x:c r="E723" s="35" t="str">
        <x:v>Finance Manager</x:v>
      </x:c>
      <x:c r="F723" s="35" t="str">
        <x:v>Computer Science</x:v>
      </x:c>
      <x:c r="G723" s="35" t="str">
        <x:v>Married</x:v>
      </x:c>
      <x:c r="H723" s="35" t="n">
        <x:v>2</x:v>
      </x:c>
      <x:c r="I723" s="36" t="n">
        <x:v>10920</x:v>
      </x:c>
      <x:c r="J723" s="35" t="n">
        <x:v>7</x:v>
      </x:c>
      <x:c r="K723" s="35" t="n">
        <x:v>3</x:v>
      </x:c>
      <x:c r="L723" s="35" t="n">
        <x:v>1</x:v>
      </x:c>
      <x:c r="M723" s="35" t="n">
        <x:v>17</x:v>
      </x:c>
      <x:c r="N723" s="35" t="str">
        <x:v>No</x:v>
      </x:c>
      <x:c r="O723" s="35" t="n">
        <x:v>2</x:v>
      </x:c>
      <x:c r="P723" s="35" t="n">
        <x:v>3</x:v>
      </x:c>
      <x:c r="Q723" s="35" t="n">
        <x:v>4</x:v>
      </x:c>
      <x:c r="R723" s="35" t="n">
        <x:v>3</x:v>
      </x:c>
      <x:c r="S723" s="35" t="n">
        <x:v>3</x:v>
      </x:c>
      <x:c r="T723" s="35" t="n">
        <x:v>2</x:v>
      </x:c>
      <x:c r="U723" s="35" t="n">
        <x:v>0</x:v>
      </x:c>
      <x:c r="V723" s="35" t="n">
        <x:v>7</x:v>
      </x:c>
      <x:c r="W723" s="35" t="n">
        <x:v>4</x:v>
      </x:c>
      <x:c r="X723" s="35" t="n">
        <x:v>58</x:v>
      </x:c>
      <x:c r="Y723" s="35" t="n">
        <x:v>5</x:v>
      </x:c>
      <x:c r="Z723" s="35" t="n">
        <x:v>100</x:v>
      </x:c>
      <x:c r="AA723" s="35" t="n">
        <x:v>4</x:v>
      </x:c>
      <x:c r="AB723" s="35" t="n">
        <x:v>4</x:v>
      </x:c>
      <x:c r="AC723" s="35" t="n">
        <x:v>3</x:v>
      </x:c>
      <x:c r="AD723" s="35" t="n">
        <x:v>47</x:v>
      </x:c>
      <x:c r="AE723" s="35" t="n">
        <x:v>61</x:v>
      </x:c>
      <x:c r="AF723" s="35" t="n">
        <x:v>58</x:v>
      </x:c>
      <x:c r="AG723" s="35" t="n">
        <x:v>72</x:v>
      </x:c>
      <x:c r="AH723" s="35" t="n">
        <x:v>5</x:v>
      </x:c>
      <x:c r="AI723" s="37" t="n">
        <x:v>100</x:v>
      </x:c>
      <x:c r="AJ723" s="37" t="n">
        <x:v>100</x:v>
      </x:c>
      <x:c r="AK723" s="35" t="str">
        <x:v>No</x:v>
      </x:c>
      <x:c r="AL723" s="38" t="n">
        <x:f>IF(AA723=0,0,AB723/AA723)</x:f>
        <x:v>1</x:v>
      </x:c>
      <x:c r="AM723" s="38" t="n">
        <x:f>IF(AB723=0,0,AC723/AB723)</x:f>
        <x:v>0.75</x:v>
      </x:c>
      <x:c r="AN723" s="37" t="n">
        <x:f>ROUND((AD723*0.20+AE723*0.20+AF723*0.25+AG723*0.15+MIN(100,AC723*12)*0.20),1)</x:f>
        <x:v>54.1</x:v>
      </x:c>
      <x:c r="AO723" s="37" t="n">
        <x:f>ROUND(MAX(0,MIN(100,(X723*0.35)+(W723/45*100*0.20)+((5-O723)/4*100*0.15)+((5-P723)/4*100*0.10)+((6-Y723)/5*100*0.10)+((100-Z723)*0.10))),1)</x:f>
        <x:v>40.3</x:v>
      </x:c>
      <x:c r="AP723" s="37" t="str">
        <x:f>IF(AO723&gt;=70,"High",IF(AO723&gt;=40,"Moderate","Low"))</x:f>
        <x:v>Moderate</x:v>
      </x:c>
      <x:c r="AQ723" s="37" t="n">
        <x:f>ROUND(MAX(0,MIN(100,(O723/4*100*0.25)+(P723/4*100*0.20)+(Q723/4*100*0.15)+(Y723/5*100*0.20)+(100-AO723)*0.20)),1)</x:f>
        <x:v>74.4</x:v>
      </x:c>
      <x:c r="AR723" s="37" t="n">
        <x:f>ROUND((AI723*0.20+AJ723*0.15+AN723*0.18+AG723*0.12+Z723*0.15+AQ723*0.20),1)</x:f>
        <x:v>83.3</x:v>
      </x:c>
      <x:c r="AS723" s="39" t="n">
        <x:f>ROUND((AC723*AF723*120)+(AH723*350)+(MAX(0,AI723-75)*220)+(MAX(0,AQ723-60)*100),0)</x:f>
        <x:v>29570</x:v>
      </x:c>
    </x:row>
    <x:row r="724">
      <x:c r="A724" s="35" t="n">
        <x:v>723</x:v>
      </x:c>
      <x:c r="B724" s="35" t="n">
        <x:v>41</x:v>
      </x:c>
      <x:c r="C724" s="35" t="str">
        <x:v>Male</x:v>
      </x:c>
      <x:c r="D724" s="35" t="str">
        <x:v>Sales</x:v>
      </x:c>
      <x:c r="E724" s="35" t="str">
        <x:v>Sales Representative</x:v>
      </x:c>
      <x:c r="F724" s="35" t="str">
        <x:v>Technical Degree</x:v>
      </x:c>
      <x:c r="G724" s="35" t="str">
        <x:v>Married</x:v>
      </x:c>
      <x:c r="H724" s="35" t="n">
        <x:v>3</x:v>
      </x:c>
      <x:c r="I724" s="36" t="n">
        <x:v>8750</x:v>
      </x:c>
      <x:c r="J724" s="35" t="n">
        <x:v>10</x:v>
      </x:c>
      <x:c r="K724" s="35" t="n">
        <x:v>4</x:v>
      </x:c>
      <x:c r="L724" s="35" t="n">
        <x:v>3</x:v>
      </x:c>
      <x:c r="M724" s="35" t="n">
        <x:v>3</x:v>
      </x:c>
      <x:c r="N724" s="35" t="str">
        <x:v>Yes</x:v>
      </x:c>
      <x:c r="O724" s="35" t="n">
        <x:v>1</x:v>
      </x:c>
      <x:c r="P724" s="35" t="n">
        <x:v>4</x:v>
      </x:c>
      <x:c r="Q724" s="35" t="n">
        <x:v>2</x:v>
      </x:c>
      <x:c r="R724" s="35" t="n">
        <x:v>3</x:v>
      </x:c>
      <x:c r="S724" s="35" t="n">
        <x:v>3</x:v>
      </x:c>
      <x:c r="T724" s="35" t="n">
        <x:v>0</x:v>
      </x:c>
      <x:c r="U724" s="35" t="n">
        <x:v>1</x:v>
      </x:c>
      <x:c r="V724" s="35" t="n">
        <x:v>13</x:v>
      </x:c>
      <x:c r="W724" s="35" t="n">
        <x:v>18</x:v>
      </x:c>
      <x:c r="X724" s="35" t="n">
        <x:v>75</x:v>
      </x:c>
      <x:c r="Y724" s="35" t="n">
        <x:v>4</x:v>
      </x:c>
      <x:c r="Z724" s="35" t="n">
        <x:v>99</x:v>
      </x:c>
      <x:c r="AA724" s="35" t="n">
        <x:v>2</x:v>
      </x:c>
      <x:c r="AB724" s="35" t="n">
        <x:v>2</x:v>
      </x:c>
      <x:c r="AC724" s="35" t="n">
        <x:v>2</x:v>
      </x:c>
      <x:c r="AD724" s="35" t="n">
        <x:v>59</x:v>
      </x:c>
      <x:c r="AE724" s="35" t="n">
        <x:v>73</x:v>
      </x:c>
      <x:c r="AF724" s="35" t="n">
        <x:v>84</x:v>
      </x:c>
      <x:c r="AG724" s="35" t="n">
        <x:v>82</x:v>
      </x:c>
      <x:c r="AH724" s="35" t="n">
        <x:v>3</x:v>
      </x:c>
      <x:c r="AI724" s="37" t="n">
        <x:v>98.4</x:v>
      </x:c>
      <x:c r="AJ724" s="37" t="n">
        <x:v>95.2</x:v>
      </x:c>
      <x:c r="AK724" s="35" t="str">
        <x:v>No</x:v>
      </x:c>
      <x:c r="AL724" s="38" t="n">
        <x:f>IF(AA724=0,0,AB724/AA724)</x:f>
        <x:v>1</x:v>
      </x:c>
      <x:c r="AM724" s="38" t="n">
        <x:f>IF(AB724=0,0,AC724/AB724)</x:f>
        <x:v>1</x:v>
      </x:c>
      <x:c r="AN724" s="37" t="n">
        <x:f>ROUND((AD724*0.20+AE724*0.20+AF724*0.25+AG724*0.15+MIN(100,AC724*12)*0.20),1)</x:f>
        <x:v>64.5</x:v>
      </x:c>
      <x:c r="AO724" s="37" t="n">
        <x:f>ROUND(MAX(0,MIN(100,(X724*0.35)+(W724/45*100*0.20)+((5-O724)/4*100*0.15)+((5-P724)/4*100*0.10)+((6-Y724)/5*100*0.10)+((100-Z724)*0.10))),1)</x:f>
        <x:v>55.9</x:v>
      </x:c>
      <x:c r="AP724" s="37" t="str">
        <x:f>IF(AO724&gt;=70,"High",IF(AO724&gt;=40,"Moderate","Low"))</x:f>
        <x:v>Moderate</x:v>
      </x:c>
      <x:c r="AQ724" s="37" t="n">
        <x:f>ROUND(MAX(0,MIN(100,(O724/4*100*0.25)+(P724/4*100*0.20)+(Q724/4*100*0.15)+(Y724/5*100*0.20)+(100-AO724)*0.20)),1)</x:f>
        <x:v>58.6</x:v>
      </x:c>
      <x:c r="AR724" s="37" t="n">
        <x:f>ROUND((AI724*0.20+AJ724*0.15+AN724*0.18+AG724*0.12+Z724*0.15+AQ724*0.20),1)</x:f>
        <x:v>82</x:v>
      </x:c>
      <x:c r="AS724" s="39" t="n">
        <x:f>ROUND((AC724*AF724*120)+(AH724*350)+(MAX(0,AI724-75)*220)+(MAX(0,AQ724-60)*100),0)</x:f>
        <x:v>26358</x:v>
      </x:c>
    </x:row>
    <x:row r="725">
      <x:c r="A725" s="35" t="n">
        <x:v>724</x:v>
      </x:c>
      <x:c r="B725" s="35" t="n">
        <x:v>60</x:v>
      </x:c>
      <x:c r="C725" s="35" t="str">
        <x:v>Male</x:v>
      </x:c>
      <x:c r="D725" s="35" t="str">
        <x:v>Operations</x:v>
      </x:c>
      <x:c r="E725" s="35" t="str">
        <x:v>Operations Specialist</x:v>
      </x:c>
      <x:c r="F725" s="35" t="str">
        <x:v>Business</x:v>
      </x:c>
      <x:c r="G725" s="35" t="str">
        <x:v>Married</x:v>
      </x:c>
      <x:c r="H725" s="35" t="n">
        <x:v>4</x:v>
      </x:c>
      <x:c r="I725" s="36" t="n">
        <x:v>25570</x:v>
      </x:c>
      <x:c r="J725" s="35" t="n">
        <x:v>34</x:v>
      </x:c>
      <x:c r="K725" s="35" t="n">
        <x:v>15</x:v>
      </x:c>
      <x:c r="L725" s="35" t="n">
        <x:v>6</x:v>
      </x:c>
      <x:c r="M725" s="35" t="n">
        <x:v>4</x:v>
      </x:c>
      <x:c r="N725" s="35" t="str">
        <x:v>Yes</x:v>
      </x:c>
      <x:c r="O725" s="35" t="n">
        <x:v>4</x:v>
      </x:c>
      <x:c r="P725" s="35" t="n">
        <x:v>4</x:v>
      </x:c>
      <x:c r="Q725" s="35" t="n">
        <x:v>3</x:v>
      </x:c>
      <x:c r="R725" s="35" t="n">
        <x:v>3</x:v>
      </x:c>
      <x:c r="S725" s="35" t="n">
        <x:v>3</x:v>
      </x:c>
      <x:c r="T725" s="35" t="n">
        <x:v>2</x:v>
      </x:c>
      <x:c r="U725" s="35" t="n">
        <x:v>0</x:v>
      </x:c>
      <x:c r="V725" s="35" t="n">
        <x:v>4</x:v>
      </x:c>
      <x:c r="W725" s="35" t="n">
        <x:v>10</x:v>
      </x:c>
      <x:c r="X725" s="35" t="n">
        <x:v>72</x:v>
      </x:c>
      <x:c r="Y725" s="35" t="n">
        <x:v>4</x:v>
      </x:c>
      <x:c r="Z725" s="35" t="n">
        <x:v>100</x:v>
      </x:c>
      <x:c r="AA725" s="35" t="n">
        <x:v>3</x:v>
      </x:c>
      <x:c r="AB725" s="35" t="n">
        <x:v>0</x:v>
      </x:c>
      <x:c r="AC725" s="35" t="n">
        <x:v>0</x:v>
      </x:c>
      <x:c r="AD725" s="35" t="n">
        <x:v>61</x:v>
      </x:c>
      <x:c r="AE725" s="35" t="n">
        <x:v>75</x:v>
      </x:c>
      <x:c r="AF725" s="35" t="n">
        <x:v>62</x:v>
      </x:c>
      <x:c r="AG725" s="35" t="n">
        <x:v>94</x:v>
      </x:c>
      <x:c r="AH725" s="35" t="n">
        <x:v>0</x:v>
      </x:c>
      <x:c r="AI725" s="37" t="n">
        <x:v>93.5</x:v>
      </x:c>
      <x:c r="AJ725" s="37" t="n">
        <x:v>100</x:v>
      </x:c>
      <x:c r="AK725" s="35" t="str">
        <x:v>No</x:v>
      </x:c>
      <x:c r="AL725" s="38" t="n">
        <x:f>IF(AA725=0,0,AB725/AA725)</x:f>
        <x:v>0</x:v>
      </x:c>
      <x:c r="AM725" s="38" t="n">
        <x:f>IF(AB725=0,0,AC725/AB725)</x:f>
        <x:v>0</x:v>
      </x:c>
      <x:c r="AN725" s="37" t="n">
        <x:f>ROUND((AD725*0.20+AE725*0.20+AF725*0.25+AG725*0.15+MIN(100,AC725*12)*0.20),1)</x:f>
        <x:v>56.8</x:v>
      </x:c>
      <x:c r="AO725" s="37" t="n">
        <x:f>ROUND(MAX(0,MIN(100,(X725*0.35)+(W725/45*100*0.20)+((5-O725)/4*100*0.15)+((5-P725)/4*100*0.10)+((6-Y725)/5*100*0.10)+((100-Z725)*0.10))),1)</x:f>
        <x:v>39.9</x:v>
      </x:c>
      <x:c r="AP725" s="37" t="str">
        <x:f>IF(AO725&gt;=70,"High",IF(AO725&gt;=40,"Moderate","Low"))</x:f>
        <x:v>Low</x:v>
      </x:c>
      <x:c r="AQ725" s="37" t="n">
        <x:f>ROUND(MAX(0,MIN(100,(O725/4*100*0.25)+(P725/4*100*0.20)+(Q725/4*100*0.15)+(Y725/5*100*0.20)+(100-AO725)*0.20)),1)</x:f>
        <x:v>84.3</x:v>
      </x:c>
      <x:c r="AR725" s="37" t="n">
        <x:f>ROUND((AI725*0.20+AJ725*0.15+AN725*0.18+AG725*0.12+Z725*0.15+AQ725*0.20),1)</x:f>
        <x:v>87.1</x:v>
      </x:c>
      <x:c r="AS725" s="39" t="n">
        <x:f>ROUND((AC725*AF725*120)+(AH725*350)+(MAX(0,AI725-75)*220)+(MAX(0,AQ725-60)*100),0)</x:f>
        <x:v>6500</x:v>
      </x:c>
    </x:row>
    <x:row r="726">
      <x:c r="A726" s="35" t="n">
        <x:v>725</x:v>
      </x:c>
      <x:c r="B726" s="35" t="n">
        <x:v>43</x:v>
      </x:c>
      <x:c r="C726" s="35" t="str">
        <x:v>Male</x:v>
      </x:c>
      <x:c r="D726" s="35" t="str">
        <x:v>Research &amp; Development</x:v>
      </x:c>
      <x:c r="E726" s="35" t="str">
        <x:v>R&amp;D Manager</x:v>
      </x:c>
      <x:c r="F726" s="35" t="str">
        <x:v>Marketing</x:v>
      </x:c>
      <x:c r="G726" s="35" t="str">
        <x:v>Single</x:v>
      </x:c>
      <x:c r="H726" s="35" t="n">
        <x:v>4</x:v>
      </x:c>
      <x:c r="I726" s="36" t="n">
        <x:v>20060</x:v>
      </x:c>
      <x:c r="J726" s="35" t="n">
        <x:v>13</x:v>
      </x:c>
      <x:c r="K726" s="35" t="n">
        <x:v>6</x:v>
      </x:c>
      <x:c r="L726" s="35" t="n">
        <x:v>3</x:v>
      </x:c>
      <x:c r="M726" s="35" t="n">
        <x:v>12</x:v>
      </x:c>
      <x:c r="N726" s="35" t="str">
        <x:v>No</x:v>
      </x:c>
      <x:c r="O726" s="35" t="n">
        <x:v>3</x:v>
      </x:c>
      <x:c r="P726" s="35" t="n">
        <x:v>2</x:v>
      </x:c>
      <x:c r="Q726" s="35" t="n">
        <x:v>2</x:v>
      </x:c>
      <x:c r="R726" s="35" t="n">
        <x:v>4</x:v>
      </x:c>
      <x:c r="S726" s="35" t="n">
        <x:v>3</x:v>
      </x:c>
      <x:c r="T726" s="35" t="n">
        <x:v>4</x:v>
      </x:c>
      <x:c r="U726" s="35" t="n">
        <x:v>1</x:v>
      </x:c>
      <x:c r="V726" s="35" t="n">
        <x:v>7</x:v>
      </x:c>
      <x:c r="W726" s="35" t="n">
        <x:v>3</x:v>
      </x:c>
      <x:c r="X726" s="35" t="n">
        <x:v>69</x:v>
      </x:c>
      <x:c r="Y726" s="35" t="n">
        <x:v>4</x:v>
      </x:c>
      <x:c r="Z726" s="35" t="n">
        <x:v>100</x:v>
      </x:c>
      <x:c r="AA726" s="35" t="n">
        <x:v>3</x:v>
      </x:c>
      <x:c r="AB726" s="35" t="n">
        <x:v>3</x:v>
      </x:c>
      <x:c r="AC726" s="35" t="n">
        <x:v>3</x:v>
      </x:c>
      <x:c r="AD726" s="35" t="n">
        <x:v>69</x:v>
      </x:c>
      <x:c r="AE726" s="35" t="n">
        <x:v>79</x:v>
      </x:c>
      <x:c r="AF726" s="35" t="n">
        <x:v>88</x:v>
      </x:c>
      <x:c r="AG726" s="35" t="n">
        <x:v>91</x:v>
      </x:c>
      <x:c r="AH726" s="35" t="n">
        <x:v>7</x:v>
      </x:c>
      <x:c r="AI726" s="37" t="n">
        <x:v>100</x:v>
      </x:c>
      <x:c r="AJ726" s="37" t="n">
        <x:v>92.7</x:v>
      </x:c>
      <x:c r="AK726" s="35" t="str">
        <x:v>No</x:v>
      </x:c>
      <x:c r="AL726" s="38" t="n">
        <x:f>IF(AA726=0,0,AB726/AA726)</x:f>
        <x:v>1</x:v>
      </x:c>
      <x:c r="AM726" s="38" t="n">
        <x:f>IF(AB726=0,0,AC726/AB726)</x:f>
        <x:v>1</x:v>
      </x:c>
      <x:c r="AN726" s="37" t="n">
        <x:f>ROUND((AD726*0.20+AE726*0.20+AF726*0.25+AG726*0.15+MIN(100,AC726*12)*0.20),1)</x:f>
        <x:v>72.5</x:v>
      </x:c>
      <x:c r="AO726" s="37" t="n">
        <x:f>ROUND(MAX(0,MIN(100,(X726*0.35)+(W726/45*100*0.20)+((5-O726)/4*100*0.15)+((5-P726)/4*100*0.10)+((6-Y726)/5*100*0.10)+((100-Z726)*0.10))),1)</x:f>
        <x:v>44.5</x:v>
      </x:c>
      <x:c r="AP726" s="37" t="str">
        <x:f>IF(AO726&gt;=70,"High",IF(AO726&gt;=40,"Moderate","Low"))</x:f>
        <x:v>Moderate</x:v>
      </x:c>
      <x:c r="AQ726" s="37" t="n">
        <x:f>ROUND(MAX(0,MIN(100,(O726/4*100*0.25)+(P726/4*100*0.20)+(Q726/4*100*0.15)+(Y726/5*100*0.20)+(100-AO726)*0.20)),1)</x:f>
        <x:v>63.4</x:v>
      </x:c>
      <x:c r="AR726" s="37" t="n">
        <x:f>ROUND((AI726*0.20+AJ726*0.15+AN726*0.18+AG726*0.12+Z726*0.15+AQ726*0.20),1)</x:f>
        <x:v>85.6</x:v>
      </x:c>
      <x:c r="AS726" s="39" t="n">
        <x:f>ROUND((AC726*AF726*120)+(AH726*350)+(MAX(0,AI726-75)*220)+(MAX(0,AQ726-60)*100),0)</x:f>
        <x:v>39970</x:v>
      </x:c>
    </x:row>
    <x:row r="727">
      <x:c r="A727" s="35" t="n">
        <x:v>726</x:v>
      </x:c>
      <x:c r="B727" s="35" t="n">
        <x:v>26</x:v>
      </x:c>
      <x:c r="C727" s="35" t="str">
        <x:v>Male</x:v>
      </x:c>
      <x:c r="D727" s="35" t="str">
        <x:v>Research &amp; Development</x:v>
      </x:c>
      <x:c r="E727" s="35" t="str">
        <x:v>R&amp;D Manager</x:v>
      </x:c>
      <x:c r="F727" s="35" t="str">
        <x:v>Technical Degree</x:v>
      </x:c>
      <x:c r="G727" s="35" t="str">
        <x:v>Single</x:v>
      </x:c>
      <x:c r="H727" s="35" t="n">
        <x:v>1</x:v>
      </x:c>
      <x:c r="I727" s="36" t="n">
        <x:v>7660</x:v>
      </x:c>
      <x:c r="J727" s="35" t="n">
        <x:v>3</x:v>
      </x:c>
      <x:c r="K727" s="35" t="n">
        <x:v>1</x:v>
      </x:c>
      <x:c r="L727" s="35" t="n">
        <x:v>0</x:v>
      </x:c>
      <x:c r="M727" s="35" t="n">
        <x:v>3</x:v>
      </x:c>
      <x:c r="N727" s="35" t="str">
        <x:v>Yes</x:v>
      </x:c>
      <x:c r="O727" s="35" t="n">
        <x:v>1</x:v>
      </x:c>
      <x:c r="P727" s="35" t="n">
        <x:v>1</x:v>
      </x:c>
      <x:c r="Q727" s="35" t="n">
        <x:v>3</x:v>
      </x:c>
      <x:c r="R727" s="35" t="n">
        <x:v>3</x:v>
      </x:c>
      <x:c r="S727" s="35" t="n">
        <x:v>3</x:v>
      </x:c>
      <x:c r="T727" s="35" t="n">
        <x:v>4</x:v>
      </x:c>
      <x:c r="U727" s="35" t="n">
        <x:v>0</x:v>
      </x:c>
      <x:c r="V727" s="35" t="n">
        <x:v>7</x:v>
      </x:c>
      <x:c r="W727" s="35" t="n">
        <x:v>29</x:v>
      </x:c>
      <x:c r="X727" s="35" t="n">
        <x:v>83</x:v>
      </x:c>
      <x:c r="Y727" s="35" t="n">
        <x:v>2</x:v>
      </x:c>
      <x:c r="Z727" s="35" t="n">
        <x:v>83</x:v>
      </x:c>
      <x:c r="AA727" s="35" t="n">
        <x:v>4</x:v>
      </x:c>
      <x:c r="AB727" s="35" t="n">
        <x:v>3</x:v>
      </x:c>
      <x:c r="AC727" s="35" t="n">
        <x:v>2</x:v>
      </x:c>
      <x:c r="AD727" s="35" t="n">
        <x:v>74</x:v>
      </x:c>
      <x:c r="AE727" s="35" t="n">
        <x:v>85</x:v>
      </x:c>
      <x:c r="AF727" s="35" t="n">
        <x:v>70</x:v>
      </x:c>
      <x:c r="AG727" s="35" t="n">
        <x:v>96</x:v>
      </x:c>
      <x:c r="AH727" s="35" t="n">
        <x:v>8</x:v>
      </x:c>
      <x:c r="AI727" s="37" t="n">
        <x:v>100</x:v>
      </x:c>
      <x:c r="AJ727" s="37" t="n">
        <x:v>92.1</x:v>
      </x:c>
      <x:c r="AK727" s="35" t="str">
        <x:v>Yes</x:v>
      </x:c>
      <x:c r="AL727" s="38" t="n">
        <x:f>IF(AA727=0,0,AB727/AA727)</x:f>
        <x:v>0.75</x:v>
      </x:c>
      <x:c r="AM727" s="38" t="n">
        <x:f>IF(AB727=0,0,AC727/AB727)</x:f>
        <x:v>0.6666666666666666</x:v>
      </x:c>
      <x:c r="AN727" s="37" t="n">
        <x:f>ROUND((AD727*0.20+AE727*0.20+AF727*0.25+AG727*0.15+MIN(100,AC727*12)*0.20),1)</x:f>
        <x:v>68.5</x:v>
      </x:c>
      <x:c r="AO727" s="37" t="n">
        <x:f>ROUND(MAX(0,MIN(100,(X727*0.35)+(W727/45*100*0.20)+((5-O727)/4*100*0.15)+((5-P727)/4*100*0.10)+((6-Y727)/5*100*0.10)+((100-Z727)*0.10))),1)</x:f>
        <x:v>76.6</x:v>
      </x:c>
      <x:c r="AP727" s="37" t="str">
        <x:f>IF(AO727&gt;=70,"High",IF(AO727&gt;=40,"Moderate","Low"))</x:f>
        <x:v>High</x:v>
      </x:c>
      <x:c r="AQ727" s="37" t="n">
        <x:f>ROUND(MAX(0,MIN(100,(O727/4*100*0.25)+(P727/4*100*0.20)+(Q727/4*100*0.15)+(Y727/5*100*0.20)+(100-AO727)*0.20)),1)</x:f>
        <x:v>35.2</x:v>
      </x:c>
      <x:c r="AR727" s="37" t="n">
        <x:f>ROUND((AI727*0.20+AJ727*0.15+AN727*0.18+AG727*0.12+Z727*0.15+AQ727*0.20),1)</x:f>
        <x:v>77.2</x:v>
      </x:c>
      <x:c r="AS727" s="39" t="n">
        <x:f>ROUND((AC727*AF727*120)+(AH727*350)+(MAX(0,AI727-75)*220)+(MAX(0,AQ727-60)*100),0)</x:f>
        <x:v>25100</x:v>
      </x:c>
    </x:row>
    <x:row r="728">
      <x:c r="A728" s="35" t="n">
        <x:v>727</x:v>
      </x:c>
      <x:c r="B728" s="35" t="n">
        <x:v>39</x:v>
      </x:c>
      <x:c r="C728" s="35" t="str">
        <x:v>Female</x:v>
      </x:c>
      <x:c r="D728" s="35" t="str">
        <x:v>Finance</x:v>
      </x:c>
      <x:c r="E728" s="35" t="str">
        <x:v>Financial Analyst</x:v>
      </x:c>
      <x:c r="F728" s="35" t="str">
        <x:v>Human Resources</x:v>
      </x:c>
      <x:c r="G728" s="35" t="str">
        <x:v>Divorced</x:v>
      </x:c>
      <x:c r="H728" s="35" t="n">
        <x:v>2</x:v>
      </x:c>
      <x:c r="I728" s="36" t="n">
        <x:v>11410</x:v>
      </x:c>
      <x:c r="J728" s="35" t="n">
        <x:v>15</x:v>
      </x:c>
      <x:c r="K728" s="35" t="n">
        <x:v>5</x:v>
      </x:c>
      <x:c r="L728" s="35" t="n">
        <x:v>3</x:v>
      </x:c>
      <x:c r="M728" s="35" t="n">
        <x:v>12</x:v>
      </x:c>
      <x:c r="N728" s="35" t="str">
        <x:v>No</x:v>
      </x:c>
      <x:c r="O728" s="35" t="n">
        <x:v>3</x:v>
      </x:c>
      <x:c r="P728" s="35" t="n">
        <x:v>4</x:v>
      </x:c>
      <x:c r="Q728" s="35" t="n">
        <x:v>2</x:v>
      </x:c>
      <x:c r="R728" s="35" t="n">
        <x:v>3</x:v>
      </x:c>
      <x:c r="S728" s="35" t="n">
        <x:v>4</x:v>
      </x:c>
      <x:c r="T728" s="35" t="n">
        <x:v>0</x:v>
      </x:c>
      <x:c r="U728" s="35" t="n">
        <x:v>2</x:v>
      </x:c>
      <x:c r="V728" s="35" t="n">
        <x:v>3</x:v>
      </x:c>
      <x:c r="W728" s="35" t="n">
        <x:v>0</x:v>
      </x:c>
      <x:c r="X728" s="35" t="n">
        <x:v>82</x:v>
      </x:c>
      <x:c r="Y728" s="35" t="n">
        <x:v>4</x:v>
      </x:c>
      <x:c r="Z728" s="35" t="n">
        <x:v>98</x:v>
      </x:c>
      <x:c r="AA728" s="35" t="n">
        <x:v>4</x:v>
      </x:c>
      <x:c r="AB728" s="35" t="n">
        <x:v>3</x:v>
      </x:c>
      <x:c r="AC728" s="35" t="n">
        <x:v>2</x:v>
      </x:c>
      <x:c r="AD728" s="35" t="n">
        <x:v>42</x:v>
      </x:c>
      <x:c r="AE728" s="35" t="n">
        <x:v>94</x:v>
      </x:c>
      <x:c r="AF728" s="35" t="n">
        <x:v>74</x:v>
      </x:c>
      <x:c r="AG728" s="35" t="n">
        <x:v>100</x:v>
      </x:c>
      <x:c r="AH728" s="35" t="n">
        <x:v>6</x:v>
      </x:c>
      <x:c r="AI728" s="37" t="n">
        <x:v>100</x:v>
      </x:c>
      <x:c r="AJ728" s="37" t="n">
        <x:v>96.3</x:v>
      </x:c>
      <x:c r="AK728" s="35" t="str">
        <x:v>No</x:v>
      </x:c>
      <x:c r="AL728" s="38" t="n">
        <x:f>IF(AA728=0,0,AB728/AA728)</x:f>
        <x:v>0.75</x:v>
      </x:c>
      <x:c r="AM728" s="38" t="n">
        <x:f>IF(AB728=0,0,AC728/AB728)</x:f>
        <x:v>0.6666666666666666</x:v>
      </x:c>
      <x:c r="AN728" s="37" t="n">
        <x:f>ROUND((AD728*0.20+AE728*0.20+AF728*0.25+AG728*0.15+MIN(100,AC728*12)*0.20),1)</x:f>
        <x:v>65.5</x:v>
      </x:c>
      <x:c r="AO728" s="37" t="n">
        <x:f>ROUND(MAX(0,MIN(100,(X728*0.35)+(W728/45*100*0.20)+((5-O728)/4*100*0.15)+((5-P728)/4*100*0.10)+((6-Y728)/5*100*0.10)+((100-Z728)*0.10))),1)</x:f>
        <x:v>42.9</x:v>
      </x:c>
      <x:c r="AP728" s="37" t="str">
        <x:f>IF(AO728&gt;=70,"High",IF(AO728&gt;=40,"Moderate","Low"))</x:f>
        <x:v>Moderate</x:v>
      </x:c>
      <x:c r="AQ728" s="37" t="n">
        <x:f>ROUND(MAX(0,MIN(100,(O728/4*100*0.25)+(P728/4*100*0.20)+(Q728/4*100*0.15)+(Y728/5*100*0.20)+(100-AO728)*0.20)),1)</x:f>
        <x:v>73.7</x:v>
      </x:c>
      <x:c r="AR728" s="37" t="n">
        <x:f>ROUND((AI728*0.20+AJ728*0.15+AN728*0.18+AG728*0.12+Z728*0.15+AQ728*0.20),1)</x:f>
        <x:v>87.7</x:v>
      </x:c>
      <x:c r="AS728" s="39" t="n">
        <x:f>ROUND((AC728*AF728*120)+(AH728*350)+(MAX(0,AI728-75)*220)+(MAX(0,AQ728-60)*100),0)</x:f>
        <x:v>26730</x:v>
      </x:c>
    </x:row>
    <x:row r="729">
      <x:c r="A729" s="35" t="n">
        <x:v>728</x:v>
      </x:c>
      <x:c r="B729" s="35" t="n">
        <x:v>38</x:v>
      </x:c>
      <x:c r="C729" s="35" t="str">
        <x:v>Female</x:v>
      </x:c>
      <x:c r="D729" s="35" t="str">
        <x:v>Information Technology</x:v>
      </x:c>
      <x:c r="E729" s="35" t="str">
        <x:v>IT Support</x:v>
      </x:c>
      <x:c r="F729" s="35" t="str">
        <x:v>Human Resources</x:v>
      </x:c>
      <x:c r="G729" s="35" t="str">
        <x:v>Married</x:v>
      </x:c>
      <x:c r="H729" s="35" t="n">
        <x:v>3</x:v>
      </x:c>
      <x:c r="I729" s="36" t="n">
        <x:v>13940</x:v>
      </x:c>
      <x:c r="J729" s="35" t="n">
        <x:v>10</x:v>
      </x:c>
      <x:c r="K729" s="35" t="n">
        <x:v>5</x:v>
      </x:c>
      <x:c r="L729" s="35" t="n">
        <x:v>2</x:v>
      </x:c>
      <x:c r="M729" s="35" t="n">
        <x:v>11</x:v>
      </x:c>
      <x:c r="N729" s="35" t="str">
        <x:v>Yes</x:v>
      </x:c>
      <x:c r="O729" s="35" t="n">
        <x:v>3</x:v>
      </x:c>
      <x:c r="P729" s="35" t="n">
        <x:v>3</x:v>
      </x:c>
      <x:c r="Q729" s="35" t="n">
        <x:v>3</x:v>
      </x:c>
      <x:c r="R729" s="35" t="n">
        <x:v>3</x:v>
      </x:c>
      <x:c r="S729" s="35" t="n">
        <x:v>3</x:v>
      </x:c>
      <x:c r="T729" s="35" t="n">
        <x:v>3</x:v>
      </x:c>
      <x:c r="U729" s="35" t="n">
        <x:v>1</x:v>
      </x:c>
      <x:c r="V729" s="35" t="n">
        <x:v>1</x:v>
      </x:c>
      <x:c r="W729" s="35" t="n">
        <x:v>15</x:v>
      </x:c>
      <x:c r="X729" s="35" t="n">
        <x:v>65</x:v>
      </x:c>
      <x:c r="Y729" s="35" t="n">
        <x:v>4</x:v>
      </x:c>
      <x:c r="Z729" s="35" t="n">
        <x:v>100</x:v>
      </x:c>
      <x:c r="AA729" s="35" t="n">
        <x:v>8</x:v>
      </x:c>
      <x:c r="AB729" s="35" t="n">
        <x:v>4</x:v>
      </x:c>
      <x:c r="AC729" s="35" t="n">
        <x:v>4</x:v>
      </x:c>
      <x:c r="AD729" s="35" t="n">
        <x:v>91</x:v>
      </x:c>
      <x:c r="AE729" s="35" t="n">
        <x:v>70</x:v>
      </x:c>
      <x:c r="AF729" s="35" t="n">
        <x:v>100</x:v>
      </x:c>
      <x:c r="AG729" s="35" t="n">
        <x:v>84</x:v>
      </x:c>
      <x:c r="AH729" s="35" t="n">
        <x:v>9</x:v>
      </x:c>
      <x:c r="AI729" s="37" t="n">
        <x:v>96.8</x:v>
      </x:c>
      <x:c r="AJ729" s="37" t="n">
        <x:v>93.7</x:v>
      </x:c>
      <x:c r="AK729" s="35" t="str">
        <x:v>No</x:v>
      </x:c>
      <x:c r="AL729" s="38" t="n">
        <x:f>IF(AA729=0,0,AB729/AA729)</x:f>
        <x:v>0.5</x:v>
      </x:c>
      <x:c r="AM729" s="38" t="n">
        <x:f>IF(AB729=0,0,AC729/AB729)</x:f>
        <x:v>1</x:v>
      </x:c>
      <x:c r="AN729" s="37" t="n">
        <x:f>ROUND((AD729*0.20+AE729*0.20+AF729*0.25+AG729*0.15+MIN(100,AC729*12)*0.20),1)</x:f>
        <x:v>79.4</x:v>
      </x:c>
      <x:c r="AO729" s="37" t="n">
        <x:f>ROUND(MAX(0,MIN(100,(X729*0.35)+(W729/45*100*0.20)+((5-O729)/4*100*0.15)+((5-P729)/4*100*0.10)+((6-Y729)/5*100*0.10)+((100-Z729)*0.10))),1)</x:f>
        <x:v>45.9</x:v>
      </x:c>
      <x:c r="AP729" s="37" t="str">
        <x:f>IF(AO729&gt;=70,"High",IF(AO729&gt;=40,"Moderate","Low"))</x:f>
        <x:v>Moderate</x:v>
      </x:c>
      <x:c r="AQ729" s="37" t="n">
        <x:f>ROUND(MAX(0,MIN(100,(O729/4*100*0.25)+(P729/4*100*0.20)+(Q729/4*100*0.15)+(Y729/5*100*0.20)+(100-AO729)*0.20)),1)</x:f>
        <x:v>71.8</x:v>
      </x:c>
      <x:c r="AR729" s="37" t="n">
        <x:f>ROUND((AI729*0.20+AJ729*0.15+AN729*0.18+AG729*0.12+Z729*0.15+AQ729*0.20),1)</x:f>
        <x:v>87.1</x:v>
      </x:c>
      <x:c r="AS729" s="39" t="n">
        <x:f>ROUND((AC729*AF729*120)+(AH729*350)+(MAX(0,AI729-75)*220)+(MAX(0,AQ729-60)*100),0)</x:f>
        <x:v>57126</x:v>
      </x:c>
    </x:row>
    <x:row r="730">
      <x:c r="A730" s="35" t="n">
        <x:v>729</x:v>
      </x:c>
      <x:c r="B730" s="35" t="n">
        <x:v>27</x:v>
      </x:c>
      <x:c r="C730" s="35" t="str">
        <x:v>Female</x:v>
      </x:c>
      <x:c r="D730" s="35" t="str">
        <x:v>Sales</x:v>
      </x:c>
      <x:c r="E730" s="35" t="str">
        <x:v>Sales Executive</x:v>
      </x:c>
      <x:c r="F730" s="35" t="str">
        <x:v>Technical Degree</x:v>
      </x:c>
      <x:c r="G730" s="35" t="str">
        <x:v>Married</x:v>
      </x:c>
      <x:c r="H730" s="35" t="n">
        <x:v>2</x:v>
      </x:c>
      <x:c r="I730" s="36" t="n">
        <x:v>8610</x:v>
      </x:c>
      <x:c r="J730" s="35" t="n">
        <x:v>3</x:v>
      </x:c>
      <x:c r="K730" s="35" t="n">
        <x:v>2</x:v>
      </x:c>
      <x:c r="L730" s="35" t="n">
        <x:v>1</x:v>
      </x:c>
      <x:c r="M730" s="35" t="n">
        <x:v>12</x:v>
      </x:c>
      <x:c r="N730" s="35" t="str">
        <x:v>Yes</x:v>
      </x:c>
      <x:c r="O730" s="35" t="n">
        <x:v>3</x:v>
      </x:c>
      <x:c r="P730" s="35" t="n">
        <x:v>3</x:v>
      </x:c>
      <x:c r="Q730" s="35" t="n">
        <x:v>3</x:v>
      </x:c>
      <x:c r="R730" s="35" t="n">
        <x:v>4</x:v>
      </x:c>
      <x:c r="S730" s="35" t="n">
        <x:v>3</x:v>
      </x:c>
      <x:c r="T730" s="35" t="n">
        <x:v>3</x:v>
      </x:c>
      <x:c r="U730" s="35" t="n">
        <x:v>0</x:v>
      </x:c>
      <x:c r="V730" s="35" t="n">
        <x:v>9</x:v>
      </x:c>
      <x:c r="W730" s="35" t="n">
        <x:v>31</x:v>
      </x:c>
      <x:c r="X730" s="35" t="n">
        <x:v>85</x:v>
      </x:c>
      <x:c r="Y730" s="35" t="n">
        <x:v>3</x:v>
      </x:c>
      <x:c r="Z730" s="35" t="n">
        <x:v>99</x:v>
      </x:c>
      <x:c r="AA730" s="35" t="n">
        <x:v>1</x:v>
      </x:c>
      <x:c r="AB730" s="35" t="n">
        <x:v>1</x:v>
      </x:c>
      <x:c r="AC730" s="35" t="n">
        <x:v>1</x:v>
      </x:c>
      <x:c r="AD730" s="35" t="n">
        <x:v>75</x:v>
      </x:c>
      <x:c r="AE730" s="35" t="n">
        <x:v>62</x:v>
      </x:c>
      <x:c r="AF730" s="35" t="n">
        <x:v>64</x:v>
      </x:c>
      <x:c r="AG730" s="35" t="n">
        <x:v>98</x:v>
      </x:c>
      <x:c r="AH730" s="35" t="n">
        <x:v>7</x:v>
      </x:c>
      <x:c r="AI730" s="37" t="n">
        <x:v>99.8</x:v>
      </x:c>
      <x:c r="AJ730" s="37" t="n">
        <x:v>97</x:v>
      </x:c>
      <x:c r="AK730" s="35" t="str">
        <x:v>No</x:v>
      </x:c>
      <x:c r="AL730" s="38" t="n">
        <x:f>IF(AA730=0,0,AB730/AA730)</x:f>
        <x:v>1</x:v>
      </x:c>
      <x:c r="AM730" s="38" t="n">
        <x:f>IF(AB730=0,0,AC730/AB730)</x:f>
        <x:v>1</x:v>
      </x:c>
      <x:c r="AN730" s="37" t="n">
        <x:f>ROUND((AD730*0.20+AE730*0.20+AF730*0.25+AG730*0.15+MIN(100,AC730*12)*0.20),1)</x:f>
        <x:v>60.5</x:v>
      </x:c>
      <x:c r="AO730" s="37" t="n">
        <x:f>ROUND(MAX(0,MIN(100,(X730*0.35)+(W730/45*100*0.20)+((5-O730)/4*100*0.15)+((5-P730)/4*100*0.10)+((6-Y730)/5*100*0.10)+((100-Z730)*0.10))),1)</x:f>
        <x:v>62.1</x:v>
      </x:c>
      <x:c r="AP730" s="37" t="str">
        <x:f>IF(AO730&gt;=70,"High",IF(AO730&gt;=40,"Moderate","Low"))</x:f>
        <x:v>Moderate</x:v>
      </x:c>
      <x:c r="AQ730" s="37" t="n">
        <x:f>ROUND(MAX(0,MIN(100,(O730/4*100*0.25)+(P730/4*100*0.20)+(Q730/4*100*0.15)+(Y730/5*100*0.20)+(100-AO730)*0.20)),1)</x:f>
        <x:v>64.6</x:v>
      </x:c>
      <x:c r="AR730" s="37" t="n">
        <x:f>ROUND((AI730*0.20+AJ730*0.15+AN730*0.18+AG730*0.12+Z730*0.15+AQ730*0.20),1)</x:f>
        <x:v>84.9</x:v>
      </x:c>
      <x:c r="AS730" s="39" t="n">
        <x:f>ROUND((AC730*AF730*120)+(AH730*350)+(MAX(0,AI730-75)*220)+(MAX(0,AQ730-60)*100),0)</x:f>
        <x:v>16046</x:v>
      </x:c>
    </x:row>
    <x:row r="731">
      <x:c r="A731" s="35" t="n">
        <x:v>730</x:v>
      </x:c>
      <x:c r="B731" s="35" t="n">
        <x:v>46</x:v>
      </x:c>
      <x:c r="C731" s="35" t="str">
        <x:v>Female</x:v>
      </x:c>
      <x:c r="D731" s="35" t="str">
        <x:v>Research &amp; Development</x:v>
      </x:c>
      <x:c r="E731" s="35" t="str">
        <x:v>R&amp;D Manager</x:v>
      </x:c>
      <x:c r="F731" s="35" t="str">
        <x:v>Life Sciences</x:v>
      </x:c>
      <x:c r="G731" s="35" t="str">
        <x:v>Divorced</x:v>
      </x:c>
      <x:c r="H731" s="35" t="n">
        <x:v>2</x:v>
      </x:c>
      <x:c r="I731" s="36" t="n">
        <x:v>6080</x:v>
      </x:c>
      <x:c r="J731" s="35" t="n">
        <x:v>19</x:v>
      </x:c>
      <x:c r="K731" s="35" t="n">
        <x:v>10</x:v>
      </x:c>
      <x:c r="L731" s="35" t="n">
        <x:v>5</x:v>
      </x:c>
      <x:c r="M731" s="35" t="n">
        <x:v>10</x:v>
      </x:c>
      <x:c r="N731" s="35" t="str">
        <x:v>Yes</x:v>
      </x:c>
      <x:c r="O731" s="35" t="n">
        <x:v>1</x:v>
      </x:c>
      <x:c r="P731" s="35" t="n">
        <x:v>3</x:v>
      </x:c>
      <x:c r="Q731" s="35" t="n">
        <x:v>3</x:v>
      </x:c>
      <x:c r="R731" s="35" t="n">
        <x:v>3</x:v>
      </x:c>
      <x:c r="S731" s="35" t="n">
        <x:v>3</x:v>
      </x:c>
      <x:c r="T731" s="35" t="n">
        <x:v>3</x:v>
      </x:c>
      <x:c r="U731" s="35" t="n">
        <x:v>0</x:v>
      </x:c>
      <x:c r="V731" s="35" t="n">
        <x:v>5</x:v>
      </x:c>
      <x:c r="W731" s="35" t="n">
        <x:v>30</x:v>
      </x:c>
      <x:c r="X731" s="35" t="n">
        <x:v>69</x:v>
      </x:c>
      <x:c r="Y731" s="35" t="n">
        <x:v>3</x:v>
      </x:c>
      <x:c r="Z731" s="35" t="n">
        <x:v>100</x:v>
      </x:c>
      <x:c r="AA731" s="35" t="n">
        <x:v>3</x:v>
      </x:c>
      <x:c r="AB731" s="35" t="n">
        <x:v>2</x:v>
      </x:c>
      <x:c r="AC731" s="35" t="n">
        <x:v>2</x:v>
      </x:c>
      <x:c r="AD731" s="35" t="n">
        <x:v>68</x:v>
      </x:c>
      <x:c r="AE731" s="35" t="n">
        <x:v>74</x:v>
      </x:c>
      <x:c r="AF731" s="35" t="n">
        <x:v>76</x:v>
      </x:c>
      <x:c r="AG731" s="35" t="n">
        <x:v>92</x:v>
      </x:c>
      <x:c r="AH731" s="35" t="n">
        <x:v>3</x:v>
      </x:c>
      <x:c r="AI731" s="37" t="n">
        <x:v>100</x:v>
      </x:c>
      <x:c r="AJ731" s="37" t="n">
        <x:v>93.3</x:v>
      </x:c>
      <x:c r="AK731" s="35" t="str">
        <x:v>Yes</x:v>
      </x:c>
      <x:c r="AL731" s="38" t="n">
        <x:f>IF(AA731=0,0,AB731/AA731)</x:f>
        <x:v>0.6666666666666666</x:v>
      </x:c>
      <x:c r="AM731" s="38" t="n">
        <x:f>IF(AB731=0,0,AC731/AB731)</x:f>
        <x:v>1</x:v>
      </x:c>
      <x:c r="AN731" s="37" t="n">
        <x:f>ROUND((AD731*0.20+AE731*0.20+AF731*0.25+AG731*0.15+MIN(100,AC731*12)*0.20),1)</x:f>
        <x:v>66</x:v>
      </x:c>
      <x:c r="AO731" s="37" t="n">
        <x:f>ROUND(MAX(0,MIN(100,(X731*0.35)+(W731/45*100*0.20)+((5-O731)/4*100*0.15)+((5-P731)/4*100*0.10)+((6-Y731)/5*100*0.10)+((100-Z731)*0.10))),1)</x:f>
        <x:v>63.5</x:v>
      </x:c>
      <x:c r="AP731" s="37" t="str">
        <x:f>IF(AO731&gt;=70,"High",IF(AO731&gt;=40,"Moderate","Low"))</x:f>
        <x:v>Moderate</x:v>
      </x:c>
      <x:c r="AQ731" s="37" t="n">
        <x:f>ROUND(MAX(0,MIN(100,(O731/4*100*0.25)+(P731/4*100*0.20)+(Q731/4*100*0.15)+(Y731/5*100*0.20)+(100-AO731)*0.20)),1)</x:f>
        <x:v>51.8</x:v>
      </x:c>
      <x:c r="AR731" s="37" t="n">
        <x:f>ROUND((AI731*0.20+AJ731*0.15+AN731*0.18+AG731*0.12+Z731*0.15+AQ731*0.20),1)</x:f>
        <x:v>82.3</x:v>
      </x:c>
      <x:c r="AS731" s="39" t="n">
        <x:f>ROUND((AC731*AF731*120)+(AH731*350)+(MAX(0,AI731-75)*220)+(MAX(0,AQ731-60)*100),0)</x:f>
        <x:v>24790</x:v>
      </x:c>
    </x:row>
    <x:row r="732">
      <x:c r="A732" s="35" t="n">
        <x:v>731</x:v>
      </x:c>
      <x:c r="B732" s="35" t="n">
        <x:v>37</x:v>
      </x:c>
      <x:c r="C732" s="35" t="str">
        <x:v>Female</x:v>
      </x:c>
      <x:c r="D732" s="35" t="str">
        <x:v>Information Technology</x:v>
      </x:c>
      <x:c r="E732" s="35" t="str">
        <x:v>IT Support</x:v>
      </x:c>
      <x:c r="F732" s="35" t="str">
        <x:v>Medical</x:v>
      </x:c>
      <x:c r="G732" s="35" t="str">
        <x:v>Married</x:v>
      </x:c>
      <x:c r="H732" s="35" t="n">
        <x:v>2</x:v>
      </x:c>
      <x:c r="I732" s="36" t="n">
        <x:v>5060</x:v>
      </x:c>
      <x:c r="J732" s="35" t="n">
        <x:v>9</x:v>
      </x:c>
      <x:c r="K732" s="35" t="n">
        <x:v>6</x:v>
      </x:c>
      <x:c r="L732" s="35" t="n">
        <x:v>4</x:v>
      </x:c>
      <x:c r="M732" s="35" t="n">
        <x:v>7</x:v>
      </x:c>
      <x:c r="N732" s="35" t="str">
        <x:v>No</x:v>
      </x:c>
      <x:c r="O732" s="35" t="n">
        <x:v>3</x:v>
      </x:c>
      <x:c r="P732" s="35" t="n">
        <x:v>3</x:v>
      </x:c>
      <x:c r="Q732" s="35" t="n">
        <x:v>4</x:v>
      </x:c>
      <x:c r="R732" s="35" t="n">
        <x:v>2</x:v>
      </x:c>
      <x:c r="S732" s="35" t="n">
        <x:v>3</x:v>
      </x:c>
      <x:c r="T732" s="35" t="n">
        <x:v>5</x:v>
      </x:c>
      <x:c r="U732" s="35" t="n">
        <x:v>2</x:v>
      </x:c>
      <x:c r="V732" s="35" t="n">
        <x:v>8</x:v>
      </x:c>
      <x:c r="W732" s="35" t="n">
        <x:v>8</x:v>
      </x:c>
      <x:c r="X732" s="35" t="n">
        <x:v>46</x:v>
      </x:c>
      <x:c r="Y732" s="35" t="n">
        <x:v>5</x:v>
      </x:c>
      <x:c r="Z732" s="35" t="n">
        <x:v>93</x:v>
      </x:c>
      <x:c r="AA732" s="35" t="n">
        <x:v>4</x:v>
      </x:c>
      <x:c r="AB732" s="35" t="n">
        <x:v>4</x:v>
      </x:c>
      <x:c r="AC732" s="35" t="n">
        <x:v>2</x:v>
      </x:c>
      <x:c r="AD732" s="35" t="n">
        <x:v>75</x:v>
      </x:c>
      <x:c r="AE732" s="35" t="n">
        <x:v>87</x:v>
      </x:c>
      <x:c r="AF732" s="35" t="n">
        <x:v>92</x:v>
      </x:c>
      <x:c r="AG732" s="35" t="n">
        <x:v>79</x:v>
      </x:c>
      <x:c r="AH732" s="35" t="n">
        <x:v>5</x:v>
      </x:c>
      <x:c r="AI732" s="37" t="n">
        <x:v>100</x:v>
      </x:c>
      <x:c r="AJ732" s="37" t="n">
        <x:v>95.5</x:v>
      </x:c>
      <x:c r="AK732" s="35" t="str">
        <x:v>No</x:v>
      </x:c>
      <x:c r="AL732" s="38" t="n">
        <x:f>IF(AA732=0,0,AB732/AA732)</x:f>
        <x:v>1</x:v>
      </x:c>
      <x:c r="AM732" s="38" t="n">
        <x:f>IF(AB732=0,0,AC732/AB732)</x:f>
        <x:v>0.5</x:v>
      </x:c>
      <x:c r="AN732" s="37" t="n">
        <x:f>ROUND((AD732*0.20+AE732*0.20+AF732*0.25+AG732*0.15+MIN(100,AC732*12)*0.20),1)</x:f>
        <x:v>72.1</x:v>
      </x:c>
      <x:c r="AO732" s="37" t="n">
        <x:f>ROUND(MAX(0,MIN(100,(X732*0.35)+(W732/45*100*0.20)+((5-O732)/4*100*0.15)+((5-P732)/4*100*0.10)+((6-Y732)/5*100*0.10)+((100-Z732)*0.10))),1)</x:f>
        <x:v>34.9</x:v>
      </x:c>
      <x:c r="AP732" s="37" t="str">
        <x:f>IF(AO732&gt;=70,"High",IF(AO732&gt;=40,"Moderate","Low"))</x:f>
        <x:v>Low</x:v>
      </x:c>
      <x:c r="AQ732" s="37" t="n">
        <x:f>ROUND(MAX(0,MIN(100,(O732/4*100*0.25)+(P732/4*100*0.20)+(Q732/4*100*0.15)+(Y732/5*100*0.20)+(100-AO732)*0.20)),1)</x:f>
        <x:v>81.8</x:v>
      </x:c>
      <x:c r="AR732" s="37" t="n">
        <x:f>ROUND((AI732*0.20+AJ732*0.15+AN732*0.18+AG732*0.12+Z732*0.15+AQ732*0.20),1)</x:f>
        <x:v>87.1</x:v>
      </x:c>
      <x:c r="AS732" s="39" t="n">
        <x:f>ROUND((AC732*AF732*120)+(AH732*350)+(MAX(0,AI732-75)*220)+(MAX(0,AQ732-60)*100),0)</x:f>
        <x:v>31510</x:v>
      </x:c>
    </x:row>
    <x:row r="733">
      <x:c r="A733" s="35" t="n">
        <x:v>732</x:v>
      </x:c>
      <x:c r="B733" s="35" t="n">
        <x:v>38</x:v>
      </x:c>
      <x:c r="C733" s="35" t="str">
        <x:v>Female</x:v>
      </x:c>
      <x:c r="D733" s="35" t="str">
        <x:v>Sales</x:v>
      </x:c>
      <x:c r="E733" s="35" t="str">
        <x:v>Sales Executive</x:v>
      </x:c>
      <x:c r="F733" s="35" t="str">
        <x:v>Human Resources</x:v>
      </x:c>
      <x:c r="G733" s="35" t="str">
        <x:v>Single</x:v>
      </x:c>
      <x:c r="H733" s="35" t="n">
        <x:v>2</x:v>
      </x:c>
      <x:c r="I733" s="36" t="n">
        <x:v>7570</x:v>
      </x:c>
      <x:c r="J733" s="35" t="n">
        <x:v>10</x:v>
      </x:c>
      <x:c r="K733" s="35" t="n">
        <x:v>3</x:v>
      </x:c>
      <x:c r="L733" s="35" t="n">
        <x:v>1</x:v>
      </x:c>
      <x:c r="M733" s="35" t="n">
        <x:v>2</x:v>
      </x:c>
      <x:c r="N733" s="35" t="str">
        <x:v>No</x:v>
      </x:c>
      <x:c r="O733" s="35" t="n">
        <x:v>4</x:v>
      </x:c>
      <x:c r="P733" s="35" t="n">
        <x:v>3</x:v>
      </x:c>
      <x:c r="Q733" s="35" t="n">
        <x:v>2</x:v>
      </x:c>
      <x:c r="R733" s="35" t="n">
        <x:v>4</x:v>
      </x:c>
      <x:c r="S733" s="35" t="n">
        <x:v>3</x:v>
      </x:c>
      <x:c r="T733" s="35" t="n">
        <x:v>3</x:v>
      </x:c>
      <x:c r="U733" s="35" t="n">
        <x:v>0</x:v>
      </x:c>
      <x:c r="V733" s="35" t="n">
        <x:v>4</x:v>
      </x:c>
      <x:c r="W733" s="35" t="n">
        <x:v>5</x:v>
      </x:c>
      <x:c r="X733" s="35" t="n">
        <x:v>67</x:v>
      </x:c>
      <x:c r="Y733" s="35" t="n">
        <x:v>5</x:v>
      </x:c>
      <x:c r="Z733" s="35" t="n">
        <x:v>100</x:v>
      </x:c>
      <x:c r="AA733" s="35" t="n">
        <x:v>5</x:v>
      </x:c>
      <x:c r="AB733" s="35" t="n">
        <x:v>5</x:v>
      </x:c>
      <x:c r="AC733" s="35" t="n">
        <x:v>4</x:v>
      </x:c>
      <x:c r="AD733" s="35" t="n">
        <x:v>58</x:v>
      </x:c>
      <x:c r="AE733" s="35" t="n">
        <x:v>87</x:v>
      </x:c>
      <x:c r="AF733" s="35" t="n">
        <x:v>79</x:v>
      </x:c>
      <x:c r="AG733" s="35" t="n">
        <x:v>89</x:v>
      </x:c>
      <x:c r="AH733" s="35" t="n">
        <x:v>10</x:v>
      </x:c>
      <x:c r="AI733" s="37" t="n">
        <x:v>87.5</x:v>
      </x:c>
      <x:c r="AJ733" s="37" t="n">
        <x:v>90.8</x:v>
      </x:c>
      <x:c r="AK733" s="35" t="str">
        <x:v>No</x:v>
      </x:c>
      <x:c r="AL733" s="38" t="n">
        <x:f>IF(AA733=0,0,AB733/AA733)</x:f>
        <x:v>1</x:v>
      </x:c>
      <x:c r="AM733" s="38" t="n">
        <x:f>IF(AB733=0,0,AC733/AB733)</x:f>
        <x:v>0.8</x:v>
      </x:c>
      <x:c r="AN733" s="37" t="n">
        <x:f>ROUND((AD733*0.20+AE733*0.20+AF733*0.25+AG733*0.15+MIN(100,AC733*12)*0.20),1)</x:f>
        <x:v>71.7</x:v>
      </x:c>
      <x:c r="AO733" s="37" t="n">
        <x:f>ROUND(MAX(0,MIN(100,(X733*0.35)+(W733/45*100*0.20)+((5-O733)/4*100*0.15)+((5-P733)/4*100*0.10)+((6-Y733)/5*100*0.10)+((100-Z733)*0.10))),1)</x:f>
        <x:v>36.4</x:v>
      </x:c>
      <x:c r="AP733" s="37" t="str">
        <x:f>IF(AO733&gt;=70,"High",IF(AO733&gt;=40,"Moderate","Low"))</x:f>
        <x:v>Low</x:v>
      </x:c>
      <x:c r="AQ733" s="37" t="n">
        <x:f>ROUND(MAX(0,MIN(100,(O733/4*100*0.25)+(P733/4*100*0.20)+(Q733/4*100*0.15)+(Y733/5*100*0.20)+(100-AO733)*0.20)),1)</x:f>
        <x:v>80.2</x:v>
      </x:c>
      <x:c r="AR733" s="37" t="n">
        <x:f>ROUND((AI733*0.20+AJ733*0.15+AN733*0.18+AG733*0.12+Z733*0.15+AQ733*0.20),1)</x:f>
        <x:v>85.7</x:v>
      </x:c>
      <x:c r="AS733" s="39" t="n">
        <x:f>ROUND((AC733*AF733*120)+(AH733*350)+(MAX(0,AI733-75)*220)+(MAX(0,AQ733-60)*100),0)</x:f>
        <x:v>46190</x:v>
      </x:c>
    </x:row>
    <x:row r="734">
      <x:c r="A734" s="35" t="n">
        <x:v>733</x:v>
      </x:c>
      <x:c r="B734" s="35" t="n">
        <x:v>21</x:v>
      </x:c>
      <x:c r="C734" s="35" t="str">
        <x:v>Male</x:v>
      </x:c>
      <x:c r="D734" s="35" t="str">
        <x:v>Sales</x:v>
      </x:c>
      <x:c r="E734" s="35" t="str">
        <x:v>Account Manager</x:v>
      </x:c>
      <x:c r="F734" s="35" t="str">
        <x:v>Business</x:v>
      </x:c>
      <x:c r="G734" s="35" t="str">
        <x:v>Single</x:v>
      </x:c>
      <x:c r="H734" s="35" t="n">
        <x:v>1</x:v>
      </x:c>
      <x:c r="I734" s="36" t="n">
        <x:v>5000</x:v>
      </x:c>
      <x:c r="J734" s="35" t="n">
        <x:v>0</x:v>
      </x:c>
      <x:c r="K734" s="35" t="n">
        <x:v>0</x:v>
      </x:c>
      <x:c r="L734" s="35" t="n">
        <x:v>0</x:v>
      </x:c>
      <x:c r="M734" s="35" t="n">
        <x:v>13</x:v>
      </x:c>
      <x:c r="N734" s="35" t="str">
        <x:v>No</x:v>
      </x:c>
      <x:c r="O734" s="35" t="n">
        <x:v>3</x:v>
      </x:c>
      <x:c r="P734" s="35" t="n">
        <x:v>4</x:v>
      </x:c>
      <x:c r="Q734" s="35" t="n">
        <x:v>4</x:v>
      </x:c>
      <x:c r="R734" s="35" t="n">
        <x:v>2</x:v>
      </x:c>
      <x:c r="S734" s="35" t="n">
        <x:v>4</x:v>
      </x:c>
      <x:c r="T734" s="35" t="n">
        <x:v>4</x:v>
      </x:c>
      <x:c r="U734" s="35" t="n">
        <x:v>0</x:v>
      </x:c>
      <x:c r="V734" s="35" t="n">
        <x:v>9</x:v>
      </x:c>
      <x:c r="W734" s="35" t="n">
        <x:v>2</x:v>
      </x:c>
      <x:c r="X734" s="35" t="n">
        <x:v>65</x:v>
      </x:c>
      <x:c r="Y734" s="35" t="n">
        <x:v>5</x:v>
      </x:c>
      <x:c r="Z734" s="35" t="n">
        <x:v>99</x:v>
      </x:c>
      <x:c r="AA734" s="35" t="n">
        <x:v>1</x:v>
      </x:c>
      <x:c r="AB734" s="35" t="n">
        <x:v>1</x:v>
      </x:c>
      <x:c r="AC734" s="35" t="n">
        <x:v>1</x:v>
      </x:c>
      <x:c r="AD734" s="35" t="n">
        <x:v>62</x:v>
      </x:c>
      <x:c r="AE734" s="35" t="n">
        <x:v>64</x:v>
      </x:c>
      <x:c r="AF734" s="35" t="n">
        <x:v>68</x:v>
      </x:c>
      <x:c r="AG734" s="35" t="n">
        <x:v>95</x:v>
      </x:c>
      <x:c r="AH734" s="35" t="n">
        <x:v>9</x:v>
      </x:c>
      <x:c r="AI734" s="37" t="n">
        <x:v>100</x:v>
      </x:c>
      <x:c r="AJ734" s="37" t="n">
        <x:v>100</x:v>
      </x:c>
      <x:c r="AK734" s="35" t="str">
        <x:v>No</x:v>
      </x:c>
      <x:c r="AL734" s="38" t="n">
        <x:f>IF(AA734=0,0,AB734/AA734)</x:f>
        <x:v>1</x:v>
      </x:c>
      <x:c r="AM734" s="38" t="n">
        <x:f>IF(AB734=0,0,AC734/AB734)</x:f>
        <x:v>1</x:v>
      </x:c>
      <x:c r="AN734" s="37" t="n">
        <x:f>ROUND((AD734*0.20+AE734*0.20+AF734*0.25+AG734*0.15+MIN(100,AC734*12)*0.20),1)</x:f>
        <x:v>58.9</x:v>
      </x:c>
      <x:c r="AO734" s="37" t="n">
        <x:f>ROUND(MAX(0,MIN(100,(X734*0.35)+(W734/45*100*0.20)+((5-O734)/4*100*0.15)+((5-P734)/4*100*0.10)+((6-Y734)/5*100*0.10)+((100-Z734)*0.10))),1)</x:f>
        <x:v>35.7</x:v>
      </x:c>
      <x:c r="AP734" s="37" t="str">
        <x:f>IF(AO734&gt;=70,"High",IF(AO734&gt;=40,"Moderate","Low"))</x:f>
        <x:v>Low</x:v>
      </x:c>
      <x:c r="AQ734" s="37" t="n">
        <x:f>ROUND(MAX(0,MIN(100,(O734/4*100*0.25)+(P734/4*100*0.20)+(Q734/4*100*0.15)+(Y734/5*100*0.20)+(100-AO734)*0.20)),1)</x:f>
        <x:v>86.6</x:v>
      </x:c>
      <x:c r="AR734" s="37" t="n">
        <x:f>ROUND((AI734*0.20+AJ734*0.15+AN734*0.18+AG734*0.12+Z734*0.15+AQ734*0.20),1)</x:f>
        <x:v>89.2</x:v>
      </x:c>
      <x:c r="AS734" s="39" t="n">
        <x:f>ROUND((AC734*AF734*120)+(AH734*350)+(MAX(0,AI734-75)*220)+(MAX(0,AQ734-60)*100),0)</x:f>
        <x:v>19470</x:v>
      </x:c>
    </x:row>
    <x:row r="735">
      <x:c r="A735" s="35" t="n">
        <x:v>734</x:v>
      </x:c>
      <x:c r="B735" s="35" t="n">
        <x:v>46</x:v>
      </x:c>
      <x:c r="C735" s="35" t="str">
        <x:v>Male</x:v>
      </x:c>
      <x:c r="D735" s="35" t="str">
        <x:v>Research &amp; Development</x:v>
      </x:c>
      <x:c r="E735" s="35" t="str">
        <x:v>Research Scientist</x:v>
      </x:c>
      <x:c r="F735" s="35" t="str">
        <x:v>Medical</x:v>
      </x:c>
      <x:c r="G735" s="35" t="str">
        <x:v>Married</x:v>
      </x:c>
      <x:c r="H735" s="35" t="n">
        <x:v>2</x:v>
      </x:c>
      <x:c r="I735" s="36" t="n">
        <x:v>8540</x:v>
      </x:c>
      <x:c r="J735" s="35" t="n">
        <x:v>20</x:v>
      </x:c>
      <x:c r="K735" s="35" t="n">
        <x:v>6</x:v>
      </x:c>
      <x:c r="L735" s="35" t="n">
        <x:v>4</x:v>
      </x:c>
      <x:c r="M735" s="35" t="n">
        <x:v>3</x:v>
      </x:c>
      <x:c r="N735" s="35" t="str">
        <x:v>No</x:v>
      </x:c>
      <x:c r="O735" s="35" t="n">
        <x:v>2</x:v>
      </x:c>
      <x:c r="P735" s="35" t="n">
        <x:v>3</x:v>
      </x:c>
      <x:c r="Q735" s="35" t="n">
        <x:v>3</x:v>
      </x:c>
      <x:c r="R735" s="35" t="n">
        <x:v>2</x:v>
      </x:c>
      <x:c r="S735" s="35" t="n">
        <x:v>3</x:v>
      </x:c>
      <x:c r="T735" s="35" t="n">
        <x:v>3</x:v>
      </x:c>
      <x:c r="U735" s="35" t="n">
        <x:v>0</x:v>
      </x:c>
      <x:c r="V735" s="35" t="n">
        <x:v>0</x:v>
      </x:c>
      <x:c r="W735" s="35" t="n">
        <x:v>3</x:v>
      </x:c>
      <x:c r="X735" s="35" t="n">
        <x:v>69</x:v>
      </x:c>
      <x:c r="Y735" s="35" t="n">
        <x:v>4</x:v>
      </x:c>
      <x:c r="Z735" s="35" t="n">
        <x:v>99</x:v>
      </x:c>
      <x:c r="AA735" s="35" t="n">
        <x:v>3</x:v>
      </x:c>
      <x:c r="AB735" s="35" t="n">
        <x:v>1</x:v>
      </x:c>
      <x:c r="AC735" s="35" t="n">
        <x:v>1</x:v>
      </x:c>
      <x:c r="AD735" s="35" t="n">
        <x:v>67</x:v>
      </x:c>
      <x:c r="AE735" s="35" t="n">
        <x:v>70</x:v>
      </x:c>
      <x:c r="AF735" s="35" t="n">
        <x:v>55</x:v>
      </x:c>
      <x:c r="AG735" s="35" t="n">
        <x:v>82</x:v>
      </x:c>
      <x:c r="AH735" s="35" t="n">
        <x:v>6</x:v>
      </x:c>
      <x:c r="AI735" s="37" t="n">
        <x:v>97.1</x:v>
      </x:c>
      <x:c r="AJ735" s="37" t="n">
        <x:v>92.9</x:v>
      </x:c>
      <x:c r="AK735" s="35" t="str">
        <x:v>No</x:v>
      </x:c>
      <x:c r="AL735" s="38" t="n">
        <x:f>IF(AA735=0,0,AB735/AA735)</x:f>
        <x:v>0.3333333333333333</x:v>
      </x:c>
      <x:c r="AM735" s="38" t="n">
        <x:f>IF(AB735=0,0,AC735/AB735)</x:f>
        <x:v>1</x:v>
      </x:c>
      <x:c r="AN735" s="37" t="n">
        <x:f>ROUND((AD735*0.20+AE735*0.20+AF735*0.25+AG735*0.15+MIN(100,AC735*12)*0.20),1)</x:f>
        <x:v>55.9</x:v>
      </x:c>
      <x:c r="AO735" s="37" t="n">
        <x:f>ROUND(MAX(0,MIN(100,(X735*0.35)+(W735/45*100*0.20)+((5-O735)/4*100*0.15)+((5-P735)/4*100*0.10)+((6-Y735)/5*100*0.10)+((100-Z735)*0.10))),1)</x:f>
        <x:v>45.8</x:v>
      </x:c>
      <x:c r="AP735" s="37" t="str">
        <x:f>IF(AO735&gt;=70,"High",IF(AO735&gt;=40,"Moderate","Low"))</x:f>
        <x:v>Moderate</x:v>
      </x:c>
      <x:c r="AQ735" s="37" t="n">
        <x:f>ROUND(MAX(0,MIN(100,(O735/4*100*0.25)+(P735/4*100*0.20)+(Q735/4*100*0.15)+(Y735/5*100*0.20)+(100-AO735)*0.20)),1)</x:f>
        <x:v>65.6</x:v>
      </x:c>
      <x:c r="AR735" s="37" t="n">
        <x:f>ROUND((AI735*0.20+AJ735*0.15+AN735*0.18+AG735*0.12+Z735*0.15+AQ735*0.20),1)</x:f>
        <x:v>81.2</x:v>
      </x:c>
      <x:c r="AS735" s="39" t="n">
        <x:f>ROUND((AC735*AF735*120)+(AH735*350)+(MAX(0,AI735-75)*220)+(MAX(0,AQ735-60)*100),0)</x:f>
        <x:v>14122</x:v>
      </x:c>
    </x:row>
    <x:row r="736">
      <x:c r="A736" s="35" t="n">
        <x:v>735</x:v>
      </x:c>
      <x:c r="B736" s="35" t="n">
        <x:v>34</x:v>
      </x:c>
      <x:c r="C736" s="35" t="str">
        <x:v>Male</x:v>
      </x:c>
      <x:c r="D736" s="35" t="str">
        <x:v>Sales</x:v>
      </x:c>
      <x:c r="E736" s="35" t="str">
        <x:v>Account Manager</x:v>
      </x:c>
      <x:c r="F736" s="35" t="str">
        <x:v>Business</x:v>
      </x:c>
      <x:c r="G736" s="35" t="str">
        <x:v>Single</x:v>
      </x:c>
      <x:c r="H736" s="35" t="n">
        <x:v>3</x:v>
      </x:c>
      <x:c r="I736" s="36" t="n">
        <x:v>14160</x:v>
      </x:c>
      <x:c r="J736" s="35" t="n">
        <x:v>11</x:v>
      </x:c>
      <x:c r="K736" s="35" t="n">
        <x:v>4</x:v>
      </x:c>
      <x:c r="L736" s="35" t="n">
        <x:v>2</x:v>
      </x:c>
      <x:c r="M736" s="35" t="n">
        <x:v>24</x:v>
      </x:c>
      <x:c r="N736" s="35" t="str">
        <x:v>No</x:v>
      </x:c>
      <x:c r="O736" s="35" t="n">
        <x:v>2</x:v>
      </x:c>
      <x:c r="P736" s="35" t="n">
        <x:v>2</x:v>
      </x:c>
      <x:c r="Q736" s="35" t="n">
        <x:v>3</x:v>
      </x:c>
      <x:c r="R736" s="35" t="n">
        <x:v>4</x:v>
      </x:c>
      <x:c r="S736" s="35" t="n">
        <x:v>4</x:v>
      </x:c>
      <x:c r="T736" s="35" t="n">
        <x:v>3</x:v>
      </x:c>
      <x:c r="U736" s="35" t="n">
        <x:v>2</x:v>
      </x:c>
      <x:c r="V736" s="35" t="n">
        <x:v>5</x:v>
      </x:c>
      <x:c r="W736" s="35" t="n">
        <x:v>0</x:v>
      </x:c>
      <x:c r="X736" s="35" t="n">
        <x:v>65</x:v>
      </x:c>
      <x:c r="Y736" s="35" t="n">
        <x:v>5</x:v>
      </x:c>
      <x:c r="Z736" s="35" t="n">
        <x:v>100</x:v>
      </x:c>
      <x:c r="AA736" s="35" t="n">
        <x:v>5</x:v>
      </x:c>
      <x:c r="AB736" s="35" t="n">
        <x:v>3</x:v>
      </x:c>
      <x:c r="AC736" s="35" t="n">
        <x:v>3</x:v>
      </x:c>
      <x:c r="AD736" s="35" t="n">
        <x:v>75</x:v>
      </x:c>
      <x:c r="AE736" s="35" t="n">
        <x:v>93</x:v>
      </x:c>
      <x:c r="AF736" s="35" t="n">
        <x:v>84</x:v>
      </x:c>
      <x:c r="AG736" s="35" t="n">
        <x:v>93</x:v>
      </x:c>
      <x:c r="AH736" s="35" t="n">
        <x:v>5</x:v>
      </x:c>
      <x:c r="AI736" s="37" t="n">
        <x:v>100</x:v>
      </x:c>
      <x:c r="AJ736" s="37" t="n">
        <x:v>98.3</x:v>
      </x:c>
      <x:c r="AK736" s="35" t="str">
        <x:v>No</x:v>
      </x:c>
      <x:c r="AL736" s="38" t="n">
        <x:f>IF(AA736=0,0,AB736/AA736)</x:f>
        <x:v>0.6</x:v>
      </x:c>
      <x:c r="AM736" s="38" t="n">
        <x:f>IF(AB736=0,0,AC736/AB736)</x:f>
        <x:v>1</x:v>
      </x:c>
      <x:c r="AN736" s="37" t="n">
        <x:f>ROUND((AD736*0.20+AE736*0.20+AF736*0.25+AG736*0.15+MIN(100,AC736*12)*0.20),1)</x:f>
        <x:v>75.8</x:v>
      </x:c>
      <x:c r="AO736" s="37" t="n">
        <x:f>ROUND(MAX(0,MIN(100,(X736*0.35)+(W736/45*100*0.20)+((5-O736)/4*100*0.15)+((5-P736)/4*100*0.10)+((6-Y736)/5*100*0.10)+((100-Z736)*0.10))),1)</x:f>
        <x:v>43.5</x:v>
      </x:c>
      <x:c r="AP736" s="37" t="str">
        <x:f>IF(AO736&gt;=70,"High",IF(AO736&gt;=40,"Moderate","Low"))</x:f>
        <x:v>Moderate</x:v>
      </x:c>
      <x:c r="AQ736" s="37" t="n">
        <x:f>ROUND(MAX(0,MIN(100,(O736/4*100*0.25)+(P736/4*100*0.20)+(Q736/4*100*0.15)+(Y736/5*100*0.20)+(100-AO736)*0.20)),1)</x:f>
        <x:v>65.1</x:v>
      </x:c>
      <x:c r="AR736" s="37" t="n">
        <x:f>ROUND((AI736*0.20+AJ736*0.15+AN736*0.18+AG736*0.12+Z736*0.15+AQ736*0.20),1)</x:f>
        <x:v>87.6</x:v>
      </x:c>
      <x:c r="AS736" s="39" t="n">
        <x:f>ROUND((AC736*AF736*120)+(AH736*350)+(MAX(0,AI736-75)*220)+(MAX(0,AQ736-60)*100),0)</x:f>
        <x:v>38000</x:v>
      </x:c>
    </x:row>
    <x:row r="737">
      <x:c r="A737" s="35" t="n">
        <x:v>736</x:v>
      </x:c>
      <x:c r="B737" s="35" t="n">
        <x:v>40</x:v>
      </x:c>
      <x:c r="C737" s="35" t="str">
        <x:v>Female</x:v>
      </x:c>
      <x:c r="D737" s="35" t="str">
        <x:v>Human Resources</x:v>
      </x:c>
      <x:c r="E737" s="35" t="str">
        <x:v>HR Manager</x:v>
      </x:c>
      <x:c r="F737" s="35" t="str">
        <x:v>Life Sciences</x:v>
      </x:c>
      <x:c r="G737" s="35" t="str">
        <x:v>Married</x:v>
      </x:c>
      <x:c r="H737" s="35" t="n">
        <x:v>3</x:v>
      </x:c>
      <x:c r="I737" s="36" t="n">
        <x:v>16960</x:v>
      </x:c>
      <x:c r="J737" s="35" t="n">
        <x:v>16</x:v>
      </x:c>
      <x:c r="K737" s="35" t="n">
        <x:v>10</x:v>
      </x:c>
      <x:c r="L737" s="35" t="n">
        <x:v>3</x:v>
      </x:c>
      <x:c r="M737" s="35" t="n">
        <x:v>15</x:v>
      </x:c>
      <x:c r="N737" s="35" t="str">
        <x:v>No</x:v>
      </x:c>
      <x:c r="O737" s="35" t="n">
        <x:v>4</x:v>
      </x:c>
      <x:c r="P737" s="35" t="n">
        <x:v>3</x:v>
      </x:c>
      <x:c r="Q737" s="35" t="n">
        <x:v>4</x:v>
      </x:c>
      <x:c r="R737" s="35" t="n">
        <x:v>3</x:v>
      </x:c>
      <x:c r="S737" s="35" t="n">
        <x:v>3</x:v>
      </x:c>
      <x:c r="T737" s="35" t="n">
        <x:v>3</x:v>
      </x:c>
      <x:c r="U737" s="35" t="n">
        <x:v>1</x:v>
      </x:c>
      <x:c r="V737" s="35" t="n">
        <x:v>3</x:v>
      </x:c>
      <x:c r="W737" s="35" t="n">
        <x:v>0</x:v>
      </x:c>
      <x:c r="X737" s="35" t="n">
        <x:v>72</x:v>
      </x:c>
      <x:c r="Y737" s="35" t="n">
        <x:v>4</x:v>
      </x:c>
      <x:c r="Z737" s="35" t="n">
        <x:v>98</x:v>
      </x:c>
      <x:c r="AA737" s="35" t="n">
        <x:v>3</x:v>
      </x:c>
      <x:c r="AB737" s="35" t="n">
        <x:v>1</x:v>
      </x:c>
      <x:c r="AC737" s="35" t="n">
        <x:v>0</x:v>
      </x:c>
      <x:c r="AD737" s="35" t="n">
        <x:v>77</x:v>
      </x:c>
      <x:c r="AE737" s="35" t="n">
        <x:v>66</x:v>
      </x:c>
      <x:c r="AF737" s="35" t="n">
        <x:v>65</x:v>
      </x:c>
      <x:c r="AG737" s="35" t="n">
        <x:v>94</x:v>
      </x:c>
      <x:c r="AH737" s="35" t="n">
        <x:v>2</x:v>
      </x:c>
      <x:c r="AI737" s="37" t="n">
        <x:v>100</x:v>
      </x:c>
      <x:c r="AJ737" s="37" t="n">
        <x:v>92.5</x:v>
      </x:c>
      <x:c r="AK737" s="35" t="str">
        <x:v>No</x:v>
      </x:c>
      <x:c r="AL737" s="38" t="n">
        <x:f>IF(AA737=0,0,AB737/AA737)</x:f>
        <x:v>0.3333333333333333</x:v>
      </x:c>
      <x:c r="AM737" s="38" t="n">
        <x:f>IF(AB737=0,0,AC737/AB737)</x:f>
        <x:v>0</x:v>
      </x:c>
      <x:c r="AN737" s="37" t="n">
        <x:f>ROUND((AD737*0.20+AE737*0.20+AF737*0.25+AG737*0.15+MIN(100,AC737*12)*0.20),1)</x:f>
        <x:v>59</x:v>
      </x:c>
      <x:c r="AO737" s="37" t="n">
        <x:f>ROUND(MAX(0,MIN(100,(X737*0.35)+(W737/45*100*0.20)+((5-O737)/4*100*0.15)+((5-P737)/4*100*0.10)+((6-Y737)/5*100*0.10)+((100-Z737)*0.10))),1)</x:f>
        <x:v>38.2</x:v>
      </x:c>
      <x:c r="AP737" s="37" t="str">
        <x:f>IF(AO737&gt;=70,"High",IF(AO737&gt;=40,"Moderate","Low"))</x:f>
        <x:v>Low</x:v>
      </x:c>
      <x:c r="AQ737" s="37" t="n">
        <x:f>ROUND(MAX(0,MIN(100,(O737/4*100*0.25)+(P737/4*100*0.20)+(Q737/4*100*0.15)+(Y737/5*100*0.20)+(100-AO737)*0.20)),1)</x:f>
        <x:v>83.4</x:v>
      </x:c>
      <x:c r="AR737" s="37" t="n">
        <x:f>ROUND((AI737*0.20+AJ737*0.15+AN737*0.18+AG737*0.12+Z737*0.15+AQ737*0.20),1)</x:f>
        <x:v>87.2</x:v>
      </x:c>
      <x:c r="AS737" s="39" t="n">
        <x:f>ROUND((AC737*AF737*120)+(AH737*350)+(MAX(0,AI737-75)*220)+(MAX(0,AQ737-60)*100),0)</x:f>
        <x:v>8540</x:v>
      </x:c>
    </x:row>
    <x:row r="738">
      <x:c r="A738" s="35" t="n">
        <x:v>737</x:v>
      </x:c>
      <x:c r="B738" s="35" t="n">
        <x:v>40</x:v>
      </x:c>
      <x:c r="C738" s="35" t="str">
        <x:v>Female</x:v>
      </x:c>
      <x:c r="D738" s="35" t="str">
        <x:v>Finance</x:v>
      </x:c>
      <x:c r="E738" s="35" t="str">
        <x:v>Accountant</x:v>
      </x:c>
      <x:c r="F738" s="35" t="str">
        <x:v>Computer Science</x:v>
      </x:c>
      <x:c r="G738" s="35" t="str">
        <x:v>Single</x:v>
      </x:c>
      <x:c r="H738" s="35" t="n">
        <x:v>3</x:v>
      </x:c>
      <x:c r="I738" s="36" t="n">
        <x:v>12350</x:v>
      </x:c>
      <x:c r="J738" s="35" t="n">
        <x:v>17</x:v>
      </x:c>
      <x:c r="K738" s="35" t="n">
        <x:v>5</x:v>
      </x:c>
      <x:c r="L738" s="35" t="n">
        <x:v>3</x:v>
      </x:c>
      <x:c r="M738" s="35" t="n">
        <x:v>14</x:v>
      </x:c>
      <x:c r="N738" s="35" t="str">
        <x:v>No</x:v>
      </x:c>
      <x:c r="O738" s="35" t="n">
        <x:v>3</x:v>
      </x:c>
      <x:c r="P738" s="35" t="n">
        <x:v>2</x:v>
      </x:c>
      <x:c r="Q738" s="35" t="n">
        <x:v>2</x:v>
      </x:c>
      <x:c r="R738" s="35" t="n">
        <x:v>4</x:v>
      </x:c>
      <x:c r="S738" s="35" t="n">
        <x:v>3</x:v>
      </x:c>
      <x:c r="T738" s="35" t="n">
        <x:v>1</x:v>
      </x:c>
      <x:c r="U738" s="35" t="n">
        <x:v>2</x:v>
      </x:c>
      <x:c r="V738" s="35" t="n">
        <x:v>2</x:v>
      </x:c>
      <x:c r="W738" s="35" t="n">
        <x:v>0</x:v>
      </x:c>
      <x:c r="X738" s="35" t="n">
        <x:v>57</x:v>
      </x:c>
      <x:c r="Y738" s="35" t="n">
        <x:v>5</x:v>
      </x:c>
      <x:c r="Z738" s="35" t="n">
        <x:v>100</x:v>
      </x:c>
      <x:c r="AA738" s="35" t="n">
        <x:v>8</x:v>
      </x:c>
      <x:c r="AB738" s="35" t="n">
        <x:v>4</x:v>
      </x:c>
      <x:c r="AC738" s="35" t="n">
        <x:v>4</x:v>
      </x:c>
      <x:c r="AD738" s="35" t="n">
        <x:v>72</x:v>
      </x:c>
      <x:c r="AE738" s="35" t="n">
        <x:v>78</x:v>
      </x:c>
      <x:c r="AF738" s="35" t="n">
        <x:v>80</x:v>
      </x:c>
      <x:c r="AG738" s="35" t="n">
        <x:v>100</x:v>
      </x:c>
      <x:c r="AH738" s="35" t="n">
        <x:v>9</x:v>
      </x:c>
      <x:c r="AI738" s="37" t="n">
        <x:v>100</x:v>
      </x:c>
      <x:c r="AJ738" s="37" t="n">
        <x:v>97.7</x:v>
      </x:c>
      <x:c r="AK738" s="35" t="str">
        <x:v>No</x:v>
      </x:c>
      <x:c r="AL738" s="38" t="n">
        <x:f>IF(AA738=0,0,AB738/AA738)</x:f>
        <x:v>0.5</x:v>
      </x:c>
      <x:c r="AM738" s="38" t="n">
        <x:f>IF(AB738=0,0,AC738/AB738)</x:f>
        <x:v>1</x:v>
      </x:c>
      <x:c r="AN738" s="37" t="n">
        <x:f>ROUND((AD738*0.20+AE738*0.20+AF738*0.25+AG738*0.15+MIN(100,AC738*12)*0.20),1)</x:f>
        <x:v>74.6</x:v>
      </x:c>
      <x:c r="AO738" s="37" t="n">
        <x:f>ROUND(MAX(0,MIN(100,(X738*0.35)+(W738/45*100*0.20)+((5-O738)/4*100*0.15)+((5-P738)/4*100*0.10)+((6-Y738)/5*100*0.10)+((100-Z738)*0.10))),1)</x:f>
        <x:v>37</x:v>
      </x:c>
      <x:c r="AP738" s="37" t="str">
        <x:f>IF(AO738&gt;=70,"High",IF(AO738&gt;=40,"Moderate","Low"))</x:f>
        <x:v>Low</x:v>
      </x:c>
      <x:c r="AQ738" s="37" t="n">
        <x:f>ROUND(MAX(0,MIN(100,(O738/4*100*0.25)+(P738/4*100*0.20)+(Q738/4*100*0.15)+(Y738/5*100*0.20)+(100-AO738)*0.20)),1)</x:f>
        <x:v>68.9</x:v>
      </x:c>
      <x:c r="AR738" s="37" t="n">
        <x:f>ROUND((AI738*0.20+AJ738*0.15+AN738*0.18+AG738*0.12+Z738*0.15+AQ738*0.20),1)</x:f>
        <x:v>88.9</x:v>
      </x:c>
      <x:c r="AS738" s="39" t="n">
        <x:f>ROUND((AC738*AF738*120)+(AH738*350)+(MAX(0,AI738-75)*220)+(MAX(0,AQ738-60)*100),0)</x:f>
        <x:v>47940</x:v>
      </x:c>
    </x:row>
    <x:row r="739">
      <x:c r="A739" s="35" t="n">
        <x:v>738</x:v>
      </x:c>
      <x:c r="B739" s="35" t="n">
        <x:v>50</x:v>
      </x:c>
      <x:c r="C739" s="35" t="str">
        <x:v>Male</x:v>
      </x:c>
      <x:c r="D739" s="35" t="str">
        <x:v>Research &amp; Development</x:v>
      </x:c>
      <x:c r="E739" s="35" t="str">
        <x:v>Research Scientist</x:v>
      </x:c>
      <x:c r="F739" s="35" t="str">
        <x:v>Human Resources</x:v>
      </x:c>
      <x:c r="G739" s="35" t="str">
        <x:v>Married</x:v>
      </x:c>
      <x:c r="H739" s="35" t="n">
        <x:v>3</x:v>
      </x:c>
      <x:c r="I739" s="36" t="n">
        <x:v>14760</x:v>
      </x:c>
      <x:c r="J739" s="35" t="n">
        <x:v>22</x:v>
      </x:c>
      <x:c r="K739" s="35" t="n">
        <x:v>14</x:v>
      </x:c>
      <x:c r="L739" s="35" t="n">
        <x:v>4</x:v>
      </x:c>
      <x:c r="M739" s="35" t="n">
        <x:v>2</x:v>
      </x:c>
      <x:c r="N739" s="35" t="str">
        <x:v>No</x:v>
      </x:c>
      <x:c r="O739" s="35" t="n">
        <x:v>2</x:v>
      </x:c>
      <x:c r="P739" s="35" t="n">
        <x:v>2</x:v>
      </x:c>
      <x:c r="Q739" s="35" t="n">
        <x:v>3</x:v>
      </x:c>
      <x:c r="R739" s="35" t="n">
        <x:v>3</x:v>
      </x:c>
      <x:c r="S739" s="35" t="n">
        <x:v>3</x:v>
      </x:c>
      <x:c r="T739" s="35" t="n">
        <x:v>5</x:v>
      </x:c>
      <x:c r="U739" s="35" t="n">
        <x:v>0</x:v>
      </x:c>
      <x:c r="V739" s="35" t="n">
        <x:v>12</x:v>
      </x:c>
      <x:c r="W739" s="35" t="n">
        <x:v>0</x:v>
      </x:c>
      <x:c r="X739" s="35" t="n">
        <x:v>71</x:v>
      </x:c>
      <x:c r="Y739" s="35" t="n">
        <x:v>3</x:v>
      </x:c>
      <x:c r="Z739" s="35" t="n">
        <x:v>88</x:v>
      </x:c>
      <x:c r="AA739" s="35" t="n">
        <x:v>1</x:v>
      </x:c>
      <x:c r="AB739" s="35" t="n">
        <x:v>1</x:v>
      </x:c>
      <x:c r="AC739" s="35" t="n">
        <x:v>1</x:v>
      </x:c>
      <x:c r="AD739" s="35" t="n">
        <x:v>54</x:v>
      </x:c>
      <x:c r="AE739" s="35" t="n">
        <x:v>62</x:v>
      </x:c>
      <x:c r="AF739" s="35" t="n">
        <x:v>74</x:v>
      </x:c>
      <x:c r="AG739" s="35" t="n">
        <x:v>92</x:v>
      </x:c>
      <x:c r="AH739" s="35" t="n">
        <x:v>5</x:v>
      </x:c>
      <x:c r="AI739" s="37" t="n">
        <x:v>93.7</x:v>
      </x:c>
      <x:c r="AJ739" s="37" t="n">
        <x:v>86.4</x:v>
      </x:c>
      <x:c r="AK739" s="35" t="str">
        <x:v>No</x:v>
      </x:c>
      <x:c r="AL739" s="38" t="n">
        <x:f>IF(AA739=0,0,AB739/AA739)</x:f>
        <x:v>1</x:v>
      </x:c>
      <x:c r="AM739" s="38" t="n">
        <x:f>IF(AB739=0,0,AC739/AB739)</x:f>
        <x:v>1</x:v>
      </x:c>
      <x:c r="AN739" s="37" t="n">
        <x:f>ROUND((AD739*0.20+AE739*0.20+AF739*0.25+AG739*0.15+MIN(100,AC739*12)*0.20),1)</x:f>
        <x:v>57.9</x:v>
      </x:c>
      <x:c r="AO739" s="37" t="n">
        <x:f>ROUND(MAX(0,MIN(100,(X739*0.35)+(W739/45*100*0.20)+((5-O739)/4*100*0.15)+((5-P739)/4*100*0.10)+((6-Y739)/5*100*0.10)+((100-Z739)*0.10))),1)</x:f>
        <x:v>50.8</x:v>
      </x:c>
      <x:c r="AP739" s="37" t="str">
        <x:f>IF(AO739&gt;=70,"High",IF(AO739&gt;=40,"Moderate","Low"))</x:f>
        <x:v>Moderate</x:v>
      </x:c>
      <x:c r="AQ739" s="37" t="n">
        <x:f>ROUND(MAX(0,MIN(100,(O739/4*100*0.25)+(P739/4*100*0.20)+(Q739/4*100*0.15)+(Y739/5*100*0.20)+(100-AO739)*0.20)),1)</x:f>
        <x:v>55.6</x:v>
      </x:c>
      <x:c r="AR739" s="37" t="n">
        <x:f>ROUND((AI739*0.20+AJ739*0.15+AN739*0.18+AG739*0.12+Z739*0.15+AQ739*0.20),1)</x:f>
        <x:v>77.5</x:v>
      </x:c>
      <x:c r="AS739" s="39" t="n">
        <x:f>ROUND((AC739*AF739*120)+(AH739*350)+(MAX(0,AI739-75)*220)+(MAX(0,AQ739-60)*100),0)</x:f>
        <x:v>14744</x:v>
      </x:c>
    </x:row>
    <x:row r="740">
      <x:c r="A740" s="35" t="n">
        <x:v>739</x:v>
      </x:c>
      <x:c r="B740" s="35" t="n">
        <x:v>24</x:v>
      </x:c>
      <x:c r="C740" s="35" t="str">
        <x:v>Male</x:v>
      </x:c>
      <x:c r="D740" s="35" t="str">
        <x:v>Operations</x:v>
      </x:c>
      <x:c r="E740" s="35" t="str">
        <x:v>Operations Specialist</x:v>
      </x:c>
      <x:c r="F740" s="35" t="str">
        <x:v>Technical Degree</x:v>
      </x:c>
      <x:c r="G740" s="35" t="str">
        <x:v>Married</x:v>
      </x:c>
      <x:c r="H740" s="35" t="n">
        <x:v>1</x:v>
      </x:c>
      <x:c r="I740" s="36" t="n">
        <x:v>7160</x:v>
      </x:c>
      <x:c r="J740" s="35" t="n">
        <x:v>1</x:v>
      </x:c>
      <x:c r="K740" s="35" t="n">
        <x:v>1</x:v>
      </x:c>
      <x:c r="L740" s="35" t="n">
        <x:v>0</x:v>
      </x:c>
      <x:c r="M740" s="35" t="n">
        <x:v>3</x:v>
      </x:c>
      <x:c r="N740" s="35" t="str">
        <x:v>No</x:v>
      </x:c>
      <x:c r="O740" s="35" t="n">
        <x:v>3</x:v>
      </x:c>
      <x:c r="P740" s="35" t="n">
        <x:v>3</x:v>
      </x:c>
      <x:c r="Q740" s="35" t="n">
        <x:v>4</x:v>
      </x:c>
      <x:c r="R740" s="35" t="n">
        <x:v>3</x:v>
      </x:c>
      <x:c r="S740" s="35" t="n">
        <x:v>3</x:v>
      </x:c>
      <x:c r="T740" s="35" t="n">
        <x:v>3</x:v>
      </x:c>
      <x:c r="U740" s="35" t="n">
        <x:v>1</x:v>
      </x:c>
      <x:c r="V740" s="35" t="n">
        <x:v>8</x:v>
      </x:c>
      <x:c r="W740" s="35" t="n">
        <x:v>9</x:v>
      </x:c>
      <x:c r="X740" s="35" t="n">
        <x:v>74</x:v>
      </x:c>
      <x:c r="Y740" s="35" t="n">
        <x:v>5</x:v>
      </x:c>
      <x:c r="Z740" s="35" t="n">
        <x:v>100</x:v>
      </x:c>
      <x:c r="AA740" s="35" t="n">
        <x:v>8</x:v>
      </x:c>
      <x:c r="AB740" s="35" t="n">
        <x:v>5</x:v>
      </x:c>
      <x:c r="AC740" s="35" t="n">
        <x:v>4</x:v>
      </x:c>
      <x:c r="AD740" s="35" t="n">
        <x:v>60</x:v>
      </x:c>
      <x:c r="AE740" s="35" t="n">
        <x:v>100</x:v>
      </x:c>
      <x:c r="AF740" s="35" t="n">
        <x:v>82</x:v>
      </x:c>
      <x:c r="AG740" s="35" t="n">
        <x:v>95</x:v>
      </x:c>
      <x:c r="AH740" s="35" t="n">
        <x:v>6</x:v>
      </x:c>
      <x:c r="AI740" s="37" t="n">
        <x:v>100</x:v>
      </x:c>
      <x:c r="AJ740" s="37" t="n">
        <x:v>96</x:v>
      </x:c>
      <x:c r="AK740" s="35" t="str">
        <x:v>No</x:v>
      </x:c>
      <x:c r="AL740" s="38" t="n">
        <x:f>IF(AA740=0,0,AB740/AA740)</x:f>
        <x:v>0.625</x:v>
      </x:c>
      <x:c r="AM740" s="38" t="n">
        <x:f>IF(AB740=0,0,AC740/AB740)</x:f>
        <x:v>0.8</x:v>
      </x:c>
      <x:c r="AN740" s="37" t="n">
        <x:f>ROUND((AD740*0.20+AE740*0.20+AF740*0.25+AG740*0.15+MIN(100,AC740*12)*0.20),1)</x:f>
        <x:v>76.4</x:v>
      </x:c>
      <x:c r="AO740" s="37" t="n">
        <x:f>ROUND(MAX(0,MIN(100,(X740*0.35)+(W740/45*100*0.20)+((5-O740)/4*100*0.15)+((5-P740)/4*100*0.10)+((6-Y740)/5*100*0.10)+((100-Z740)*0.10))),1)</x:f>
        <x:v>44.4</x:v>
      </x:c>
      <x:c r="AP740" s="37" t="str">
        <x:f>IF(AO740&gt;=70,"High",IF(AO740&gt;=40,"Moderate","Low"))</x:f>
        <x:v>Moderate</x:v>
      </x:c>
      <x:c r="AQ740" s="37" t="n">
        <x:f>ROUND(MAX(0,MIN(100,(O740/4*100*0.25)+(P740/4*100*0.20)+(Q740/4*100*0.15)+(Y740/5*100*0.20)+(100-AO740)*0.20)),1)</x:f>
        <x:v>79.9</x:v>
      </x:c>
      <x:c r="AR740" s="37" t="n">
        <x:f>ROUND((AI740*0.20+AJ740*0.15+AN740*0.18+AG740*0.12+Z740*0.15+AQ740*0.20),1)</x:f>
        <x:v>90.5</x:v>
      </x:c>
      <x:c r="AS740" s="39" t="n">
        <x:f>ROUND((AC740*AF740*120)+(AH740*350)+(MAX(0,AI740-75)*220)+(MAX(0,AQ740-60)*100),0)</x:f>
        <x:v>48950</x:v>
      </x:c>
    </x:row>
    <x:row r="741">
      <x:c r="A741" s="35" t="n">
        <x:v>740</x:v>
      </x:c>
      <x:c r="B741" s="35" t="n">
        <x:v>36</x:v>
      </x:c>
      <x:c r="C741" s="35" t="str">
        <x:v>Female</x:v>
      </x:c>
      <x:c r="D741" s="35" t="str">
        <x:v>Research &amp; Development</x:v>
      </x:c>
      <x:c r="E741" s="35" t="str">
        <x:v>Research Scientist</x:v>
      </x:c>
      <x:c r="F741" s="35" t="str">
        <x:v>Medical</x:v>
      </x:c>
      <x:c r="G741" s="35" t="str">
        <x:v>Married</x:v>
      </x:c>
      <x:c r="H741" s="35" t="n">
        <x:v>2</x:v>
      </x:c>
      <x:c r="I741" s="36" t="n">
        <x:v>8890</x:v>
      </x:c>
      <x:c r="J741" s="35" t="n">
        <x:v>11</x:v>
      </x:c>
      <x:c r="K741" s="35" t="n">
        <x:v>9</x:v>
      </x:c>
      <x:c r="L741" s="35" t="n">
        <x:v>3</x:v>
      </x:c>
      <x:c r="M741" s="35" t="n">
        <x:v>4</x:v>
      </x:c>
      <x:c r="N741" s="35" t="str">
        <x:v>No</x:v>
      </x:c>
      <x:c r="O741" s="35" t="n">
        <x:v>2</x:v>
      </x:c>
      <x:c r="P741" s="35" t="n">
        <x:v>4</x:v>
      </x:c>
      <x:c r="Q741" s="35" t="n">
        <x:v>4</x:v>
      </x:c>
      <x:c r="R741" s="35" t="n">
        <x:v>4</x:v>
      </x:c>
      <x:c r="S741" s="35" t="n">
        <x:v>3</x:v>
      </x:c>
      <x:c r="T741" s="35" t="n">
        <x:v>4</x:v>
      </x:c>
      <x:c r="U741" s="35" t="n">
        <x:v>1</x:v>
      </x:c>
      <x:c r="V741" s="35" t="n">
        <x:v>7</x:v>
      </x:c>
      <x:c r="W741" s="35" t="n">
        <x:v>0</x:v>
      </x:c>
      <x:c r="X741" s="35" t="n">
        <x:v>72</x:v>
      </x:c>
      <x:c r="Y741" s="35" t="n">
        <x:v>4</x:v>
      </x:c>
      <x:c r="Z741" s="35" t="n">
        <x:v>100</x:v>
      </x:c>
      <x:c r="AA741" s="35" t="n">
        <x:v>3</x:v>
      </x:c>
      <x:c r="AB741" s="35" t="n">
        <x:v>3</x:v>
      </x:c>
      <x:c r="AC741" s="35" t="n">
        <x:v>2</x:v>
      </x:c>
      <x:c r="AD741" s="35" t="n">
        <x:v>68</x:v>
      </x:c>
      <x:c r="AE741" s="35" t="n">
        <x:v>71</x:v>
      </x:c>
      <x:c r="AF741" s="35" t="n">
        <x:v>72</x:v>
      </x:c>
      <x:c r="AG741" s="35" t="n">
        <x:v>100</x:v>
      </x:c>
      <x:c r="AH741" s="35" t="n">
        <x:v>9</x:v>
      </x:c>
      <x:c r="AI741" s="37" t="n">
        <x:v>97.6</x:v>
      </x:c>
      <x:c r="AJ741" s="37" t="n">
        <x:v>92.2</x:v>
      </x:c>
      <x:c r="AK741" s="35" t="str">
        <x:v>No</x:v>
      </x:c>
      <x:c r="AL741" s="38" t="n">
        <x:f>IF(AA741=0,0,AB741/AA741)</x:f>
        <x:v>1</x:v>
      </x:c>
      <x:c r="AM741" s="38" t="n">
        <x:f>IF(AB741=0,0,AC741/AB741)</x:f>
        <x:v>0.6666666666666666</x:v>
      </x:c>
      <x:c r="AN741" s="37" t="n">
        <x:f>ROUND((AD741*0.20+AE741*0.20+AF741*0.25+AG741*0.15+MIN(100,AC741*12)*0.20),1)</x:f>
        <x:v>65.6</x:v>
      </x:c>
      <x:c r="AO741" s="37" t="n">
        <x:f>ROUND(MAX(0,MIN(100,(X741*0.35)+(W741/45*100*0.20)+((5-O741)/4*100*0.15)+((5-P741)/4*100*0.10)+((6-Y741)/5*100*0.10)+((100-Z741)*0.10))),1)</x:f>
        <x:v>43</x:v>
      </x:c>
      <x:c r="AP741" s="37" t="str">
        <x:f>IF(AO741&gt;=70,"High",IF(AO741&gt;=40,"Moderate","Low"))</x:f>
        <x:v>Moderate</x:v>
      </x:c>
      <x:c r="AQ741" s="37" t="n">
        <x:f>ROUND(MAX(0,MIN(100,(O741/4*100*0.25)+(P741/4*100*0.20)+(Q741/4*100*0.15)+(Y741/5*100*0.20)+(100-AO741)*0.20)),1)</x:f>
        <x:v>74.9</x:v>
      </x:c>
      <x:c r="AR741" s="37" t="n">
        <x:f>ROUND((AI741*0.20+AJ741*0.15+AN741*0.18+AG741*0.12+Z741*0.15+AQ741*0.20),1)</x:f>
        <x:v>87.1</x:v>
      </x:c>
      <x:c r="AS741" s="39" t="n">
        <x:f>ROUND((AC741*AF741*120)+(AH741*350)+(MAX(0,AI741-75)*220)+(MAX(0,AQ741-60)*100),0)</x:f>
        <x:v>26892</x:v>
      </x:c>
    </x:row>
    <x:row r="742">
      <x:c r="A742" s="35" t="n">
        <x:v>741</x:v>
      </x:c>
      <x:c r="B742" s="35" t="n">
        <x:v>31</x:v>
      </x:c>
      <x:c r="C742" s="35" t="str">
        <x:v>Male</x:v>
      </x:c>
      <x:c r="D742" s="35" t="str">
        <x:v>Marketing</x:v>
      </x:c>
      <x:c r="E742" s="35" t="str">
        <x:v>Marketing Specialist</x:v>
      </x:c>
      <x:c r="F742" s="35" t="str">
        <x:v>Human Resources</x:v>
      </x:c>
      <x:c r="G742" s="35" t="str">
        <x:v>Married</x:v>
      </x:c>
      <x:c r="H742" s="35" t="n">
        <x:v>1</x:v>
      </x:c>
      <x:c r="I742" s="36" t="n">
        <x:v>6070</x:v>
      </x:c>
      <x:c r="J742" s="35" t="n">
        <x:v>8</x:v>
      </x:c>
      <x:c r="K742" s="35" t="n">
        <x:v>2</x:v>
      </x:c>
      <x:c r="L742" s="35" t="n">
        <x:v>1</x:v>
      </x:c>
      <x:c r="M742" s="35" t="n">
        <x:v>4</x:v>
      </x:c>
      <x:c r="N742" s="35" t="str">
        <x:v>No</x:v>
      </x:c>
      <x:c r="O742" s="35" t="n">
        <x:v>3</x:v>
      </x:c>
      <x:c r="P742" s="35" t="n">
        <x:v>3</x:v>
      </x:c>
      <x:c r="Q742" s="35" t="n">
        <x:v>4</x:v>
      </x:c>
      <x:c r="R742" s="35" t="n">
        <x:v>3</x:v>
      </x:c>
      <x:c r="S742" s="35" t="n">
        <x:v>3</x:v>
      </x:c>
      <x:c r="T742" s="35" t="n">
        <x:v>2</x:v>
      </x:c>
      <x:c r="U742" s="35" t="n">
        <x:v>2</x:v>
      </x:c>
      <x:c r="V742" s="35" t="n">
        <x:v>5</x:v>
      </x:c>
      <x:c r="W742" s="35" t="n">
        <x:v>6</x:v>
      </x:c>
      <x:c r="X742" s="35" t="n">
        <x:v>77</x:v>
      </x:c>
      <x:c r="Y742" s="35" t="n">
        <x:v>4</x:v>
      </x:c>
      <x:c r="Z742" s="35" t="n">
        <x:v>100</x:v>
      </x:c>
      <x:c r="AA742" s="35" t="n">
        <x:v>2</x:v>
      </x:c>
      <x:c r="AB742" s="35" t="n">
        <x:v>2</x:v>
      </x:c>
      <x:c r="AC742" s="35" t="n">
        <x:v>2</x:v>
      </x:c>
      <x:c r="AD742" s="35" t="n">
        <x:v>70</x:v>
      </x:c>
      <x:c r="AE742" s="35" t="n">
        <x:v>69</x:v>
      </x:c>
      <x:c r="AF742" s="35" t="n">
        <x:v>79</x:v>
      </x:c>
      <x:c r="AG742" s="35" t="n">
        <x:v>94</x:v>
      </x:c>
      <x:c r="AH742" s="35" t="n">
        <x:v>4</x:v>
      </x:c>
      <x:c r="AI742" s="37" t="n">
        <x:v>86</x:v>
      </x:c>
      <x:c r="AJ742" s="37" t="n">
        <x:v>88.1</x:v>
      </x:c>
      <x:c r="AK742" s="35" t="str">
        <x:v>Yes</x:v>
      </x:c>
      <x:c r="AL742" s="38" t="n">
        <x:f>IF(AA742=0,0,AB742/AA742)</x:f>
        <x:v>1</x:v>
      </x:c>
      <x:c r="AM742" s="38" t="n">
        <x:f>IF(AB742=0,0,AC742/AB742)</x:f>
        <x:v>1</x:v>
      </x:c>
      <x:c r="AN742" s="37" t="n">
        <x:f>ROUND((AD742*0.20+AE742*0.20+AF742*0.25+AG742*0.15+MIN(100,AC742*12)*0.20),1)</x:f>
        <x:v>66.5</x:v>
      </x:c>
      <x:c r="AO742" s="37" t="n">
        <x:f>ROUND(MAX(0,MIN(100,(X742*0.35)+(W742/45*100*0.20)+((5-O742)/4*100*0.15)+((5-P742)/4*100*0.10)+((6-Y742)/5*100*0.10)+((100-Z742)*0.10))),1)</x:f>
        <x:v>46.1</x:v>
      </x:c>
      <x:c r="AP742" s="37" t="str">
        <x:f>IF(AO742&gt;=70,"High",IF(AO742&gt;=40,"Moderate","Low"))</x:f>
        <x:v>Moderate</x:v>
      </x:c>
      <x:c r="AQ742" s="37" t="n">
        <x:f>ROUND(MAX(0,MIN(100,(O742/4*100*0.25)+(P742/4*100*0.20)+(Q742/4*100*0.15)+(Y742/5*100*0.20)+(100-AO742)*0.20)),1)</x:f>
        <x:v>75.5</x:v>
      </x:c>
      <x:c r="AR742" s="37" t="n">
        <x:f>ROUND((AI742*0.20+AJ742*0.15+AN742*0.18+AG742*0.12+Z742*0.15+AQ742*0.20),1)</x:f>
        <x:v>83.8</x:v>
      </x:c>
      <x:c r="AS742" s="39" t="n">
        <x:f>ROUND((AC742*AF742*120)+(AH742*350)+(MAX(0,AI742-75)*220)+(MAX(0,AQ742-60)*100),0)</x:f>
        <x:v>24330</x:v>
      </x:c>
    </x:row>
    <x:row r="743">
      <x:c r="A743" s="35" t="n">
        <x:v>742</x:v>
      </x:c>
      <x:c r="B743" s="35" t="n">
        <x:v>21</x:v>
      </x:c>
      <x:c r="C743" s="35" t="str">
        <x:v>Male</x:v>
      </x:c>
      <x:c r="D743" s="35" t="str">
        <x:v>Human Resources</x:v>
      </x:c>
      <x:c r="E743" s="35" t="str">
        <x:v>HR Manager</x:v>
      </x:c>
      <x:c r="F743" s="35" t="str">
        <x:v>Business</x:v>
      </x:c>
      <x:c r="G743" s="35" t="str">
        <x:v>Married</x:v>
      </x:c>
      <x:c r="H743" s="35" t="n">
        <x:v>1</x:v>
      </x:c>
      <x:c r="I743" s="36" t="n">
        <x:v>7540</x:v>
      </x:c>
      <x:c r="J743" s="35" t="n">
        <x:v>0</x:v>
      </x:c>
      <x:c r="K743" s="35" t="n">
        <x:v>0</x:v>
      </x:c>
      <x:c r="L743" s="35" t="n">
        <x:v>0</x:v>
      </x:c>
      <x:c r="M743" s="35" t="n">
        <x:v>4</x:v>
      </x:c>
      <x:c r="N743" s="35" t="str">
        <x:v>No</x:v>
      </x:c>
      <x:c r="O743" s="35" t="n">
        <x:v>2</x:v>
      </x:c>
      <x:c r="P743" s="35" t="n">
        <x:v>3</x:v>
      </x:c>
      <x:c r="Q743" s="35" t="n">
        <x:v>3</x:v>
      </x:c>
      <x:c r="R743" s="35" t="n">
        <x:v>4</x:v>
      </x:c>
      <x:c r="S743" s="35" t="n">
        <x:v>3</x:v>
      </x:c>
      <x:c r="T743" s="35" t="n">
        <x:v>2</x:v>
      </x:c>
      <x:c r="U743" s="35" t="n">
        <x:v>1</x:v>
      </x:c>
      <x:c r="V743" s="35" t="n">
        <x:v>5</x:v>
      </x:c>
      <x:c r="W743" s="35" t="n">
        <x:v>9</x:v>
      </x:c>
      <x:c r="X743" s="35" t="n">
        <x:v>51</x:v>
      </x:c>
      <x:c r="Y743" s="35" t="n">
        <x:v>5</x:v>
      </x:c>
      <x:c r="Z743" s="35" t="n">
        <x:v>100</x:v>
      </x:c>
      <x:c r="AA743" s="35" t="n">
        <x:v>11</x:v>
      </x:c>
      <x:c r="AB743" s="35" t="n">
        <x:v>9</x:v>
      </x:c>
      <x:c r="AC743" s="35" t="n">
        <x:v>6</x:v>
      </x:c>
      <x:c r="AD743" s="35" t="n">
        <x:v>94</x:v>
      </x:c>
      <x:c r="AE743" s="35" t="n">
        <x:v>81</x:v>
      </x:c>
      <x:c r="AF743" s="35" t="n">
        <x:v>80</x:v>
      </x:c>
      <x:c r="AG743" s="35" t="n">
        <x:v>100</x:v>
      </x:c>
      <x:c r="AH743" s="35" t="n">
        <x:v>8</x:v>
      </x:c>
      <x:c r="AI743" s="37" t="n">
        <x:v>100</x:v>
      </x:c>
      <x:c r="AJ743" s="37" t="n">
        <x:v>97.5</x:v>
      </x:c>
      <x:c r="AK743" s="35" t="str">
        <x:v>No</x:v>
      </x:c>
      <x:c r="AL743" s="38" t="n">
        <x:f>IF(AA743=0,0,AB743/AA743)</x:f>
        <x:v>0.8181818181818182</x:v>
      </x:c>
      <x:c r="AM743" s="38" t="n">
        <x:f>IF(AB743=0,0,AC743/AB743)</x:f>
        <x:v>0.6666666666666666</x:v>
      </x:c>
      <x:c r="AN743" s="37" t="n">
        <x:f>ROUND((AD743*0.20+AE743*0.20+AF743*0.25+AG743*0.15+MIN(100,AC743*12)*0.20),1)</x:f>
        <x:v>84.4</x:v>
      </x:c>
      <x:c r="AO743" s="37" t="n">
        <x:f>ROUND(MAX(0,MIN(100,(X743*0.35)+(W743/45*100*0.20)+((5-O743)/4*100*0.15)+((5-P743)/4*100*0.10)+((6-Y743)/5*100*0.10)+((100-Z743)*0.10))),1)</x:f>
        <x:v>40.1</x:v>
      </x:c>
      <x:c r="AP743" s="37" t="str">
        <x:f>IF(AO743&gt;=70,"High",IF(AO743&gt;=40,"Moderate","Low"))</x:f>
        <x:v>Moderate</x:v>
      </x:c>
      <x:c r="AQ743" s="37" t="n">
        <x:f>ROUND(MAX(0,MIN(100,(O743/4*100*0.25)+(P743/4*100*0.20)+(Q743/4*100*0.15)+(Y743/5*100*0.20)+(100-AO743)*0.20)),1)</x:f>
        <x:v>70.7</x:v>
      </x:c>
      <x:c r="AR743" s="37" t="n">
        <x:f>ROUND((AI743*0.20+AJ743*0.15+AN743*0.18+AG743*0.12+Z743*0.15+AQ743*0.20),1)</x:f>
        <x:v>91</x:v>
      </x:c>
      <x:c r="AS743" s="39" t="n">
        <x:f>ROUND((AC743*AF743*120)+(AH743*350)+(MAX(0,AI743-75)*220)+(MAX(0,AQ743-60)*100),0)</x:f>
        <x:v>66970</x:v>
      </x:c>
    </x:row>
    <x:row r="744">
      <x:c r="A744" s="35" t="n">
        <x:v>743</x:v>
      </x:c>
      <x:c r="B744" s="35" t="n">
        <x:v>38</x:v>
      </x:c>
      <x:c r="C744" s="35" t="str">
        <x:v>Male</x:v>
      </x:c>
      <x:c r="D744" s="35" t="str">
        <x:v>Finance</x:v>
      </x:c>
      <x:c r="E744" s="35" t="str">
        <x:v>Finance Manager</x:v>
      </x:c>
      <x:c r="F744" s="35" t="str">
        <x:v>Technical Degree</x:v>
      </x:c>
      <x:c r="G744" s="35" t="str">
        <x:v>Divorced</x:v>
      </x:c>
      <x:c r="H744" s="35" t="n">
        <x:v>2</x:v>
      </x:c>
      <x:c r="I744" s="36" t="n">
        <x:v>5110</x:v>
      </x:c>
      <x:c r="J744" s="35" t="n">
        <x:v>13</x:v>
      </x:c>
      <x:c r="K744" s="35" t="n">
        <x:v>5</x:v>
      </x:c>
      <x:c r="L744" s="35" t="n">
        <x:v>1</x:v>
      </x:c>
      <x:c r="M744" s="35" t="n">
        <x:v>7</x:v>
      </x:c>
      <x:c r="N744" s="35" t="str">
        <x:v>No</x:v>
      </x:c>
      <x:c r="O744" s="35" t="n">
        <x:v>2</x:v>
      </x:c>
      <x:c r="P744" s="35" t="n">
        <x:v>3</x:v>
      </x:c>
      <x:c r="Q744" s="35" t="n">
        <x:v>2</x:v>
      </x:c>
      <x:c r="R744" s="35" t="n">
        <x:v>3</x:v>
      </x:c>
      <x:c r="S744" s="35" t="n">
        <x:v>3</x:v>
      </x:c>
      <x:c r="T744" s="35" t="n">
        <x:v>3</x:v>
      </x:c>
      <x:c r="U744" s="35" t="n">
        <x:v>0</x:v>
      </x:c>
      <x:c r="V744" s="35" t="n">
        <x:v>5</x:v>
      </x:c>
      <x:c r="W744" s="35" t="n">
        <x:v>6</x:v>
      </x:c>
      <x:c r="X744" s="35" t="n">
        <x:v>52</x:v>
      </x:c>
      <x:c r="Y744" s="35" t="n">
        <x:v>5</x:v>
      </x:c>
      <x:c r="Z744" s="35" t="n">
        <x:v>100</x:v>
      </x:c>
      <x:c r="AA744" s="35" t="n">
        <x:v>2</x:v>
      </x:c>
      <x:c r="AB744" s="35" t="n">
        <x:v>1</x:v>
      </x:c>
      <x:c r="AC744" s="35" t="n">
        <x:v>1</x:v>
      </x:c>
      <x:c r="AD744" s="35" t="n">
        <x:v>40</x:v>
      </x:c>
      <x:c r="AE744" s="35" t="n">
        <x:v>66</x:v>
      </x:c>
      <x:c r="AF744" s="35" t="n">
        <x:v>68</x:v>
      </x:c>
      <x:c r="AG744" s="35" t="n">
        <x:v>77</x:v>
      </x:c>
      <x:c r="AH744" s="35" t="n">
        <x:v>4</x:v>
      </x:c>
      <x:c r="AI744" s="37" t="n">
        <x:v>94</x:v>
      </x:c>
      <x:c r="AJ744" s="37" t="n">
        <x:v>90.1</x:v>
      </x:c>
      <x:c r="AK744" s="35" t="str">
        <x:v>No</x:v>
      </x:c>
      <x:c r="AL744" s="38" t="n">
        <x:f>IF(AA744=0,0,AB744/AA744)</x:f>
        <x:v>0.5</x:v>
      </x:c>
      <x:c r="AM744" s="38" t="n">
        <x:f>IF(AB744=0,0,AC744/AB744)</x:f>
        <x:v>1</x:v>
      </x:c>
      <x:c r="AN744" s="37" t="n">
        <x:f>ROUND((AD744*0.20+AE744*0.20+AF744*0.25+AG744*0.15+MIN(100,AC744*12)*0.20),1)</x:f>
        <x:v>52.2</x:v>
      </x:c>
      <x:c r="AO744" s="37" t="n">
        <x:f>ROUND(MAX(0,MIN(100,(X744*0.35)+(W744/45*100*0.20)+((5-O744)/4*100*0.15)+((5-P744)/4*100*0.10)+((6-Y744)/5*100*0.10)+((100-Z744)*0.10))),1)</x:f>
        <x:v>39.1</x:v>
      </x:c>
      <x:c r="AP744" s="37" t="str">
        <x:f>IF(AO744&gt;=70,"High",IF(AO744&gt;=40,"Moderate","Low"))</x:f>
        <x:v>Low</x:v>
      </x:c>
      <x:c r="AQ744" s="37" t="n">
        <x:f>ROUND(MAX(0,MIN(100,(O744/4*100*0.25)+(P744/4*100*0.20)+(Q744/4*100*0.15)+(Y744/5*100*0.20)+(100-AO744)*0.20)),1)</x:f>
        <x:v>67.2</x:v>
      </x:c>
      <x:c r="AR744" s="37" t="n">
        <x:f>ROUND((AI744*0.20+AJ744*0.15+AN744*0.18+AG744*0.12+Z744*0.15+AQ744*0.20),1)</x:f>
        <x:v>79.4</x:v>
      </x:c>
      <x:c r="AS744" s="39" t="n">
        <x:f>ROUND((AC744*AF744*120)+(AH744*350)+(MAX(0,AI744-75)*220)+(MAX(0,AQ744-60)*100),0)</x:f>
        <x:v>14460</x:v>
      </x:c>
    </x:row>
    <x:row r="745">
      <x:c r="A745" s="35" t="n">
        <x:v>744</x:v>
      </x:c>
      <x:c r="B745" s="35" t="n">
        <x:v>51</x:v>
      </x:c>
      <x:c r="C745" s="35" t="str">
        <x:v>Male</x:v>
      </x:c>
      <x:c r="D745" s="35" t="str">
        <x:v>Operations</x:v>
      </x:c>
      <x:c r="E745" s="35" t="str">
        <x:v>Operations Specialist</x:v>
      </x:c>
      <x:c r="F745" s="35" t="str">
        <x:v>Marketing</x:v>
      </x:c>
      <x:c r="G745" s="35" t="str">
        <x:v>Divorced</x:v>
      </x:c>
      <x:c r="H745" s="35" t="n">
        <x:v>5</x:v>
      </x:c>
      <x:c r="I745" s="36" t="n">
        <x:v>29540</x:v>
      </x:c>
      <x:c r="J745" s="35" t="n">
        <x:v>18</x:v>
      </x:c>
      <x:c r="K745" s="35" t="n">
        <x:v>5</x:v>
      </x:c>
      <x:c r="L745" s="35" t="n">
        <x:v>3</x:v>
      </x:c>
      <x:c r="M745" s="35" t="n">
        <x:v>10</x:v>
      </x:c>
      <x:c r="N745" s="35" t="str">
        <x:v>No</x:v>
      </x:c>
      <x:c r="O745" s="35" t="n">
        <x:v>4</x:v>
      </x:c>
      <x:c r="P745" s="35" t="n">
        <x:v>3</x:v>
      </x:c>
      <x:c r="Q745" s="35" t="n">
        <x:v>1</x:v>
      </x:c>
      <x:c r="R745" s="35" t="n">
        <x:v>3</x:v>
      </x:c>
      <x:c r="S745" s="35" t="n">
        <x:v>4</x:v>
      </x:c>
      <x:c r="T745" s="35" t="n">
        <x:v>1</x:v>
      </x:c>
      <x:c r="U745" s="35" t="n">
        <x:v>3</x:v>
      </x:c>
      <x:c r="V745" s="35" t="n">
        <x:v>3</x:v>
      </x:c>
      <x:c r="W745" s="35" t="n">
        <x:v>17</x:v>
      </x:c>
      <x:c r="X745" s="35" t="n">
        <x:v>83</x:v>
      </x:c>
      <x:c r="Y745" s="35" t="n">
        <x:v>4</x:v>
      </x:c>
      <x:c r="Z745" s="35" t="n">
        <x:v>95</x:v>
      </x:c>
      <x:c r="AA745" s="35" t="n">
        <x:v>4</x:v>
      </x:c>
      <x:c r="AB745" s="35" t="n">
        <x:v>3</x:v>
      </x:c>
      <x:c r="AC745" s="35" t="n">
        <x:v>2</x:v>
      </x:c>
      <x:c r="AD745" s="35" t="n">
        <x:v>74</x:v>
      </x:c>
      <x:c r="AE745" s="35" t="n">
        <x:v>86</x:v>
      </x:c>
      <x:c r="AF745" s="35" t="n">
        <x:v>75</x:v>
      </x:c>
      <x:c r="AG745" s="35" t="n">
        <x:v>95</x:v>
      </x:c>
      <x:c r="AH745" s="35" t="n">
        <x:v>10</x:v>
      </x:c>
      <x:c r="AI745" s="37" t="n">
        <x:v>100</x:v>
      </x:c>
      <x:c r="AJ745" s="37" t="n">
        <x:v>97.4</x:v>
      </x:c>
      <x:c r="AK745" s="35" t="str">
        <x:v>No</x:v>
      </x:c>
      <x:c r="AL745" s="38" t="n">
        <x:f>IF(AA745=0,0,AB745/AA745)</x:f>
        <x:v>0.75</x:v>
      </x:c>
      <x:c r="AM745" s="38" t="n">
        <x:f>IF(AB745=0,0,AC745/AB745)</x:f>
        <x:v>0.6666666666666666</x:v>
      </x:c>
      <x:c r="AN745" s="37" t="n">
        <x:f>ROUND((AD745*0.20+AE745*0.20+AF745*0.25+AG745*0.15+MIN(100,AC745*12)*0.20),1)</x:f>
        <x:v>69.8</x:v>
      </x:c>
      <x:c r="AO745" s="37" t="n">
        <x:f>ROUND(MAX(0,MIN(100,(X745*0.35)+(W745/45*100*0.20)+((5-O745)/4*100*0.15)+((5-P745)/4*100*0.10)+((6-Y745)/5*100*0.10)+((100-Z745)*0.10))),1)</x:f>
        <x:v>49.9</x:v>
      </x:c>
      <x:c r="AP745" s="37" t="str">
        <x:f>IF(AO745&gt;=70,"High",IF(AO745&gt;=40,"Moderate","Low"))</x:f>
        <x:v>Moderate</x:v>
      </x:c>
      <x:c r="AQ745" s="37" t="n">
        <x:f>ROUND(MAX(0,MIN(100,(O745/4*100*0.25)+(P745/4*100*0.20)+(Q745/4*100*0.15)+(Y745/5*100*0.20)+(100-AO745)*0.20)),1)</x:f>
        <x:v>69.8</x:v>
      </x:c>
      <x:c r="AR745" s="37" t="n">
        <x:f>ROUND((AI745*0.20+AJ745*0.15+AN745*0.18+AG745*0.12+Z745*0.15+AQ745*0.20),1)</x:f>
        <x:v>86.8</x:v>
      </x:c>
      <x:c r="AS745" s="39" t="n">
        <x:f>ROUND((AC745*AF745*120)+(AH745*350)+(MAX(0,AI745-75)*220)+(MAX(0,AQ745-60)*100),0)</x:f>
        <x:v>27980</x:v>
      </x:c>
    </x:row>
    <x:row r="746">
      <x:c r="A746" s="35" t="n">
        <x:v>745</x:v>
      </x:c>
      <x:c r="B746" s="35" t="n">
        <x:v>39</x:v>
      </x:c>
      <x:c r="C746" s="35" t="str">
        <x:v>Female</x:v>
      </x:c>
      <x:c r="D746" s="35" t="str">
        <x:v>Finance</x:v>
      </x:c>
      <x:c r="E746" s="35" t="str">
        <x:v>Finance Manager</x:v>
      </x:c>
      <x:c r="F746" s="35" t="str">
        <x:v>Computer Science</x:v>
      </x:c>
      <x:c r="G746" s="35" t="str">
        <x:v>Single</x:v>
      </x:c>
      <x:c r="H746" s="35" t="n">
        <x:v>2</x:v>
      </x:c>
      <x:c r="I746" s="36" t="n">
        <x:v>7000</x:v>
      </x:c>
      <x:c r="J746" s="35" t="n">
        <x:v>12</x:v>
      </x:c>
      <x:c r="K746" s="35" t="n">
        <x:v>6</x:v>
      </x:c>
      <x:c r="L746" s="35" t="n">
        <x:v>4</x:v>
      </x:c>
      <x:c r="M746" s="35" t="n">
        <x:v>2</x:v>
      </x:c>
      <x:c r="N746" s="35" t="str">
        <x:v>No</x:v>
      </x:c>
      <x:c r="O746" s="35" t="n">
        <x:v>3</x:v>
      </x:c>
      <x:c r="P746" s="35" t="n">
        <x:v>3</x:v>
      </x:c>
      <x:c r="Q746" s="35" t="n">
        <x:v>3</x:v>
      </x:c>
      <x:c r="R746" s="35" t="n">
        <x:v>2</x:v>
      </x:c>
      <x:c r="S746" s="35" t="n">
        <x:v>3</x:v>
      </x:c>
      <x:c r="T746" s="35" t="n">
        <x:v>3</x:v>
      </x:c>
      <x:c r="U746" s="35" t="n">
        <x:v>1</x:v>
      </x:c>
      <x:c r="V746" s="35" t="n">
        <x:v>4</x:v>
      </x:c>
      <x:c r="W746" s="35" t="n">
        <x:v>19</x:v>
      </x:c>
      <x:c r="X746" s="35" t="n">
        <x:v>46</x:v>
      </x:c>
      <x:c r="Y746" s="35" t="n">
        <x:v>5</x:v>
      </x:c>
      <x:c r="Z746" s="35" t="n">
        <x:v>95</x:v>
      </x:c>
      <x:c r="AA746" s="35" t="n">
        <x:v>5</x:v>
      </x:c>
      <x:c r="AB746" s="35" t="n">
        <x:v>4</x:v>
      </x:c>
      <x:c r="AC746" s="35" t="n">
        <x:v>3</x:v>
      </x:c>
      <x:c r="AD746" s="35" t="n">
        <x:v>58</x:v>
      </x:c>
      <x:c r="AE746" s="35" t="n">
        <x:v>64</x:v>
      </x:c>
      <x:c r="AF746" s="35" t="n">
        <x:v>87</x:v>
      </x:c>
      <x:c r="AG746" s="35" t="n">
        <x:v>61</x:v>
      </x:c>
      <x:c r="AH746" s="35" t="n">
        <x:v>5</x:v>
      </x:c>
      <x:c r="AI746" s="37" t="n">
        <x:v>100</x:v>
      </x:c>
      <x:c r="AJ746" s="37" t="n">
        <x:v>92.4</x:v>
      </x:c>
      <x:c r="AK746" s="35" t="str">
        <x:v>No</x:v>
      </x:c>
      <x:c r="AL746" s="38" t="n">
        <x:f>IF(AA746=0,0,AB746/AA746)</x:f>
        <x:v>0.8</x:v>
      </x:c>
      <x:c r="AM746" s="38" t="n">
        <x:f>IF(AB746=0,0,AC746/AB746)</x:f>
        <x:v>0.75</x:v>
      </x:c>
      <x:c r="AN746" s="37" t="n">
        <x:f>ROUND((AD746*0.20+AE746*0.20+AF746*0.25+AG746*0.15+MIN(100,AC746*12)*0.20),1)</x:f>
        <x:v>62.5</x:v>
      </x:c>
      <x:c r="AO746" s="37" t="n">
        <x:f>ROUND(MAX(0,MIN(100,(X746*0.35)+(W746/45*100*0.20)+((5-O746)/4*100*0.15)+((5-P746)/4*100*0.10)+((6-Y746)/5*100*0.10)+((100-Z746)*0.10))),1)</x:f>
        <x:v>39.5</x:v>
      </x:c>
      <x:c r="AP746" s="37" t="str">
        <x:f>IF(AO746&gt;=70,"High",IF(AO746&gt;=40,"Moderate","Low"))</x:f>
        <x:v>Low</x:v>
      </x:c>
      <x:c r="AQ746" s="37" t="n">
        <x:f>ROUND(MAX(0,MIN(100,(O746/4*100*0.25)+(P746/4*100*0.20)+(Q746/4*100*0.15)+(Y746/5*100*0.20)+(100-AO746)*0.20)),1)</x:f>
        <x:v>77.1</x:v>
      </x:c>
      <x:c r="AR746" s="37" t="n">
        <x:f>ROUND((AI746*0.20+AJ746*0.15+AN746*0.18+AG746*0.12+Z746*0.15+AQ746*0.20),1)</x:f>
        <x:v>82.1</x:v>
      </x:c>
      <x:c r="AS746" s="39" t="n">
        <x:f>ROUND((AC746*AF746*120)+(AH746*350)+(MAX(0,AI746-75)*220)+(MAX(0,AQ746-60)*100),0)</x:f>
        <x:v>40280</x:v>
      </x:c>
    </x:row>
    <x:row r="747">
      <x:c r="A747" s="35" t="n">
        <x:v>746</x:v>
      </x:c>
      <x:c r="B747" s="35" t="n">
        <x:v>44</x:v>
      </x:c>
      <x:c r="C747" s="35" t="str">
        <x:v>Female</x:v>
      </x:c>
      <x:c r="D747" s="35" t="str">
        <x:v>Sales</x:v>
      </x:c>
      <x:c r="E747" s="35" t="str">
        <x:v>Account Manager</x:v>
      </x:c>
      <x:c r="F747" s="35" t="str">
        <x:v>Computer Science</x:v>
      </x:c>
      <x:c r="G747" s="35" t="str">
        <x:v>Divorced</x:v>
      </x:c>
      <x:c r="H747" s="35" t="n">
        <x:v>3</x:v>
      </x:c>
      <x:c r="I747" s="36" t="n">
        <x:v>13200</x:v>
      </x:c>
      <x:c r="J747" s="35" t="n">
        <x:v>13</x:v>
      </x:c>
      <x:c r="K747" s="35" t="n">
        <x:v>5</x:v>
      </x:c>
      <x:c r="L747" s="35" t="n">
        <x:v>4</x:v>
      </x:c>
      <x:c r="M747" s="35" t="n">
        <x:v>7</x:v>
      </x:c>
      <x:c r="N747" s="35" t="str">
        <x:v>Yes</x:v>
      </x:c>
      <x:c r="O747" s="35" t="n">
        <x:v>3</x:v>
      </x:c>
      <x:c r="P747" s="35" t="n">
        <x:v>4</x:v>
      </x:c>
      <x:c r="Q747" s="35" t="n">
        <x:v>2</x:v>
      </x:c>
      <x:c r="R747" s="35" t="n">
        <x:v>3</x:v>
      </x:c>
      <x:c r="S747" s="35" t="n">
        <x:v>4</x:v>
      </x:c>
      <x:c r="T747" s="35" t="n">
        <x:v>6</x:v>
      </x:c>
      <x:c r="U747" s="35" t="n">
        <x:v>2</x:v>
      </x:c>
      <x:c r="V747" s="35" t="n">
        <x:v>4</x:v>
      </x:c>
      <x:c r="W747" s="35" t="n">
        <x:v>24</x:v>
      </x:c>
      <x:c r="X747" s="35" t="n">
        <x:v>75</x:v>
      </x:c>
      <x:c r="Y747" s="35" t="n">
        <x:v>5</x:v>
      </x:c>
      <x:c r="Z747" s="35" t="n">
        <x:v>100</x:v>
      </x:c>
      <x:c r="AA747" s="35" t="n">
        <x:v>3</x:v>
      </x:c>
      <x:c r="AB747" s="35" t="n">
        <x:v>3</x:v>
      </x:c>
      <x:c r="AC747" s="35" t="n">
        <x:v>1</x:v>
      </x:c>
      <x:c r="AD747" s="35" t="n">
        <x:v>50</x:v>
      </x:c>
      <x:c r="AE747" s="35" t="n">
        <x:v>66</x:v>
      </x:c>
      <x:c r="AF747" s="35" t="n">
        <x:v>66</x:v>
      </x:c>
      <x:c r="AG747" s="35" t="n">
        <x:v>78</x:v>
      </x:c>
      <x:c r="AH747" s="35" t="n">
        <x:v>8</x:v>
      </x:c>
      <x:c r="AI747" s="37" t="n">
        <x:v>100</x:v>
      </x:c>
      <x:c r="AJ747" s="37" t="n">
        <x:v>95.5</x:v>
      </x:c>
      <x:c r="AK747" s="35" t="str">
        <x:v>No</x:v>
      </x:c>
      <x:c r="AL747" s="38" t="n">
        <x:f>IF(AA747=0,0,AB747/AA747)</x:f>
        <x:v>1</x:v>
      </x:c>
      <x:c r="AM747" s="38" t="n">
        <x:f>IF(AB747=0,0,AC747/AB747)</x:f>
        <x:v>0.3333333333333333</x:v>
      </x:c>
      <x:c r="AN747" s="37" t="n">
        <x:f>ROUND((AD747*0.20+AE747*0.20+AF747*0.25+AG747*0.15+MIN(100,AC747*12)*0.20),1)</x:f>
        <x:v>53.8</x:v>
      </x:c>
      <x:c r="AO747" s="37" t="n">
        <x:f>ROUND(MAX(0,MIN(100,(X747*0.35)+(W747/45*100*0.20)+((5-O747)/4*100*0.15)+((5-P747)/4*100*0.10)+((6-Y747)/5*100*0.10)+((100-Z747)*0.10))),1)</x:f>
        <x:v>48.9</x:v>
      </x:c>
      <x:c r="AP747" s="37" t="str">
        <x:f>IF(AO747&gt;=70,"High",IF(AO747&gt;=40,"Moderate","Low"))</x:f>
        <x:v>Moderate</x:v>
      </x:c>
      <x:c r="AQ747" s="37" t="n">
        <x:f>ROUND(MAX(0,MIN(100,(O747/4*100*0.25)+(P747/4*100*0.20)+(Q747/4*100*0.15)+(Y747/5*100*0.20)+(100-AO747)*0.20)),1)</x:f>
        <x:v>76.5</x:v>
      </x:c>
      <x:c r="AR747" s="37" t="n">
        <x:f>ROUND((AI747*0.20+AJ747*0.15+AN747*0.18+AG747*0.12+Z747*0.15+AQ747*0.20),1)</x:f>
        <x:v>83.7</x:v>
      </x:c>
      <x:c r="AS747" s="39" t="n">
        <x:f>ROUND((AC747*AF747*120)+(AH747*350)+(MAX(0,AI747-75)*220)+(MAX(0,AQ747-60)*100),0)</x:f>
        <x:v>17870</x:v>
      </x:c>
    </x:row>
    <x:row r="748">
      <x:c r="A748" s="35" t="n">
        <x:v>747</x:v>
      </x:c>
      <x:c r="B748" s="35" t="n">
        <x:v>47</x:v>
      </x:c>
      <x:c r="C748" s="35" t="str">
        <x:v>Female</x:v>
      </x:c>
      <x:c r="D748" s="35" t="str">
        <x:v>Research &amp; Development</x:v>
      </x:c>
      <x:c r="E748" s="35" t="str">
        <x:v>Data Scientist</x:v>
      </x:c>
      <x:c r="F748" s="35" t="str">
        <x:v>Human Resources</x:v>
      </x:c>
      <x:c r="G748" s="35" t="str">
        <x:v>Single</x:v>
      </x:c>
      <x:c r="H748" s="35" t="n">
        <x:v>3</x:v>
      </x:c>
      <x:c r="I748" s="36" t="n">
        <x:v>16920</x:v>
      </x:c>
      <x:c r="J748" s="35" t="n">
        <x:v>17</x:v>
      </x:c>
      <x:c r="K748" s="35" t="n">
        <x:v>9</x:v>
      </x:c>
      <x:c r="L748" s="35" t="n">
        <x:v>4</x:v>
      </x:c>
      <x:c r="M748" s="35" t="n">
        <x:v>1</x:v>
      </x:c>
      <x:c r="N748" s="35" t="str">
        <x:v>No</x:v>
      </x:c>
      <x:c r="O748" s="35" t="n">
        <x:v>3</x:v>
      </x:c>
      <x:c r="P748" s="35" t="n">
        <x:v>3</x:v>
      </x:c>
      <x:c r="Q748" s="35" t="n">
        <x:v>2</x:v>
      </x:c>
      <x:c r="R748" s="35" t="n">
        <x:v>3</x:v>
      </x:c>
      <x:c r="S748" s="35" t="n">
        <x:v>3</x:v>
      </x:c>
      <x:c r="T748" s="35" t="n">
        <x:v>2</x:v>
      </x:c>
      <x:c r="U748" s="35" t="n">
        <x:v>2</x:v>
      </x:c>
      <x:c r="V748" s="35" t="n">
        <x:v>7</x:v>
      </x:c>
      <x:c r="W748" s="35" t="n">
        <x:v>0</x:v>
      </x:c>
      <x:c r="X748" s="35" t="n">
        <x:v>58</x:v>
      </x:c>
      <x:c r="Y748" s="35" t="n">
        <x:v>4</x:v>
      </x:c>
      <x:c r="Z748" s="35" t="n">
        <x:v>100</x:v>
      </x:c>
      <x:c r="AA748" s="35" t="n">
        <x:v>11</x:v>
      </x:c>
      <x:c r="AB748" s="35" t="n">
        <x:v>9</x:v>
      </x:c>
      <x:c r="AC748" s="35" t="n">
        <x:v>6</x:v>
      </x:c>
      <x:c r="AD748" s="35" t="n">
        <x:v>85</x:v>
      </x:c>
      <x:c r="AE748" s="35" t="n">
        <x:v>100</x:v>
      </x:c>
      <x:c r="AF748" s="35" t="n">
        <x:v>95</x:v>
      </x:c>
      <x:c r="AG748" s="35" t="n">
        <x:v>91</x:v>
      </x:c>
      <x:c r="AH748" s="35" t="n">
        <x:v>7</x:v>
      </x:c>
      <x:c r="AI748" s="37" t="n">
        <x:v>90.5</x:v>
      </x:c>
      <x:c r="AJ748" s="37" t="n">
        <x:v>84.8</x:v>
      </x:c>
      <x:c r="AK748" s="35" t="str">
        <x:v>No</x:v>
      </x:c>
      <x:c r="AL748" s="38" t="n">
        <x:f>IF(AA748=0,0,AB748/AA748)</x:f>
        <x:v>0.8181818181818182</x:v>
      </x:c>
      <x:c r="AM748" s="38" t="n">
        <x:f>IF(AB748=0,0,AC748/AB748)</x:f>
        <x:v>0.6666666666666666</x:v>
      </x:c>
      <x:c r="AN748" s="37" t="n">
        <x:f>ROUND((AD748*0.20+AE748*0.20+AF748*0.25+AG748*0.15+MIN(100,AC748*12)*0.20),1)</x:f>
        <x:v>88.8</x:v>
      </x:c>
      <x:c r="AO748" s="37" t="n">
        <x:f>ROUND(MAX(0,MIN(100,(X748*0.35)+(W748/45*100*0.20)+((5-O748)/4*100*0.15)+((5-P748)/4*100*0.10)+((6-Y748)/5*100*0.10)+((100-Z748)*0.10))),1)</x:f>
        <x:v>36.8</x:v>
      </x:c>
      <x:c r="AP748" s="37" t="str">
        <x:f>IF(AO748&gt;=70,"High",IF(AO748&gt;=40,"Moderate","Low"))</x:f>
        <x:v>Low</x:v>
      </x:c>
      <x:c r="AQ748" s="37" t="n">
        <x:f>ROUND(MAX(0,MIN(100,(O748/4*100*0.25)+(P748/4*100*0.20)+(Q748/4*100*0.15)+(Y748/5*100*0.20)+(100-AO748)*0.20)),1)</x:f>
        <x:v>69.9</x:v>
      </x:c>
      <x:c r="AR748" s="37" t="n">
        <x:f>ROUND((AI748*0.20+AJ748*0.15+AN748*0.18+AG748*0.12+Z748*0.15+AQ748*0.20),1)</x:f>
        <x:v>86.7</x:v>
      </x:c>
      <x:c r="AS748" s="39" t="n">
        <x:f>ROUND((AC748*AF748*120)+(AH748*350)+(MAX(0,AI748-75)*220)+(MAX(0,AQ748-60)*100),0)</x:f>
        <x:v>75250</x:v>
      </x:c>
    </x:row>
    <x:row r="749">
      <x:c r="A749" s="35" t="n">
        <x:v>748</x:v>
      </x:c>
      <x:c r="B749" s="35" t="n">
        <x:v>41</x:v>
      </x:c>
      <x:c r="C749" s="35" t="str">
        <x:v>Female</x:v>
      </x:c>
      <x:c r="D749" s="35" t="str">
        <x:v>Finance</x:v>
      </x:c>
      <x:c r="E749" s="35" t="str">
        <x:v>Financial Analyst</x:v>
      </x:c>
      <x:c r="F749" s="35" t="str">
        <x:v>Human Resources</x:v>
      </x:c>
      <x:c r="G749" s="35" t="str">
        <x:v>Married</x:v>
      </x:c>
      <x:c r="H749" s="35" t="n">
        <x:v>2</x:v>
      </x:c>
      <x:c r="I749" s="36" t="n">
        <x:v>6830</x:v>
      </x:c>
      <x:c r="J749" s="35" t="n">
        <x:v>15</x:v>
      </x:c>
      <x:c r="K749" s="35" t="n">
        <x:v>12</x:v>
      </x:c>
      <x:c r="L749" s="35" t="n">
        <x:v>3</x:v>
      </x:c>
      <x:c r="M749" s="35" t="n">
        <x:v>4</x:v>
      </x:c>
      <x:c r="N749" s="35" t="str">
        <x:v>No</x:v>
      </x:c>
      <x:c r="O749" s="35" t="n">
        <x:v>3</x:v>
      </x:c>
      <x:c r="P749" s="35" t="n">
        <x:v>2</x:v>
      </x:c>
      <x:c r="Q749" s="35" t="n">
        <x:v>4</x:v>
      </x:c>
      <x:c r="R749" s="35" t="n">
        <x:v>3</x:v>
      </x:c>
      <x:c r="S749" s="35" t="n">
        <x:v>3</x:v>
      </x:c>
      <x:c r="T749" s="35" t="n">
        <x:v>2</x:v>
      </x:c>
      <x:c r="U749" s="35" t="n">
        <x:v>0</x:v>
      </x:c>
      <x:c r="V749" s="35" t="n">
        <x:v>9</x:v>
      </x:c>
      <x:c r="W749" s="35" t="n">
        <x:v>8</x:v>
      </x:c>
      <x:c r="X749" s="35" t="n">
        <x:v>50</x:v>
      </x:c>
      <x:c r="Y749" s="35" t="n">
        <x:v>5</x:v>
      </x:c>
      <x:c r="Z749" s="35" t="n">
        <x:v>99</x:v>
      </x:c>
      <x:c r="AA749" s="35" t="n">
        <x:v>4</x:v>
      </x:c>
      <x:c r="AB749" s="35" t="n">
        <x:v>4</x:v>
      </x:c>
      <x:c r="AC749" s="35" t="n">
        <x:v>3</x:v>
      </x:c>
      <x:c r="AD749" s="35" t="n">
        <x:v>73</x:v>
      </x:c>
      <x:c r="AE749" s="35" t="n">
        <x:v>50</x:v>
      </x:c>
      <x:c r="AF749" s="35" t="n">
        <x:v>86</x:v>
      </x:c>
      <x:c r="AG749" s="35" t="n">
        <x:v>91</x:v>
      </x:c>
      <x:c r="AH749" s="35" t="n">
        <x:v>6</x:v>
      </x:c>
      <x:c r="AI749" s="37" t="n">
        <x:v>95.8</x:v>
      </x:c>
      <x:c r="AJ749" s="37" t="n">
        <x:v>100</x:v>
      </x:c>
      <x:c r="AK749" s="35" t="str">
        <x:v>No</x:v>
      </x:c>
      <x:c r="AL749" s="38" t="n">
        <x:f>IF(AA749=0,0,AB749/AA749)</x:f>
        <x:v>1</x:v>
      </x:c>
      <x:c r="AM749" s="38" t="n">
        <x:f>IF(AB749=0,0,AC749/AB749)</x:f>
        <x:v>0.75</x:v>
      </x:c>
      <x:c r="AN749" s="37" t="n">
        <x:f>ROUND((AD749*0.20+AE749*0.20+AF749*0.25+AG749*0.15+MIN(100,AC749*12)*0.20),1)</x:f>
        <x:v>67</x:v>
      </x:c>
      <x:c r="AO749" s="37" t="n">
        <x:f>ROUND(MAX(0,MIN(100,(X749*0.35)+(W749/45*100*0.20)+((5-O749)/4*100*0.15)+((5-P749)/4*100*0.10)+((6-Y749)/5*100*0.10)+((100-Z749)*0.10))),1)</x:f>
        <x:v>38.2</x:v>
      </x:c>
      <x:c r="AP749" s="37" t="str">
        <x:f>IF(AO749&gt;=70,"High",IF(AO749&gt;=40,"Moderate","Low"))</x:f>
        <x:v>Low</x:v>
      </x:c>
      <x:c r="AQ749" s="37" t="n">
        <x:f>ROUND(MAX(0,MIN(100,(O749/4*100*0.25)+(P749/4*100*0.20)+(Q749/4*100*0.15)+(Y749/5*100*0.20)+(100-AO749)*0.20)),1)</x:f>
        <x:v>76.1</x:v>
      </x:c>
      <x:c r="AR749" s="37" t="n">
        <x:f>ROUND((AI749*0.20+AJ749*0.15+AN749*0.18+AG749*0.12+Z749*0.15+AQ749*0.20),1)</x:f>
        <x:v>87.2</x:v>
      </x:c>
      <x:c r="AS749" s="39" t="n">
        <x:f>ROUND((AC749*AF749*120)+(AH749*350)+(MAX(0,AI749-75)*220)+(MAX(0,AQ749-60)*100),0)</x:f>
        <x:v>39246</x:v>
      </x:c>
    </x:row>
    <x:row r="750">
      <x:c r="A750" s="35" t="n">
        <x:v>749</x:v>
      </x:c>
      <x:c r="B750" s="35" t="n">
        <x:v>29</x:v>
      </x:c>
      <x:c r="C750" s="35" t="str">
        <x:v>Male</x:v>
      </x:c>
      <x:c r="D750" s="35" t="str">
        <x:v>Sales</x:v>
      </x:c>
      <x:c r="E750" s="35" t="str">
        <x:v>Account Manager</x:v>
      </x:c>
      <x:c r="F750" s="35" t="str">
        <x:v>Marketing</x:v>
      </x:c>
      <x:c r="G750" s="35" t="str">
        <x:v>Married</x:v>
      </x:c>
      <x:c r="H750" s="35" t="n">
        <x:v>1</x:v>
      </x:c>
      <x:c r="I750" s="36" t="n">
        <x:v>7670</x:v>
      </x:c>
      <x:c r="J750" s="35" t="n">
        <x:v>6</x:v>
      </x:c>
      <x:c r="K750" s="35" t="n">
        <x:v>2</x:v>
      </x:c>
      <x:c r="L750" s="35" t="n">
        <x:v>1</x:v>
      </x:c>
      <x:c r="M750" s="35" t="n">
        <x:v>11</x:v>
      </x:c>
      <x:c r="N750" s="35" t="str">
        <x:v>No</x:v>
      </x:c>
      <x:c r="O750" s="35" t="n">
        <x:v>3</x:v>
      </x:c>
      <x:c r="P750" s="35" t="n">
        <x:v>2</x:v>
      </x:c>
      <x:c r="Q750" s="35" t="n">
        <x:v>2</x:v>
      </x:c>
      <x:c r="R750" s="35" t="n">
        <x:v>4</x:v>
      </x:c>
      <x:c r="S750" s="35" t="n">
        <x:v>4</x:v>
      </x:c>
      <x:c r="T750" s="35" t="n">
        <x:v>3</x:v>
      </x:c>
      <x:c r="U750" s="35" t="n">
        <x:v>0</x:v>
      </x:c>
      <x:c r="V750" s="35" t="n">
        <x:v>7</x:v>
      </x:c>
      <x:c r="W750" s="35" t="n">
        <x:v>8</x:v>
      </x:c>
      <x:c r="X750" s="35" t="n">
        <x:v>69</x:v>
      </x:c>
      <x:c r="Y750" s="35" t="n">
        <x:v>5</x:v>
      </x:c>
      <x:c r="Z750" s="35" t="n">
        <x:v>100</x:v>
      </x:c>
      <x:c r="AA750" s="35" t="n">
        <x:v>2</x:v>
      </x:c>
      <x:c r="AB750" s="35" t="n">
        <x:v>1</x:v>
      </x:c>
      <x:c r="AC750" s="35" t="n">
        <x:v>1</x:v>
      </x:c>
      <x:c r="AD750" s="35" t="n">
        <x:v>51</x:v>
      </x:c>
      <x:c r="AE750" s="35" t="n">
        <x:v>71</x:v>
      </x:c>
      <x:c r="AF750" s="35" t="n">
        <x:v>79</x:v>
      </x:c>
      <x:c r="AG750" s="35" t="n">
        <x:v>100</x:v>
      </x:c>
      <x:c r="AH750" s="35" t="n">
        <x:v>9</x:v>
      </x:c>
      <x:c r="AI750" s="37" t="n">
        <x:v>100</x:v>
      </x:c>
      <x:c r="AJ750" s="37" t="n">
        <x:v>100</x:v>
      </x:c>
      <x:c r="AK750" s="35" t="str">
        <x:v>No</x:v>
      </x:c>
      <x:c r="AL750" s="38" t="n">
        <x:f>IF(AA750=0,0,AB750/AA750)</x:f>
        <x:v>0.5</x:v>
      </x:c>
      <x:c r="AM750" s="38" t="n">
        <x:f>IF(AB750=0,0,AC750/AB750)</x:f>
        <x:v>1</x:v>
      </x:c>
      <x:c r="AN750" s="37" t="n">
        <x:f>ROUND((AD750*0.20+AE750*0.20+AF750*0.25+AG750*0.15+MIN(100,AC750*12)*0.20),1)</x:f>
        <x:v>61.6</x:v>
      </x:c>
      <x:c r="AO750" s="37" t="n">
        <x:f>ROUND(MAX(0,MIN(100,(X750*0.35)+(W750/45*100*0.20)+((5-O750)/4*100*0.15)+((5-P750)/4*100*0.10)+((6-Y750)/5*100*0.10)+((100-Z750)*0.10))),1)</x:f>
        <x:v>44.7</x:v>
      </x:c>
      <x:c r="AP750" s="37" t="str">
        <x:f>IF(AO750&gt;=70,"High",IF(AO750&gt;=40,"Moderate","Low"))</x:f>
        <x:v>Moderate</x:v>
      </x:c>
      <x:c r="AQ750" s="37" t="n">
        <x:f>ROUND(MAX(0,MIN(100,(O750/4*100*0.25)+(P750/4*100*0.20)+(Q750/4*100*0.15)+(Y750/5*100*0.20)+(100-AO750)*0.20)),1)</x:f>
        <x:v>67.3</x:v>
      </x:c>
      <x:c r="AR750" s="37" t="n">
        <x:f>ROUND((AI750*0.20+AJ750*0.15+AN750*0.18+AG750*0.12+Z750*0.15+AQ750*0.20),1)</x:f>
        <x:v>86.5</x:v>
      </x:c>
      <x:c r="AS750" s="39" t="n">
        <x:f>ROUND((AC750*AF750*120)+(AH750*350)+(MAX(0,AI750-75)*220)+(MAX(0,AQ750-60)*100),0)</x:f>
        <x:v>18860</x:v>
      </x:c>
    </x:row>
    <x:row r="751">
      <x:c r="A751" s="35" t="n">
        <x:v>750</x:v>
      </x:c>
      <x:c r="B751" s="35" t="n">
        <x:v>34</x:v>
      </x:c>
      <x:c r="C751" s="35" t="str">
        <x:v>Female</x:v>
      </x:c>
      <x:c r="D751" s="35" t="str">
        <x:v>Human Resources</x:v>
      </x:c>
      <x:c r="E751" s="35" t="str">
        <x:v>HR Specialist</x:v>
      </x:c>
      <x:c r="F751" s="35" t="str">
        <x:v>Business</x:v>
      </x:c>
      <x:c r="G751" s="35" t="str">
        <x:v>Married</x:v>
      </x:c>
      <x:c r="H751" s="35" t="n">
        <x:v>3</x:v>
      </x:c>
      <x:c r="I751" s="36" t="n">
        <x:v>9120</x:v>
      </x:c>
      <x:c r="J751" s="35" t="n">
        <x:v>8</x:v>
      </x:c>
      <x:c r="K751" s="35" t="n">
        <x:v>7</x:v>
      </x:c>
      <x:c r="L751" s="35" t="n">
        <x:v>4</x:v>
      </x:c>
      <x:c r="M751" s="35" t="n">
        <x:v>11</x:v>
      </x:c>
      <x:c r="N751" s="35" t="str">
        <x:v>No</x:v>
      </x:c>
      <x:c r="O751" s="35" t="n">
        <x:v>4</x:v>
      </x:c>
      <x:c r="P751" s="35" t="n">
        <x:v>3</x:v>
      </x:c>
      <x:c r="Q751" s="35" t="n">
        <x:v>2</x:v>
      </x:c>
      <x:c r="R751" s="35" t="n">
        <x:v>2</x:v>
      </x:c>
      <x:c r="S751" s="35" t="n">
        <x:v>3</x:v>
      </x:c>
      <x:c r="T751" s="35" t="n">
        <x:v>2</x:v>
      </x:c>
      <x:c r="U751" s="35" t="n">
        <x:v>0</x:v>
      </x:c>
      <x:c r="V751" s="35" t="n">
        <x:v>8</x:v>
      </x:c>
      <x:c r="W751" s="35" t="n">
        <x:v>1</x:v>
      </x:c>
      <x:c r="X751" s="35" t="n">
        <x:v>56</x:v>
      </x:c>
      <x:c r="Y751" s="35" t="n">
        <x:v>5</x:v>
      </x:c>
      <x:c r="Z751" s="35" t="n">
        <x:v>86</x:v>
      </x:c>
      <x:c r="AA751" s="35" t="n">
        <x:v>4</x:v>
      </x:c>
      <x:c r="AB751" s="35" t="n">
        <x:v>3</x:v>
      </x:c>
      <x:c r="AC751" s="35" t="n">
        <x:v>2</x:v>
      </x:c>
      <x:c r="AD751" s="35" t="n">
        <x:v>77</x:v>
      </x:c>
      <x:c r="AE751" s="35" t="n">
        <x:v>78</x:v>
      </x:c>
      <x:c r="AF751" s="35" t="n">
        <x:v>65</x:v>
      </x:c>
      <x:c r="AG751" s="35" t="n">
        <x:v>78</x:v>
      </x:c>
      <x:c r="AH751" s="35" t="n">
        <x:v>8</x:v>
      </x:c>
      <x:c r="AI751" s="37" t="n">
        <x:v>95.8</x:v>
      </x:c>
      <x:c r="AJ751" s="37" t="n">
        <x:v>95.2</x:v>
      </x:c>
      <x:c r="AK751" s="35" t="str">
        <x:v>No</x:v>
      </x:c>
      <x:c r="AL751" s="38" t="n">
        <x:f>IF(AA751=0,0,AB751/AA751)</x:f>
        <x:v>0.75</x:v>
      </x:c>
      <x:c r="AM751" s="38" t="n">
        <x:f>IF(AB751=0,0,AC751/AB751)</x:f>
        <x:v>0.6666666666666666</x:v>
      </x:c>
      <x:c r="AN751" s="37" t="n">
        <x:f>ROUND((AD751*0.20+AE751*0.20+AF751*0.25+AG751*0.15+MIN(100,AC751*12)*0.20),1)</x:f>
        <x:v>63.8</x:v>
      </x:c>
      <x:c r="AO751" s="37" t="n">
        <x:f>ROUND(MAX(0,MIN(100,(X751*0.35)+(W751/45*100*0.20)+((5-O751)/4*100*0.15)+((5-P751)/4*100*0.10)+((6-Y751)/5*100*0.10)+((100-Z751)*0.10))),1)</x:f>
        <x:v>32.2</x:v>
      </x:c>
      <x:c r="AP751" s="37" t="str">
        <x:f>IF(AO751&gt;=70,"High",IF(AO751&gt;=40,"Moderate","Low"))</x:f>
        <x:v>Low</x:v>
      </x:c>
      <x:c r="AQ751" s="37" t="n">
        <x:f>ROUND(MAX(0,MIN(100,(O751/4*100*0.25)+(P751/4*100*0.20)+(Q751/4*100*0.15)+(Y751/5*100*0.20)+(100-AO751)*0.20)),1)</x:f>
        <x:v>81.1</x:v>
      </x:c>
      <x:c r="AR751" s="37" t="n">
        <x:f>ROUND((AI751*0.20+AJ751*0.15+AN751*0.18+AG751*0.12+Z751*0.15+AQ751*0.20),1)</x:f>
        <x:v>83.4</x:v>
      </x:c>
      <x:c r="AS751" s="39" t="n">
        <x:f>ROUND((AC751*AF751*120)+(AH751*350)+(MAX(0,AI751-75)*220)+(MAX(0,AQ751-60)*100),0)</x:f>
        <x:v>25086</x:v>
      </x:c>
    </x:row>
    <x:row r="752">
      <x:c r="A752" s="35" t="n">
        <x:v>751</x:v>
      </x:c>
      <x:c r="B752" s="35" t="n">
        <x:v>34</x:v>
      </x:c>
      <x:c r="C752" s="35" t="str">
        <x:v>Male</x:v>
      </x:c>
      <x:c r="D752" s="35" t="str">
        <x:v>Research &amp; Development</x:v>
      </x:c>
      <x:c r="E752" s="35" t="str">
        <x:v>R&amp;D Manager</x:v>
      </x:c>
      <x:c r="F752" s="35" t="str">
        <x:v>Life Sciences</x:v>
      </x:c>
      <x:c r="G752" s="35" t="str">
        <x:v>Married</x:v>
      </x:c>
      <x:c r="H752" s="35" t="n">
        <x:v>3</x:v>
      </x:c>
      <x:c r="I752" s="36" t="n">
        <x:v>14430</x:v>
      </x:c>
      <x:c r="J752" s="35" t="n">
        <x:v>7</x:v>
      </x:c>
      <x:c r="K752" s="35" t="n">
        <x:v>4</x:v>
      </x:c>
      <x:c r="L752" s="35" t="n">
        <x:v>3</x:v>
      </x:c>
      <x:c r="M752" s="35" t="n">
        <x:v>4</x:v>
      </x:c>
      <x:c r="N752" s="35" t="str">
        <x:v>No</x:v>
      </x:c>
      <x:c r="O752" s="35" t="n">
        <x:v>2</x:v>
      </x:c>
      <x:c r="P752" s="35" t="n">
        <x:v>3</x:v>
      </x:c>
      <x:c r="Q752" s="35" t="n">
        <x:v>2</x:v>
      </x:c>
      <x:c r="R752" s="35" t="n">
        <x:v>3</x:v>
      </x:c>
      <x:c r="S752" s="35" t="n">
        <x:v>3</x:v>
      </x:c>
      <x:c r="T752" s="35" t="n">
        <x:v>4</x:v>
      </x:c>
      <x:c r="U752" s="35" t="n">
        <x:v>1</x:v>
      </x:c>
      <x:c r="V752" s="35" t="n">
        <x:v>8</x:v>
      </x:c>
      <x:c r="W752" s="35" t="n">
        <x:v>2</x:v>
      </x:c>
      <x:c r="X752" s="35" t="n">
        <x:v>77</x:v>
      </x:c>
      <x:c r="Y752" s="35" t="n">
        <x:v>3</x:v>
      </x:c>
      <x:c r="Z752" s="35" t="n">
        <x:v>95</x:v>
      </x:c>
      <x:c r="AA752" s="35" t="n">
        <x:v>3</x:v>
      </x:c>
      <x:c r="AB752" s="35" t="n">
        <x:v>3</x:v>
      </x:c>
      <x:c r="AC752" s="35" t="n">
        <x:v>2</x:v>
      </x:c>
      <x:c r="AD752" s="35" t="n">
        <x:v>76</x:v>
      </x:c>
      <x:c r="AE752" s="35" t="n">
        <x:v>74</x:v>
      </x:c>
      <x:c r="AF752" s="35" t="n">
        <x:v>84</x:v>
      </x:c>
      <x:c r="AG752" s="35" t="n">
        <x:v>94</x:v>
      </x:c>
      <x:c r="AH752" s="35" t="n">
        <x:v>8</x:v>
      </x:c>
      <x:c r="AI752" s="37" t="n">
        <x:v>91.8</x:v>
      </x:c>
      <x:c r="AJ752" s="37" t="n">
        <x:v>79.3</x:v>
      </x:c>
      <x:c r="AK752" s="35" t="str">
        <x:v>No</x:v>
      </x:c>
      <x:c r="AL752" s="38" t="n">
        <x:f>IF(AA752=0,0,AB752/AA752)</x:f>
        <x:v>1</x:v>
      </x:c>
      <x:c r="AM752" s="38" t="n">
        <x:f>IF(AB752=0,0,AC752/AB752)</x:f>
        <x:v>0.6666666666666666</x:v>
      </x:c>
      <x:c r="AN752" s="37" t="n">
        <x:f>ROUND((AD752*0.20+AE752*0.20+AF752*0.25+AG752*0.15+MIN(100,AC752*12)*0.20),1)</x:f>
        <x:v>69.9</x:v>
      </x:c>
      <x:c r="AO752" s="37" t="n">
        <x:f>ROUND(MAX(0,MIN(100,(X752*0.35)+(W752/45*100*0.20)+((5-O752)/4*100*0.15)+((5-P752)/4*100*0.10)+((6-Y752)/5*100*0.10)+((100-Z752)*0.10))),1)</x:f>
        <x:v>50.6</x:v>
      </x:c>
      <x:c r="AP752" s="37" t="str">
        <x:f>IF(AO752&gt;=70,"High",IF(AO752&gt;=40,"Moderate","Low"))</x:f>
        <x:v>Moderate</x:v>
      </x:c>
      <x:c r="AQ752" s="37" t="n">
        <x:f>ROUND(MAX(0,MIN(100,(O752/4*100*0.25)+(P752/4*100*0.20)+(Q752/4*100*0.15)+(Y752/5*100*0.20)+(100-AO752)*0.20)),1)</x:f>
        <x:v>56.9</x:v>
      </x:c>
      <x:c r="AR752" s="37" t="n">
        <x:f>ROUND((AI752*0.20+AJ752*0.15+AN752*0.18+AG752*0.12+Z752*0.15+AQ752*0.20),1)</x:f>
        <x:v>79.7</x:v>
      </x:c>
      <x:c r="AS752" s="39" t="n">
        <x:f>ROUND((AC752*AF752*120)+(AH752*350)+(MAX(0,AI752-75)*220)+(MAX(0,AQ752-60)*100),0)</x:f>
        <x:v>26656</x:v>
      </x:c>
    </x:row>
    <x:row r="753">
      <x:c r="A753" s="35" t="n">
        <x:v>752</x:v>
      </x:c>
      <x:c r="B753" s="35" t="n">
        <x:v>46</x:v>
      </x:c>
      <x:c r="C753" s="35" t="str">
        <x:v>Male</x:v>
      </x:c>
      <x:c r="D753" s="35" t="str">
        <x:v>Human Resources</x:v>
      </x:c>
      <x:c r="E753" s="35" t="str">
        <x:v>HR Manager</x:v>
      </x:c>
      <x:c r="F753" s="35" t="str">
        <x:v>Computer Science</x:v>
      </x:c>
      <x:c r="G753" s="35" t="str">
        <x:v>Single</x:v>
      </x:c>
      <x:c r="H753" s="35" t="n">
        <x:v>3</x:v>
      </x:c>
      <x:c r="I753" s="36" t="n">
        <x:v>12860</x:v>
      </x:c>
      <x:c r="J753" s="35" t="n">
        <x:v>14</x:v>
      </x:c>
      <x:c r="K753" s="35" t="n">
        <x:v>12</x:v>
      </x:c>
      <x:c r="L753" s="35" t="n">
        <x:v>7</x:v>
      </x:c>
      <x:c r="M753" s="35" t="n">
        <x:v>8</x:v>
      </x:c>
      <x:c r="N753" s="35" t="str">
        <x:v>No</x:v>
      </x:c>
      <x:c r="O753" s="35" t="n">
        <x:v>2</x:v>
      </x:c>
      <x:c r="P753" s="35" t="n">
        <x:v>2</x:v>
      </x:c>
      <x:c r="Q753" s="35" t="n">
        <x:v>3</x:v>
      </x:c>
      <x:c r="R753" s="35" t="n">
        <x:v>4</x:v>
      </x:c>
      <x:c r="S753" s="35" t="n">
        <x:v>3</x:v>
      </x:c>
      <x:c r="T753" s="35" t="n">
        <x:v>5</x:v>
      </x:c>
      <x:c r="U753" s="35" t="n">
        <x:v>0</x:v>
      </x:c>
      <x:c r="V753" s="35" t="n">
        <x:v>0</x:v>
      </x:c>
      <x:c r="W753" s="35" t="n">
        <x:v>0</x:v>
      </x:c>
      <x:c r="X753" s="35" t="n">
        <x:v>51</x:v>
      </x:c>
      <x:c r="Y753" s="35" t="n">
        <x:v>5</x:v>
      </x:c>
      <x:c r="Z753" s="35" t="n">
        <x:v>100</x:v>
      </x:c>
      <x:c r="AA753" s="35" t="n">
        <x:v>3</x:v>
      </x:c>
      <x:c r="AB753" s="35" t="n">
        <x:v>3</x:v>
      </x:c>
      <x:c r="AC753" s="35" t="n">
        <x:v>1</x:v>
      </x:c>
      <x:c r="AD753" s="35" t="n">
        <x:v>57</x:v>
      </x:c>
      <x:c r="AE753" s="35" t="n">
        <x:v>67</x:v>
      </x:c>
      <x:c r="AF753" s="35" t="n">
        <x:v>84</x:v>
      </x:c>
      <x:c r="AG753" s="35" t="n">
        <x:v>94</x:v>
      </x:c>
      <x:c r="AH753" s="35" t="n">
        <x:v>6</x:v>
      </x:c>
      <x:c r="AI753" s="37" t="n">
        <x:v>95.2</x:v>
      </x:c>
      <x:c r="AJ753" s="37" t="n">
        <x:v>97</x:v>
      </x:c>
      <x:c r="AK753" s="35" t="str">
        <x:v>No</x:v>
      </x:c>
      <x:c r="AL753" s="38" t="n">
        <x:f>IF(AA753=0,0,AB753/AA753)</x:f>
        <x:v>1</x:v>
      </x:c>
      <x:c r="AM753" s="38" t="n">
        <x:f>IF(AB753=0,0,AC753/AB753)</x:f>
        <x:v>0.3333333333333333</x:v>
      </x:c>
      <x:c r="AN753" s="37" t="n">
        <x:f>ROUND((AD753*0.20+AE753*0.20+AF753*0.25+AG753*0.15+MIN(100,AC753*12)*0.20),1)</x:f>
        <x:v>62.3</x:v>
      </x:c>
      <x:c r="AO753" s="37" t="n">
        <x:f>ROUND(MAX(0,MIN(100,(X753*0.35)+(W753/45*100*0.20)+((5-O753)/4*100*0.15)+((5-P753)/4*100*0.10)+((6-Y753)/5*100*0.10)+((100-Z753)*0.10))),1)</x:f>
        <x:v>38.6</x:v>
      </x:c>
      <x:c r="AP753" s="37" t="str">
        <x:f>IF(AO753&gt;=70,"High",IF(AO753&gt;=40,"Moderate","Low"))</x:f>
        <x:v>Low</x:v>
      </x:c>
      <x:c r="AQ753" s="37" t="n">
        <x:f>ROUND(MAX(0,MIN(100,(O753/4*100*0.25)+(P753/4*100*0.20)+(Q753/4*100*0.15)+(Y753/5*100*0.20)+(100-AO753)*0.20)),1)</x:f>
        <x:v>66</x:v>
      </x:c>
      <x:c r="AR753" s="37" t="n">
        <x:f>ROUND((AI753*0.20+AJ753*0.15+AN753*0.18+AG753*0.12+Z753*0.15+AQ753*0.20),1)</x:f>
        <x:v>84.3</x:v>
      </x:c>
      <x:c r="AS753" s="39" t="n">
        <x:f>ROUND((AC753*AF753*120)+(AH753*350)+(MAX(0,AI753-75)*220)+(MAX(0,AQ753-60)*100),0)</x:f>
        <x:v>17224</x:v>
      </x:c>
    </x:row>
    <x:row r="754">
      <x:c r="A754" s="35" t="n">
        <x:v>753</x:v>
      </x:c>
      <x:c r="B754" s="35" t="n">
        <x:v>46</x:v>
      </x:c>
      <x:c r="C754" s="35" t="str">
        <x:v>Male</x:v>
      </x:c>
      <x:c r="D754" s="35" t="str">
        <x:v>Finance</x:v>
      </x:c>
      <x:c r="E754" s="35" t="str">
        <x:v>Financial Analyst</x:v>
      </x:c>
      <x:c r="F754" s="35" t="str">
        <x:v>Human Resources</x:v>
      </x:c>
      <x:c r="G754" s="35" t="str">
        <x:v>Married</x:v>
      </x:c>
      <x:c r="H754" s="35" t="n">
        <x:v>3</x:v>
      </x:c>
      <x:c r="I754" s="36" t="n">
        <x:v>12740</x:v>
      </x:c>
      <x:c r="J754" s="35" t="n">
        <x:v>17</x:v>
      </x:c>
      <x:c r="K754" s="35" t="n">
        <x:v>6</x:v>
      </x:c>
      <x:c r="L754" s="35" t="n">
        <x:v>4</x:v>
      </x:c>
      <x:c r="M754" s="35" t="n">
        <x:v>6</x:v>
      </x:c>
      <x:c r="N754" s="35" t="str">
        <x:v>Yes</x:v>
      </x:c>
      <x:c r="O754" s="35" t="n">
        <x:v>2</x:v>
      </x:c>
      <x:c r="P754" s="35" t="n">
        <x:v>3</x:v>
      </x:c>
      <x:c r="Q754" s="35" t="n">
        <x:v>3</x:v>
      </x:c>
      <x:c r="R754" s="35" t="n">
        <x:v>2</x:v>
      </x:c>
      <x:c r="S754" s="35" t="n">
        <x:v>3</x:v>
      </x:c>
      <x:c r="T754" s="35" t="n">
        <x:v>3</x:v>
      </x:c>
      <x:c r="U754" s="35" t="n">
        <x:v>1</x:v>
      </x:c>
      <x:c r="V754" s="35" t="n">
        <x:v>9</x:v>
      </x:c>
      <x:c r="W754" s="35" t="n">
        <x:v>25</x:v>
      </x:c>
      <x:c r="X754" s="35" t="n">
        <x:v>61</x:v>
      </x:c>
      <x:c r="Y754" s="35" t="n">
        <x:v>5</x:v>
      </x:c>
      <x:c r="Z754" s="35" t="n">
        <x:v>90</x:v>
      </x:c>
      <x:c r="AA754" s="35" t="n">
        <x:v>1</x:v>
      </x:c>
      <x:c r="AB754" s="35" t="n">
        <x:v>1</x:v>
      </x:c>
      <x:c r="AC754" s="35" t="n">
        <x:v>0</x:v>
      </x:c>
      <x:c r="AD754" s="35" t="n">
        <x:v>36</x:v>
      </x:c>
      <x:c r="AE754" s="35" t="n">
        <x:v>92</x:v>
      </x:c>
      <x:c r="AF754" s="35" t="n">
        <x:v>69</x:v>
      </x:c>
      <x:c r="AG754" s="35" t="n">
        <x:v>91</x:v>
      </x:c>
      <x:c r="AH754" s="35" t="n">
        <x:v>6</x:v>
      </x:c>
      <x:c r="AI754" s="37" t="n">
        <x:v>94.9</x:v>
      </x:c>
      <x:c r="AJ754" s="37" t="n">
        <x:v>91.6</x:v>
      </x:c>
      <x:c r="AK754" s="35" t="str">
        <x:v>No</x:v>
      </x:c>
      <x:c r="AL754" s="38" t="n">
        <x:f>IF(AA754=0,0,AB754/AA754)</x:f>
        <x:v>1</x:v>
      </x:c>
      <x:c r="AM754" s="38" t="n">
        <x:f>IF(AB754=0,0,AC754/AB754)</x:f>
        <x:v>0</x:v>
      </x:c>
      <x:c r="AN754" s="37" t="n">
        <x:f>ROUND((AD754*0.20+AE754*0.20+AF754*0.25+AG754*0.15+MIN(100,AC754*12)*0.20),1)</x:f>
        <x:v>56.5</x:v>
      </x:c>
      <x:c r="AO754" s="37" t="n">
        <x:f>ROUND(MAX(0,MIN(100,(X754*0.35)+(W754/45*100*0.20)+((5-O754)/4*100*0.15)+((5-P754)/4*100*0.10)+((6-Y754)/5*100*0.10)+((100-Z754)*0.10))),1)</x:f>
        <x:v>51.7</x:v>
      </x:c>
      <x:c r="AP754" s="37" t="str">
        <x:f>IF(AO754&gt;=70,"High",IF(AO754&gt;=40,"Moderate","Low"))</x:f>
        <x:v>Moderate</x:v>
      </x:c>
      <x:c r="AQ754" s="37" t="n">
        <x:f>ROUND(MAX(0,MIN(100,(O754/4*100*0.25)+(P754/4*100*0.20)+(Q754/4*100*0.15)+(Y754/5*100*0.20)+(100-AO754)*0.20)),1)</x:f>
        <x:v>68.4</x:v>
      </x:c>
      <x:c r="AR754" s="37" t="n">
        <x:f>ROUND((AI754*0.20+AJ754*0.15+AN754*0.18+AG754*0.12+Z754*0.15+AQ754*0.20),1)</x:f>
        <x:v>81</x:v>
      </x:c>
      <x:c r="AS754" s="39" t="n">
        <x:f>ROUND((AC754*AF754*120)+(AH754*350)+(MAX(0,AI754-75)*220)+(MAX(0,AQ754-60)*100),0)</x:f>
        <x:v>7318</x:v>
      </x:c>
    </x:row>
    <x:row r="755">
      <x:c r="A755" s="35" t="n">
        <x:v>754</x:v>
      </x:c>
      <x:c r="B755" s="35" t="n">
        <x:v>55</x:v>
      </x:c>
      <x:c r="C755" s="35" t="str">
        <x:v>Male</x:v>
      </x:c>
      <x:c r="D755" s="35" t="str">
        <x:v>Sales</x:v>
      </x:c>
      <x:c r="E755" s="35" t="str">
        <x:v>Sales Executive</x:v>
      </x:c>
      <x:c r="F755" s="35" t="str">
        <x:v>Business</x:v>
      </x:c>
      <x:c r="G755" s="35" t="str">
        <x:v>Single</x:v>
      </x:c>
      <x:c r="H755" s="35" t="n">
        <x:v>4</x:v>
      </x:c>
      <x:c r="I755" s="36" t="n">
        <x:v>17630</x:v>
      </x:c>
      <x:c r="J755" s="35" t="n">
        <x:v>25</x:v>
      </x:c>
      <x:c r="K755" s="35" t="n">
        <x:v>13</x:v>
      </x:c>
      <x:c r="L755" s="35" t="n">
        <x:v>4</x:v>
      </x:c>
      <x:c r="M755" s="35" t="n">
        <x:v>10</x:v>
      </x:c>
      <x:c r="N755" s="35" t="str">
        <x:v>Yes</x:v>
      </x:c>
      <x:c r="O755" s="35" t="n">
        <x:v>2</x:v>
      </x:c>
      <x:c r="P755" s="35" t="n">
        <x:v>2</x:v>
      </x:c>
      <x:c r="Q755" s="35" t="n">
        <x:v>4</x:v>
      </x:c>
      <x:c r="R755" s="35" t="n">
        <x:v>3</x:v>
      </x:c>
      <x:c r="S755" s="35" t="n">
        <x:v>3</x:v>
      </x:c>
      <x:c r="T755" s="35" t="n">
        <x:v>0</x:v>
      </x:c>
      <x:c r="U755" s="35" t="n">
        <x:v>0</x:v>
      </x:c>
      <x:c r="V755" s="35" t="n">
        <x:v>7</x:v>
      </x:c>
      <x:c r="W755" s="35" t="n">
        <x:v>8</x:v>
      </x:c>
      <x:c r="X755" s="35" t="n">
        <x:v>64</x:v>
      </x:c>
      <x:c r="Y755" s="35" t="n">
        <x:v>3</x:v>
      </x:c>
      <x:c r="Z755" s="35" t="n">
        <x:v>95</x:v>
      </x:c>
      <x:c r="AA755" s="35" t="n">
        <x:v>3</x:v>
      </x:c>
      <x:c r="AB755" s="35" t="n">
        <x:v>3</x:v>
      </x:c>
      <x:c r="AC755" s="35" t="n">
        <x:v>3</x:v>
      </x:c>
      <x:c r="AD755" s="35" t="n">
        <x:v>89</x:v>
      </x:c>
      <x:c r="AE755" s="35" t="n">
        <x:v>87</x:v>
      </x:c>
      <x:c r="AF755" s="35" t="n">
        <x:v>79</x:v>
      </x:c>
      <x:c r="AG755" s="35" t="n">
        <x:v>80</x:v>
      </x:c>
      <x:c r="AH755" s="35" t="n">
        <x:v>5</x:v>
      </x:c>
      <x:c r="AI755" s="37" t="n">
        <x:v>99.9</x:v>
      </x:c>
      <x:c r="AJ755" s="37" t="n">
        <x:v>93.2</x:v>
      </x:c>
      <x:c r="AK755" s="35" t="str">
        <x:v>Yes</x:v>
      </x:c>
      <x:c r="AL755" s="38" t="n">
        <x:f>IF(AA755=0,0,AB755/AA755)</x:f>
        <x:v>1</x:v>
      </x:c>
      <x:c r="AM755" s="38" t="n">
        <x:f>IF(AB755=0,0,AC755/AB755)</x:f>
        <x:v>1</x:v>
      </x:c>
      <x:c r="AN755" s="37" t="n">
        <x:f>ROUND((AD755*0.20+AE755*0.20+AF755*0.25+AG755*0.15+MIN(100,AC755*12)*0.20),1)</x:f>
        <x:v>74.2</x:v>
      </x:c>
      <x:c r="AO755" s="37" t="n">
        <x:f>ROUND(MAX(0,MIN(100,(X755*0.35)+(W755/45*100*0.20)+((5-O755)/4*100*0.15)+((5-P755)/4*100*0.10)+((6-Y755)/5*100*0.10)+((100-Z755)*0.10))),1)</x:f>
        <x:v>51.2</x:v>
      </x:c>
      <x:c r="AP755" s="37" t="str">
        <x:f>IF(AO755&gt;=70,"High",IF(AO755&gt;=40,"Moderate","Low"))</x:f>
        <x:v>Moderate</x:v>
      </x:c>
      <x:c r="AQ755" s="37" t="n">
        <x:f>ROUND(MAX(0,MIN(100,(O755/4*100*0.25)+(P755/4*100*0.20)+(Q755/4*100*0.15)+(Y755/5*100*0.20)+(100-AO755)*0.20)),1)</x:f>
        <x:v>59.3</x:v>
      </x:c>
      <x:c r="AR755" s="37" t="n">
        <x:f>ROUND((AI755*0.20+AJ755*0.15+AN755*0.18+AG755*0.12+Z755*0.15+AQ755*0.20),1)</x:f>
        <x:v>83</x:v>
      </x:c>
      <x:c r="AS755" s="39" t="n">
        <x:f>ROUND((AC755*AF755*120)+(AH755*350)+(MAX(0,AI755-75)*220)+(MAX(0,AQ755-60)*100),0)</x:f>
        <x:v>35668</x:v>
      </x:c>
    </x:row>
    <x:row r="756">
      <x:c r="A756" s="35" t="n">
        <x:v>755</x:v>
      </x:c>
      <x:c r="B756" s="35" t="n">
        <x:v>48</x:v>
      </x:c>
      <x:c r="C756" s="35" t="str">
        <x:v>Female</x:v>
      </x:c>
      <x:c r="D756" s="35" t="str">
        <x:v>Sales</x:v>
      </x:c>
      <x:c r="E756" s="35" t="str">
        <x:v>Sales Executive</x:v>
      </x:c>
      <x:c r="F756" s="35" t="str">
        <x:v>Human Resources</x:v>
      </x:c>
      <x:c r="G756" s="35" t="str">
        <x:v>Single</x:v>
      </x:c>
      <x:c r="H756" s="35" t="n">
        <x:v>4</x:v>
      </x:c>
      <x:c r="I756" s="36" t="n">
        <x:v>18660</x:v>
      </x:c>
      <x:c r="J756" s="35" t="n">
        <x:v>15</x:v>
      </x:c>
      <x:c r="K756" s="35" t="n">
        <x:v>7</x:v>
      </x:c>
      <x:c r="L756" s="35" t="n">
        <x:v>4</x:v>
      </x:c>
      <x:c r="M756" s="35" t="n">
        <x:v>3</x:v>
      </x:c>
      <x:c r="N756" s="35" t="str">
        <x:v>No</x:v>
      </x:c>
      <x:c r="O756" s="35" t="n">
        <x:v>3</x:v>
      </x:c>
      <x:c r="P756" s="35" t="n">
        <x:v>3</x:v>
      </x:c>
      <x:c r="Q756" s="35" t="n">
        <x:v>2</x:v>
      </x:c>
      <x:c r="R756" s="35" t="n">
        <x:v>3</x:v>
      </x:c>
      <x:c r="S756" s="35" t="n">
        <x:v>3</x:v>
      </x:c>
      <x:c r="T756" s="35" t="n">
        <x:v>4</x:v>
      </x:c>
      <x:c r="U756" s="35" t="n">
        <x:v>2</x:v>
      </x:c>
      <x:c r="V756" s="35" t="n">
        <x:v>0</x:v>
      </x:c>
      <x:c r="W756" s="35" t="n">
        <x:v>10</x:v>
      </x:c>
      <x:c r="X756" s="35" t="n">
        <x:v>66</x:v>
      </x:c>
      <x:c r="Y756" s="35" t="n">
        <x:v>5</x:v>
      </x:c>
      <x:c r="Z756" s="35" t="n">
        <x:v>100</x:v>
      </x:c>
      <x:c r="AA756" s="35" t="n">
        <x:v>3</x:v>
      </x:c>
      <x:c r="AB756" s="35" t="n">
        <x:v>3</x:v>
      </x:c>
      <x:c r="AC756" s="35" t="n">
        <x:v>2</x:v>
      </x:c>
      <x:c r="AD756" s="35" t="n">
        <x:v>73</x:v>
      </x:c>
      <x:c r="AE756" s="35" t="n">
        <x:v>89</x:v>
      </x:c>
      <x:c r="AF756" s="35" t="n">
        <x:v>80</x:v>
      </x:c>
      <x:c r="AG756" s="35" t="n">
        <x:v>84</x:v>
      </x:c>
      <x:c r="AH756" s="35" t="n">
        <x:v>5</x:v>
      </x:c>
      <x:c r="AI756" s="37" t="n">
        <x:v>97.9</x:v>
      </x:c>
      <x:c r="AJ756" s="37" t="n">
        <x:v>99.3</x:v>
      </x:c>
      <x:c r="AK756" s="35" t="str">
        <x:v>Yes</x:v>
      </x:c>
      <x:c r="AL756" s="38" t="n">
        <x:f>IF(AA756=0,0,AB756/AA756)</x:f>
        <x:v>1</x:v>
      </x:c>
      <x:c r="AM756" s="38" t="n">
        <x:f>IF(AB756=0,0,AC756/AB756)</x:f>
        <x:v>0.6666666666666666</x:v>
      </x:c>
      <x:c r="AN756" s="37" t="n">
        <x:f>ROUND((AD756*0.20+AE756*0.20+AF756*0.25+AG756*0.15+MIN(100,AC756*12)*0.20),1)</x:f>
        <x:v>69.8</x:v>
      </x:c>
      <x:c r="AO756" s="37" t="n">
        <x:f>ROUND(MAX(0,MIN(100,(X756*0.35)+(W756/45*100*0.20)+((5-O756)/4*100*0.15)+((5-P756)/4*100*0.10)+((6-Y756)/5*100*0.10)+((100-Z756)*0.10))),1)</x:f>
        <x:v>42</x:v>
      </x:c>
      <x:c r="AP756" s="37" t="str">
        <x:f>IF(AO756&gt;=70,"High",IF(AO756&gt;=40,"Moderate","Low"))</x:f>
        <x:v>Moderate</x:v>
      </x:c>
      <x:c r="AQ756" s="37" t="n">
        <x:f>ROUND(MAX(0,MIN(100,(O756/4*100*0.25)+(P756/4*100*0.20)+(Q756/4*100*0.15)+(Y756/5*100*0.20)+(100-AO756)*0.20)),1)</x:f>
        <x:v>72.9</x:v>
      </x:c>
      <x:c r="AR756" s="37" t="n">
        <x:f>ROUND((AI756*0.20+AJ756*0.15+AN756*0.18+AG756*0.12+Z756*0.15+AQ756*0.20),1)</x:f>
        <x:v>86.7</x:v>
      </x:c>
      <x:c r="AS756" s="39" t="n">
        <x:f>ROUND((AC756*AF756*120)+(AH756*350)+(MAX(0,AI756-75)*220)+(MAX(0,AQ756-60)*100),0)</x:f>
        <x:v>27278</x:v>
      </x:c>
    </x:row>
    <x:row r="757">
      <x:c r="A757" s="35" t="n">
        <x:v>756</x:v>
      </x:c>
      <x:c r="B757" s="35" t="n">
        <x:v>33</x:v>
      </x:c>
      <x:c r="C757" s="35" t="str">
        <x:v>Male</x:v>
      </x:c>
      <x:c r="D757" s="35" t="str">
        <x:v>Operations</x:v>
      </x:c>
      <x:c r="E757" s="35" t="str">
        <x:v>Operations Specialist</x:v>
      </x:c>
      <x:c r="F757" s="35" t="str">
        <x:v>Life Sciences</x:v>
      </x:c>
      <x:c r="G757" s="35" t="str">
        <x:v>Married</x:v>
      </x:c>
      <x:c r="H757" s="35" t="n">
        <x:v>2</x:v>
      </x:c>
      <x:c r="I757" s="36" t="n">
        <x:v>8550</x:v>
      </x:c>
      <x:c r="J757" s="35" t="n">
        <x:v>7</x:v>
      </x:c>
      <x:c r="K757" s="35" t="n">
        <x:v>5</x:v>
      </x:c>
      <x:c r="L757" s="35" t="n">
        <x:v>4</x:v>
      </x:c>
      <x:c r="M757" s="35" t="n">
        <x:v>15</x:v>
      </x:c>
      <x:c r="N757" s="35" t="str">
        <x:v>Yes</x:v>
      </x:c>
      <x:c r="O757" s="35" t="n">
        <x:v>3</x:v>
      </x:c>
      <x:c r="P757" s="35" t="n">
        <x:v>2</x:v>
      </x:c>
      <x:c r="Q757" s="35" t="n">
        <x:v>2</x:v>
      </x:c>
      <x:c r="R757" s="35" t="n">
        <x:v>3</x:v>
      </x:c>
      <x:c r="S757" s="35" t="n">
        <x:v>4</x:v>
      </x:c>
      <x:c r="T757" s="35" t="n">
        <x:v>1</x:v>
      </x:c>
      <x:c r="U757" s="35" t="n">
        <x:v>0</x:v>
      </x:c>
      <x:c r="V757" s="35" t="n">
        <x:v>10</x:v>
      </x:c>
      <x:c r="W757" s="35" t="n">
        <x:v>5</x:v>
      </x:c>
      <x:c r="X757" s="35" t="n">
        <x:v>100</x:v>
      </x:c>
      <x:c r="Y757" s="35" t="n">
        <x:v>2</x:v>
      </x:c>
      <x:c r="Z757" s="35" t="n">
        <x:v>83</x:v>
      </x:c>
      <x:c r="AA757" s="35" t="n">
        <x:v>7</x:v>
      </x:c>
      <x:c r="AB757" s="35" t="n">
        <x:v>7</x:v>
      </x:c>
      <x:c r="AC757" s="35" t="n">
        <x:v>6</x:v>
      </x:c>
      <x:c r="AD757" s="35" t="n">
        <x:v>74</x:v>
      </x:c>
      <x:c r="AE757" s="35" t="n">
        <x:v>100</x:v>
      </x:c>
      <x:c r="AF757" s="35" t="n">
        <x:v>100</x:v>
      </x:c>
      <x:c r="AG757" s="35" t="n">
        <x:v>93</x:v>
      </x:c>
      <x:c r="AH757" s="35" t="n">
        <x:v>12</x:v>
      </x:c>
      <x:c r="AI757" s="37" t="n">
        <x:v>100</x:v>
      </x:c>
      <x:c r="AJ757" s="37" t="n">
        <x:v>100</x:v>
      </x:c>
      <x:c r="AK757" s="35" t="str">
        <x:v>No</x:v>
      </x:c>
      <x:c r="AL757" s="38" t="n">
        <x:f>IF(AA757=0,0,AB757/AA757)</x:f>
        <x:v>1</x:v>
      </x:c>
      <x:c r="AM757" s="38" t="n">
        <x:f>IF(AB757=0,0,AC757/AB757)</x:f>
        <x:v>0.8571428571428571</x:v>
      </x:c>
      <x:c r="AN757" s="37" t="n">
        <x:f>ROUND((AD757*0.20+AE757*0.20+AF757*0.25+AG757*0.15+MIN(100,AC757*12)*0.20),1)</x:f>
        <x:v>88.2</x:v>
      </x:c>
      <x:c r="AO757" s="37" t="n">
        <x:f>ROUND(MAX(0,MIN(100,(X757*0.35)+(W757/45*100*0.20)+((5-O757)/4*100*0.15)+((5-P757)/4*100*0.10)+((6-Y757)/5*100*0.10)+((100-Z757)*0.10))),1)</x:f>
        <x:v>61.9</x:v>
      </x:c>
      <x:c r="AP757" s="37" t="str">
        <x:f>IF(AO757&gt;=70,"High",IF(AO757&gt;=40,"Moderate","Low"))</x:f>
        <x:v>Moderate</x:v>
      </x:c>
      <x:c r="AQ757" s="37" t="n">
        <x:f>ROUND(MAX(0,MIN(100,(O757/4*100*0.25)+(P757/4*100*0.20)+(Q757/4*100*0.15)+(Y757/5*100*0.20)+(100-AO757)*0.20)),1)</x:f>
        <x:v>51.9</x:v>
      </x:c>
      <x:c r="AR757" s="37" t="n">
        <x:f>ROUND((AI757*0.20+AJ757*0.15+AN757*0.18+AG757*0.12+Z757*0.15+AQ757*0.20),1)</x:f>
        <x:v>84.9</x:v>
      </x:c>
      <x:c r="AS757" s="39" t="n">
        <x:f>ROUND((AC757*AF757*120)+(AH757*350)+(MAX(0,AI757-75)*220)+(MAX(0,AQ757-60)*100),0)</x:f>
        <x:v>81700</x:v>
      </x:c>
    </x:row>
    <x:row r="758">
      <x:c r="A758" s="35" t="n">
        <x:v>757</x:v>
      </x:c>
      <x:c r="B758" s="35" t="n">
        <x:v>24</x:v>
      </x:c>
      <x:c r="C758" s="35" t="str">
        <x:v>Male</x:v>
      </x:c>
      <x:c r="D758" s="35" t="str">
        <x:v>Research &amp; Development</x:v>
      </x:c>
      <x:c r="E758" s="35" t="str">
        <x:v>Laboratory Technician</x:v>
      </x:c>
      <x:c r="F758" s="35" t="str">
        <x:v>Computer Science</x:v>
      </x:c>
      <x:c r="G758" s="35" t="str">
        <x:v>Married</x:v>
      </x:c>
      <x:c r="H758" s="35" t="n">
        <x:v>1</x:v>
      </x:c>
      <x:c r="I758" s="36" t="n">
        <x:v>6510</x:v>
      </x:c>
      <x:c r="J758" s="35" t="n">
        <x:v>2</x:v>
      </x:c>
      <x:c r="K758" s="35" t="n">
        <x:v>1</x:v>
      </x:c>
      <x:c r="L758" s="35" t="n">
        <x:v>0</x:v>
      </x:c>
      <x:c r="M758" s="35" t="n">
        <x:v>2</x:v>
      </x:c>
      <x:c r="N758" s="35" t="str">
        <x:v>Yes</x:v>
      </x:c>
      <x:c r="O758" s="35" t="n">
        <x:v>2</x:v>
      </x:c>
      <x:c r="P758" s="35" t="n">
        <x:v>3</x:v>
      </x:c>
      <x:c r="Q758" s="35" t="n">
        <x:v>2</x:v>
      </x:c>
      <x:c r="R758" s="35" t="n">
        <x:v>3</x:v>
      </x:c>
      <x:c r="S758" s="35" t="n">
        <x:v>3</x:v>
      </x:c>
      <x:c r="T758" s="35" t="n">
        <x:v>2</x:v>
      </x:c>
      <x:c r="U758" s="35" t="n">
        <x:v>2</x:v>
      </x:c>
      <x:c r="V758" s="35" t="n">
        <x:v>6</x:v>
      </x:c>
      <x:c r="W758" s="35" t="n">
        <x:v>20</x:v>
      </x:c>
      <x:c r="X758" s="35" t="n">
        <x:v>68</x:v>
      </x:c>
      <x:c r="Y758" s="35" t="n">
        <x:v>3</x:v>
      </x:c>
      <x:c r="Z758" s="35" t="n">
        <x:v>93</x:v>
      </x:c>
      <x:c r="AA758" s="35" t="n">
        <x:v>8</x:v>
      </x:c>
      <x:c r="AB758" s="35" t="n">
        <x:v>6</x:v>
      </x:c>
      <x:c r="AC758" s="35" t="n">
        <x:v>6</x:v>
      </x:c>
      <x:c r="AD758" s="35" t="n">
        <x:v>100</x:v>
      </x:c>
      <x:c r="AE758" s="35" t="n">
        <x:v>96</x:v>
      </x:c>
      <x:c r="AF758" s="35" t="n">
        <x:v>56</x:v>
      </x:c>
      <x:c r="AG758" s="35" t="n">
        <x:v>84</x:v>
      </x:c>
      <x:c r="AH758" s="35" t="n">
        <x:v>8</x:v>
      </x:c>
      <x:c r="AI758" s="37" t="n">
        <x:v>85.9</x:v>
      </x:c>
      <x:c r="AJ758" s="37" t="n">
        <x:v>100</x:v>
      </x:c>
      <x:c r="AK758" s="35" t="str">
        <x:v>No</x:v>
      </x:c>
      <x:c r="AL758" s="38" t="n">
        <x:f>IF(AA758=0,0,AB758/AA758)</x:f>
        <x:v>0.75</x:v>
      </x:c>
      <x:c r="AM758" s="38" t="n">
        <x:f>IF(AB758=0,0,AC758/AB758)</x:f>
        <x:v>1</x:v>
      </x:c>
      <x:c r="AN758" s="37" t="n">
        <x:f>ROUND((AD758*0.20+AE758*0.20+AF758*0.25+AG758*0.15+MIN(100,AC758*12)*0.20),1)</x:f>
        <x:v>80.2</x:v>
      </x:c>
      <x:c r="AO758" s="37" t="n">
        <x:f>ROUND(MAX(0,MIN(100,(X758*0.35)+(W758/45*100*0.20)+((5-O758)/4*100*0.15)+((5-P758)/4*100*0.10)+((6-Y758)/5*100*0.10)+((100-Z758)*0.10))),1)</x:f>
        <x:v>55.6</x:v>
      </x:c>
      <x:c r="AP758" s="37" t="str">
        <x:f>IF(AO758&gt;=70,"High",IF(AO758&gt;=40,"Moderate","Low"))</x:f>
        <x:v>Moderate</x:v>
      </x:c>
      <x:c r="AQ758" s="37" t="n">
        <x:f>ROUND(MAX(0,MIN(100,(O758/4*100*0.25)+(P758/4*100*0.20)+(Q758/4*100*0.15)+(Y758/5*100*0.20)+(100-AO758)*0.20)),1)</x:f>
        <x:v>55.9</x:v>
      </x:c>
      <x:c r="AR758" s="37" t="n">
        <x:f>ROUND((AI758*0.20+AJ758*0.15+AN758*0.18+AG758*0.12+Z758*0.15+AQ758*0.20),1)</x:f>
        <x:v>81.8</x:v>
      </x:c>
      <x:c r="AS758" s="39" t="n">
        <x:f>ROUND((AC758*AF758*120)+(AH758*350)+(MAX(0,AI758-75)*220)+(MAX(0,AQ758-60)*100),0)</x:f>
        <x:v>45518</x:v>
      </x:c>
    </x:row>
    <x:row r="759">
      <x:c r="A759" s="35" t="n">
        <x:v>758</x:v>
      </x:c>
      <x:c r="B759" s="35" t="n">
        <x:v>47</x:v>
      </x:c>
      <x:c r="C759" s="35" t="str">
        <x:v>Male</x:v>
      </x:c>
      <x:c r="D759" s="35" t="str">
        <x:v>Operations</x:v>
      </x:c>
      <x:c r="E759" s="35" t="str">
        <x:v>Quality Specialist</x:v>
      </x:c>
      <x:c r="F759" s="35" t="str">
        <x:v>Human Resources</x:v>
      </x:c>
      <x:c r="G759" s="35" t="str">
        <x:v>Married</x:v>
      </x:c>
      <x:c r="H759" s="35" t="n">
        <x:v>3</x:v>
      </x:c>
      <x:c r="I759" s="36" t="n">
        <x:v>11450</x:v>
      </x:c>
      <x:c r="J759" s="35" t="n">
        <x:v>12</x:v>
      </x:c>
      <x:c r="K759" s="35" t="n">
        <x:v>10</x:v>
      </x:c>
      <x:c r="L759" s="35" t="n">
        <x:v>7</x:v>
      </x:c>
      <x:c r="M759" s="35" t="n">
        <x:v>4</x:v>
      </x:c>
      <x:c r="N759" s="35" t="str">
        <x:v>No</x:v>
      </x:c>
      <x:c r="O759" s="35" t="n">
        <x:v>3</x:v>
      </x:c>
      <x:c r="P759" s="35" t="n">
        <x:v>3</x:v>
      </x:c>
      <x:c r="Q759" s="35" t="n">
        <x:v>3</x:v>
      </x:c>
      <x:c r="R759" s="35" t="n">
        <x:v>3</x:v>
      </x:c>
      <x:c r="S759" s="35" t="n">
        <x:v>3</x:v>
      </x:c>
      <x:c r="T759" s="35" t="n">
        <x:v>3</x:v>
      </x:c>
      <x:c r="U759" s="35" t="n">
        <x:v>1</x:v>
      </x:c>
      <x:c r="V759" s="35" t="n">
        <x:v>9</x:v>
      </x:c>
      <x:c r="W759" s="35" t="n">
        <x:v>5</x:v>
      </x:c>
      <x:c r="X759" s="35" t="n">
        <x:v>85</x:v>
      </x:c>
      <x:c r="Y759" s="35" t="n">
        <x:v>4</x:v>
      </x:c>
      <x:c r="Z759" s="35" t="n">
        <x:v>97</x:v>
      </x:c>
      <x:c r="AA759" s="35" t="n">
        <x:v>2</x:v>
      </x:c>
      <x:c r="AB759" s="35" t="n">
        <x:v>2</x:v>
      </x:c>
      <x:c r="AC759" s="35" t="n">
        <x:v>1</x:v>
      </x:c>
      <x:c r="AD759" s="35" t="n">
        <x:v>55</x:v>
      </x:c>
      <x:c r="AE759" s="35" t="n">
        <x:v>85</x:v>
      </x:c>
      <x:c r="AF759" s="35" t="n">
        <x:v>75</x:v>
      </x:c>
      <x:c r="AG759" s="35" t="n">
        <x:v>87</x:v>
      </x:c>
      <x:c r="AH759" s="35" t="n">
        <x:v>5</x:v>
      </x:c>
      <x:c r="AI759" s="37" t="n">
        <x:v>92.8</x:v>
      </x:c>
      <x:c r="AJ759" s="37" t="n">
        <x:v>100</x:v>
      </x:c>
      <x:c r="AK759" s="35" t="str">
        <x:v>No</x:v>
      </x:c>
      <x:c r="AL759" s="38" t="n">
        <x:f>IF(AA759=0,0,AB759/AA759)</x:f>
        <x:v>1</x:v>
      </x:c>
      <x:c r="AM759" s="38" t="n">
        <x:f>IF(AB759=0,0,AC759/AB759)</x:f>
        <x:v>0.5</x:v>
      </x:c>
      <x:c r="AN759" s="37" t="n">
        <x:f>ROUND((AD759*0.20+AE759*0.20+AF759*0.25+AG759*0.15+MIN(100,AC759*12)*0.20),1)</x:f>
        <x:v>62.2</x:v>
      </x:c>
      <x:c r="AO759" s="37" t="n">
        <x:f>ROUND(MAX(0,MIN(100,(X759*0.35)+(W759/45*100*0.20)+((5-O759)/4*100*0.15)+((5-P759)/4*100*0.10)+((6-Y759)/5*100*0.10)+((100-Z759)*0.10))),1)</x:f>
        <x:v>48.8</x:v>
      </x:c>
      <x:c r="AP759" s="37" t="str">
        <x:f>IF(AO759&gt;=70,"High",IF(AO759&gt;=40,"Moderate","Low"))</x:f>
        <x:v>Moderate</x:v>
      </x:c>
      <x:c r="AQ759" s="37" t="n">
        <x:f>ROUND(MAX(0,MIN(100,(O759/4*100*0.25)+(P759/4*100*0.20)+(Q759/4*100*0.15)+(Y759/5*100*0.20)+(100-AO759)*0.20)),1)</x:f>
        <x:v>71.2</x:v>
      </x:c>
      <x:c r="AR759" s="37" t="n">
        <x:f>ROUND((AI759*0.20+AJ759*0.15+AN759*0.18+AG759*0.12+Z759*0.15+AQ759*0.20),1)</x:f>
        <x:v>84</x:v>
      </x:c>
      <x:c r="AS759" s="39" t="n">
        <x:f>ROUND((AC759*AF759*120)+(AH759*350)+(MAX(0,AI759-75)*220)+(MAX(0,AQ759-60)*100),0)</x:f>
        <x:v>15786</x:v>
      </x:c>
    </x:row>
    <x:row r="760">
      <x:c r="A760" s="35" t="n">
        <x:v>759</x:v>
      </x:c>
      <x:c r="B760" s="35" t="n">
        <x:v>35</x:v>
      </x:c>
      <x:c r="C760" s="35" t="str">
        <x:v>Male</x:v>
      </x:c>
      <x:c r="D760" s="35" t="str">
        <x:v>Marketing</x:v>
      </x:c>
      <x:c r="E760" s="35" t="str">
        <x:v>Digital Marketing Analyst</x:v>
      </x:c>
      <x:c r="F760" s="35" t="str">
        <x:v>Life Sciences</x:v>
      </x:c>
      <x:c r="G760" s="35" t="str">
        <x:v>Married</x:v>
      </x:c>
      <x:c r="H760" s="35" t="n">
        <x:v>3</x:v>
      </x:c>
      <x:c r="I760" s="36" t="n">
        <x:v>17250</x:v>
      </x:c>
      <x:c r="J760" s="35" t="n">
        <x:v>12</x:v>
      </x:c>
      <x:c r="K760" s="35" t="n">
        <x:v>7</x:v>
      </x:c>
      <x:c r="L760" s="35" t="n">
        <x:v>3</x:v>
      </x:c>
      <x:c r="M760" s="35" t="n">
        <x:v>4</x:v>
      </x:c>
      <x:c r="N760" s="35" t="str">
        <x:v>Yes</x:v>
      </x:c>
      <x:c r="O760" s="35" t="n">
        <x:v>2</x:v>
      </x:c>
      <x:c r="P760" s="35" t="n">
        <x:v>2</x:v>
      </x:c>
      <x:c r="Q760" s="35" t="n">
        <x:v>4</x:v>
      </x:c>
      <x:c r="R760" s="35" t="n">
        <x:v>3</x:v>
      </x:c>
      <x:c r="S760" s="35" t="n">
        <x:v>3</x:v>
      </x:c>
      <x:c r="T760" s="35" t="n">
        <x:v>3</x:v>
      </x:c>
      <x:c r="U760" s="35" t="n">
        <x:v>2</x:v>
      </x:c>
      <x:c r="V760" s="35" t="n">
        <x:v>4</x:v>
      </x:c>
      <x:c r="W760" s="35" t="n">
        <x:v>23</x:v>
      </x:c>
      <x:c r="X760" s="35" t="n">
        <x:v>66</x:v>
      </x:c>
      <x:c r="Y760" s="35" t="n">
        <x:v>4</x:v>
      </x:c>
      <x:c r="Z760" s="35" t="n">
        <x:v>100</x:v>
      </x:c>
      <x:c r="AA760" s="35" t="n">
        <x:v>12</x:v>
      </x:c>
      <x:c r="AB760" s="35" t="n">
        <x:v>10</x:v>
      </x:c>
      <x:c r="AC760" s="35" t="n">
        <x:v>7</x:v>
      </x:c>
      <x:c r="AD760" s="35" t="n">
        <x:v>94</x:v>
      </x:c>
      <x:c r="AE760" s="35" t="n">
        <x:v>89</x:v>
      </x:c>
      <x:c r="AF760" s="35" t="n">
        <x:v>100</x:v>
      </x:c>
      <x:c r="AG760" s="35" t="n">
        <x:v>97</x:v>
      </x:c>
      <x:c r="AH760" s="35" t="n">
        <x:v>11</x:v>
      </x:c>
      <x:c r="AI760" s="37" t="n">
        <x:v>92.2</x:v>
      </x:c>
      <x:c r="AJ760" s="37" t="n">
        <x:v>99.4</x:v>
      </x:c>
      <x:c r="AK760" s="35" t="str">
        <x:v>No</x:v>
      </x:c>
      <x:c r="AL760" s="38" t="n">
        <x:f>IF(AA760=0,0,AB760/AA760)</x:f>
        <x:v>0.8333333333333334</x:v>
      </x:c>
      <x:c r="AM760" s="38" t="n">
        <x:f>IF(AB760=0,0,AC760/AB760)</x:f>
        <x:v>0.7</x:v>
      </x:c>
      <x:c r="AN760" s="37" t="n">
        <x:f>ROUND((AD760*0.20+AE760*0.20+AF760*0.25+AG760*0.15+MIN(100,AC760*12)*0.20),1)</x:f>
        <x:v>93</x:v>
      </x:c>
      <x:c r="AO760" s="37" t="n">
        <x:f>ROUND(MAX(0,MIN(100,(X760*0.35)+(W760/45*100*0.20)+((5-O760)/4*100*0.15)+((5-P760)/4*100*0.10)+((6-Y760)/5*100*0.10)+((100-Z760)*0.10))),1)</x:f>
        <x:v>56.1</x:v>
      </x:c>
      <x:c r="AP760" s="37" t="str">
        <x:f>IF(AO760&gt;=70,"High",IF(AO760&gt;=40,"Moderate","Low"))</x:f>
        <x:v>Moderate</x:v>
      </x:c>
      <x:c r="AQ760" s="37" t="n">
        <x:f>ROUND(MAX(0,MIN(100,(O760/4*100*0.25)+(P760/4*100*0.20)+(Q760/4*100*0.15)+(Y760/5*100*0.20)+(100-AO760)*0.20)),1)</x:f>
        <x:v>62.3</x:v>
      </x:c>
      <x:c r="AR760" s="37" t="n">
        <x:f>ROUND((AI760*0.20+AJ760*0.15+AN760*0.18+AG760*0.12+Z760*0.15+AQ760*0.20),1)</x:f>
        <x:v>89.2</x:v>
      </x:c>
      <x:c r="AS760" s="39" t="n">
        <x:f>ROUND((AC760*AF760*120)+(AH760*350)+(MAX(0,AI760-75)*220)+(MAX(0,AQ760-60)*100),0)</x:f>
        <x:v>91864</x:v>
      </x:c>
    </x:row>
    <x:row r="761">
      <x:c r="A761" s="35" t="n">
        <x:v>760</x:v>
      </x:c>
      <x:c r="B761" s="35" t="n">
        <x:v>33</x:v>
      </x:c>
      <x:c r="C761" s="35" t="str">
        <x:v>Male</x:v>
      </x:c>
      <x:c r="D761" s="35" t="str">
        <x:v>Information Technology</x:v>
      </x:c>
      <x:c r="E761" s="35" t="str">
        <x:v>Systems Analyst</x:v>
      </x:c>
      <x:c r="F761" s="35" t="str">
        <x:v>Business</x:v>
      </x:c>
      <x:c r="G761" s="35" t="str">
        <x:v>Married</x:v>
      </x:c>
      <x:c r="H761" s="35" t="n">
        <x:v>2</x:v>
      </x:c>
      <x:c r="I761" s="36" t="n">
        <x:v>7760</x:v>
      </x:c>
      <x:c r="J761" s="35" t="n">
        <x:v>9</x:v>
      </x:c>
      <x:c r="K761" s="35" t="n">
        <x:v>3</x:v>
      </x:c>
      <x:c r="L761" s="35" t="n">
        <x:v>2</x:v>
      </x:c>
      <x:c r="M761" s="35" t="n">
        <x:v>10</x:v>
      </x:c>
      <x:c r="N761" s="35" t="str">
        <x:v>No</x:v>
      </x:c>
      <x:c r="O761" s="35" t="n">
        <x:v>2</x:v>
      </x:c>
      <x:c r="P761" s="35" t="n">
        <x:v>4</x:v>
      </x:c>
      <x:c r="Q761" s="35" t="n">
        <x:v>2</x:v>
      </x:c>
      <x:c r="R761" s="35" t="n">
        <x:v>3</x:v>
      </x:c>
      <x:c r="S761" s="35" t="n">
        <x:v>3</x:v>
      </x:c>
      <x:c r="T761" s="35" t="n">
        <x:v>2</x:v>
      </x:c>
      <x:c r="U761" s="35" t="n">
        <x:v>0</x:v>
      </x:c>
      <x:c r="V761" s="35" t="n">
        <x:v>5</x:v>
      </x:c>
      <x:c r="W761" s="35" t="n">
        <x:v>9</x:v>
      </x:c>
      <x:c r="X761" s="35" t="n">
        <x:v>64</x:v>
      </x:c>
      <x:c r="Y761" s="35" t="n">
        <x:v>4</x:v>
      </x:c>
      <x:c r="Z761" s="35" t="n">
        <x:v>100</x:v>
      </x:c>
      <x:c r="AA761" s="35" t="n">
        <x:v>2</x:v>
      </x:c>
      <x:c r="AB761" s="35" t="n">
        <x:v>1</x:v>
      </x:c>
      <x:c r="AC761" s="35" t="n">
        <x:v>0</x:v>
      </x:c>
      <x:c r="AD761" s="35" t="n">
        <x:v>71</x:v>
      </x:c>
      <x:c r="AE761" s="35" t="n">
        <x:v>73</x:v>
      </x:c>
      <x:c r="AF761" s="35" t="n">
        <x:v>80</x:v>
      </x:c>
      <x:c r="AG761" s="35" t="n">
        <x:v>92</x:v>
      </x:c>
      <x:c r="AH761" s="35" t="n">
        <x:v>4</x:v>
      </x:c>
      <x:c r="AI761" s="37" t="n">
        <x:v>100</x:v>
      </x:c>
      <x:c r="AJ761" s="37" t="n">
        <x:v>94.2</x:v>
      </x:c>
      <x:c r="AK761" s="35" t="str">
        <x:v>Yes</x:v>
      </x:c>
      <x:c r="AL761" s="38" t="n">
        <x:f>IF(AA761=0,0,AB761/AA761)</x:f>
        <x:v>0.5</x:v>
      </x:c>
      <x:c r="AM761" s="38" t="n">
        <x:f>IF(AB761=0,0,AC761/AB761)</x:f>
        <x:v>0</x:v>
      </x:c>
      <x:c r="AN761" s="37" t="n">
        <x:f>ROUND((AD761*0.20+AE761*0.20+AF761*0.25+AG761*0.15+MIN(100,AC761*12)*0.20),1)</x:f>
        <x:v>62.6</x:v>
      </x:c>
      <x:c r="AO761" s="37" t="n">
        <x:f>ROUND(MAX(0,MIN(100,(X761*0.35)+(W761/45*100*0.20)+((5-O761)/4*100*0.15)+((5-P761)/4*100*0.10)+((6-Y761)/5*100*0.10)+((100-Z761)*0.10))),1)</x:f>
        <x:v>44.2</x:v>
      </x:c>
      <x:c r="AP761" s="37" t="str">
        <x:f>IF(AO761&gt;=70,"High",IF(AO761&gt;=40,"Moderate","Low"))</x:f>
        <x:v>Moderate</x:v>
      </x:c>
      <x:c r="AQ761" s="37" t="n">
        <x:f>ROUND(MAX(0,MIN(100,(O761/4*100*0.25)+(P761/4*100*0.20)+(Q761/4*100*0.15)+(Y761/5*100*0.20)+(100-AO761)*0.20)),1)</x:f>
        <x:v>67.2</x:v>
      </x:c>
      <x:c r="AR761" s="37" t="n">
        <x:f>ROUND((AI761*0.20+AJ761*0.15+AN761*0.18+AG761*0.12+Z761*0.15+AQ761*0.20),1)</x:f>
        <x:v>84.9</x:v>
      </x:c>
      <x:c r="AS761" s="39" t="n">
        <x:f>ROUND((AC761*AF761*120)+(AH761*350)+(MAX(0,AI761-75)*220)+(MAX(0,AQ761-60)*100),0)</x:f>
        <x:v>7620</x:v>
      </x:c>
    </x:row>
    <x:row r="762">
      <x:c r="A762" s="35" t="n">
        <x:v>761</x:v>
      </x:c>
      <x:c r="B762" s="35" t="n">
        <x:v>28</x:v>
      </x:c>
      <x:c r="C762" s="35" t="str">
        <x:v>Male</x:v>
      </x:c>
      <x:c r="D762" s="35" t="str">
        <x:v>Research &amp; Development</x:v>
      </x:c>
      <x:c r="E762" s="35" t="str">
        <x:v>Research Scientist</x:v>
      </x:c>
      <x:c r="F762" s="35" t="str">
        <x:v>Business</x:v>
      </x:c>
      <x:c r="G762" s="35" t="str">
        <x:v>Married</x:v>
      </x:c>
      <x:c r="H762" s="35" t="n">
        <x:v>1</x:v>
      </x:c>
      <x:c r="I762" s="36" t="n">
        <x:v>5130</x:v>
      </x:c>
      <x:c r="J762" s="35" t="n">
        <x:v>4</x:v>
      </x:c>
      <x:c r="K762" s="35" t="n">
        <x:v>3</x:v>
      </x:c>
      <x:c r="L762" s="35" t="n">
        <x:v>2</x:v>
      </x:c>
      <x:c r="M762" s="35" t="n">
        <x:v>11</x:v>
      </x:c>
      <x:c r="N762" s="35" t="str">
        <x:v>No</x:v>
      </x:c>
      <x:c r="O762" s="35" t="n">
        <x:v>3</x:v>
      </x:c>
      <x:c r="P762" s="35" t="n">
        <x:v>2</x:v>
      </x:c>
      <x:c r="Q762" s="35" t="n">
        <x:v>3</x:v>
      </x:c>
      <x:c r="R762" s="35" t="n">
        <x:v>2</x:v>
      </x:c>
      <x:c r="S762" s="35" t="n">
        <x:v>3</x:v>
      </x:c>
      <x:c r="T762" s="35" t="n">
        <x:v>4</x:v>
      </x:c>
      <x:c r="U762" s="35" t="n">
        <x:v>0</x:v>
      </x:c>
      <x:c r="V762" s="35" t="n">
        <x:v>6</x:v>
      </x:c>
      <x:c r="W762" s="35" t="n">
        <x:v>0</x:v>
      </x:c>
      <x:c r="X762" s="35" t="n">
        <x:v>49</x:v>
      </x:c>
      <x:c r="Y762" s="35" t="n">
        <x:v>4</x:v>
      </x:c>
      <x:c r="Z762" s="35" t="n">
        <x:v>80</x:v>
      </x:c>
      <x:c r="AA762" s="35" t="n">
        <x:v>5</x:v>
      </x:c>
      <x:c r="AB762" s="35" t="n">
        <x:v>5</x:v>
      </x:c>
      <x:c r="AC762" s="35" t="n">
        <x:v>4</x:v>
      </x:c>
      <x:c r="AD762" s="35" t="n">
        <x:v>54</x:v>
      </x:c>
      <x:c r="AE762" s="35" t="n">
        <x:v>80</x:v>
      </x:c>
      <x:c r="AF762" s="35" t="n">
        <x:v>90</x:v>
      </x:c>
      <x:c r="AG762" s="35" t="n">
        <x:v>100</x:v>
      </x:c>
      <x:c r="AH762" s="35" t="n">
        <x:v>6</x:v>
      </x:c>
      <x:c r="AI762" s="37" t="n">
        <x:v>100</x:v>
      </x:c>
      <x:c r="AJ762" s="37" t="n">
        <x:v>100</x:v>
      </x:c>
      <x:c r="AK762" s="35" t="str">
        <x:v>No</x:v>
      </x:c>
      <x:c r="AL762" s="38" t="n">
        <x:f>IF(AA762=0,0,AB762/AA762)</x:f>
        <x:v>1</x:v>
      </x:c>
      <x:c r="AM762" s="38" t="n">
        <x:f>IF(AB762=0,0,AC762/AB762)</x:f>
        <x:v>0.8</x:v>
      </x:c>
      <x:c r="AN762" s="37" t="n">
        <x:f>ROUND((AD762*0.20+AE762*0.20+AF762*0.25+AG762*0.15+MIN(100,AC762*12)*0.20),1)</x:f>
        <x:v>73.9</x:v>
      </x:c>
      <x:c r="AO762" s="37" t="n">
        <x:f>ROUND(MAX(0,MIN(100,(X762*0.35)+(W762/45*100*0.20)+((5-O762)/4*100*0.15)+((5-P762)/4*100*0.10)+((6-Y762)/5*100*0.10)+((100-Z762)*0.10))),1)</x:f>
        <x:v>38.2</x:v>
      </x:c>
      <x:c r="AP762" s="37" t="str">
        <x:f>IF(AO762&gt;=70,"High",IF(AO762&gt;=40,"Moderate","Low"))</x:f>
        <x:v>Low</x:v>
      </x:c>
      <x:c r="AQ762" s="37" t="n">
        <x:f>ROUND(MAX(0,MIN(100,(O762/4*100*0.25)+(P762/4*100*0.20)+(Q762/4*100*0.15)+(Y762/5*100*0.20)+(100-AO762)*0.20)),1)</x:f>
        <x:v>68.4</x:v>
      </x:c>
      <x:c r="AR762" s="37" t="n">
        <x:f>ROUND((AI762*0.20+AJ762*0.15+AN762*0.18+AG762*0.12+Z762*0.15+AQ762*0.20),1)</x:f>
        <x:v>86</x:v>
      </x:c>
      <x:c r="AS762" s="39" t="n">
        <x:f>ROUND((AC762*AF762*120)+(AH762*350)+(MAX(0,AI762-75)*220)+(MAX(0,AQ762-60)*100),0)</x:f>
        <x:v>51640</x:v>
      </x:c>
    </x:row>
    <x:row r="763">
      <x:c r="A763" s="35" t="n">
        <x:v>762</x:v>
      </x:c>
      <x:c r="B763" s="35" t="n">
        <x:v>35</x:v>
      </x:c>
      <x:c r="C763" s="35" t="str">
        <x:v>Female</x:v>
      </x:c>
      <x:c r="D763" s="35" t="str">
        <x:v>Sales</x:v>
      </x:c>
      <x:c r="E763" s="35" t="str">
        <x:v>Account Manager</x:v>
      </x:c>
      <x:c r="F763" s="35" t="str">
        <x:v>Medical</x:v>
      </x:c>
      <x:c r="G763" s="35" t="str">
        <x:v>Married</x:v>
      </x:c>
      <x:c r="H763" s="35" t="n">
        <x:v>2</x:v>
      </x:c>
      <x:c r="I763" s="36" t="n">
        <x:v>10610</x:v>
      </x:c>
      <x:c r="J763" s="35" t="n">
        <x:v>7</x:v>
      </x:c>
      <x:c r="K763" s="35" t="n">
        <x:v>4</x:v>
      </x:c>
      <x:c r="L763" s="35" t="n">
        <x:v>2</x:v>
      </x:c>
      <x:c r="M763" s="35" t="n">
        <x:v>6</x:v>
      </x:c>
      <x:c r="N763" s="35" t="str">
        <x:v>No</x:v>
      </x:c>
      <x:c r="O763" s="35" t="n">
        <x:v>3</x:v>
      </x:c>
      <x:c r="P763" s="35" t="n">
        <x:v>4</x:v>
      </x:c>
      <x:c r="Q763" s="35" t="n">
        <x:v>3</x:v>
      </x:c>
      <x:c r="R763" s="35" t="n">
        <x:v>2</x:v>
      </x:c>
      <x:c r="S763" s="35" t="n">
        <x:v>3</x:v>
      </x:c>
      <x:c r="T763" s="35" t="n">
        <x:v>4</x:v>
      </x:c>
      <x:c r="U763" s="35" t="n">
        <x:v>0</x:v>
      </x:c>
      <x:c r="V763" s="35" t="n">
        <x:v>2</x:v>
      </x:c>
      <x:c r="W763" s="35" t="n">
        <x:v>11</x:v>
      </x:c>
      <x:c r="X763" s="35" t="n">
        <x:v>55</x:v>
      </x:c>
      <x:c r="Y763" s="35" t="n">
        <x:v>5</x:v>
      </x:c>
      <x:c r="Z763" s="35" t="n">
        <x:v>100</x:v>
      </x:c>
      <x:c r="AA763" s="35" t="n">
        <x:v>4</x:v>
      </x:c>
      <x:c r="AB763" s="35" t="n">
        <x:v>2</x:v>
      </x:c>
      <x:c r="AC763" s="35" t="n">
        <x:v>1</x:v>
      </x:c>
      <x:c r="AD763" s="35" t="n">
        <x:v>71</x:v>
      </x:c>
      <x:c r="AE763" s="35" t="n">
        <x:v>96</x:v>
      </x:c>
      <x:c r="AF763" s="35" t="n">
        <x:v>57</x:v>
      </x:c>
      <x:c r="AG763" s="35" t="n">
        <x:v>70</x:v>
      </x:c>
      <x:c r="AH763" s="35" t="n">
        <x:v>4</x:v>
      </x:c>
      <x:c r="AI763" s="37" t="n">
        <x:v>81.7</x:v>
      </x:c>
      <x:c r="AJ763" s="37" t="n">
        <x:v>85.9</x:v>
      </x:c>
      <x:c r="AK763" s="35" t="str">
        <x:v>No</x:v>
      </x:c>
      <x:c r="AL763" s="38" t="n">
        <x:f>IF(AA763=0,0,AB763/AA763)</x:f>
        <x:v>0.5</x:v>
      </x:c>
      <x:c r="AM763" s="38" t="n">
        <x:f>IF(AB763=0,0,AC763/AB763)</x:f>
        <x:v>0.5</x:v>
      </x:c>
      <x:c r="AN763" s="37" t="n">
        <x:f>ROUND((AD763*0.20+AE763*0.20+AF763*0.25+AG763*0.15+MIN(100,AC763*12)*0.20),1)</x:f>
        <x:v>60.6</x:v>
      </x:c>
      <x:c r="AO763" s="37" t="n">
        <x:f>ROUND(MAX(0,MIN(100,(X763*0.35)+(W763/45*100*0.20)+((5-O763)/4*100*0.15)+((5-P763)/4*100*0.10)+((6-Y763)/5*100*0.10)+((100-Z763)*0.10))),1)</x:f>
        <x:v>36.1</x:v>
      </x:c>
      <x:c r="AP763" s="37" t="str">
        <x:f>IF(AO763&gt;=70,"High",IF(AO763&gt;=40,"Moderate","Low"))</x:f>
        <x:v>Low</x:v>
      </x:c>
      <x:c r="AQ763" s="37" t="n">
        <x:f>ROUND(MAX(0,MIN(100,(O763/4*100*0.25)+(P763/4*100*0.20)+(Q763/4*100*0.15)+(Y763/5*100*0.20)+(100-AO763)*0.20)),1)</x:f>
        <x:v>82.8</x:v>
      </x:c>
      <x:c r="AR763" s="37" t="n">
        <x:f>ROUND((AI763*0.20+AJ763*0.15+AN763*0.18+AG763*0.12+Z763*0.15+AQ763*0.20),1)</x:f>
        <x:v>80.1</x:v>
      </x:c>
      <x:c r="AS763" s="39" t="n">
        <x:f>ROUND((AC763*AF763*120)+(AH763*350)+(MAX(0,AI763-75)*220)+(MAX(0,AQ763-60)*100),0)</x:f>
        <x:v>11994</x:v>
      </x:c>
    </x:row>
    <x:row r="764">
      <x:c r="A764" s="35" t="n">
        <x:v>763</x:v>
      </x:c>
      <x:c r="B764" s="35" t="n">
        <x:v>31</x:v>
      </x:c>
      <x:c r="C764" s="35" t="str">
        <x:v>Female</x:v>
      </x:c>
      <x:c r="D764" s="35" t="str">
        <x:v>Sales</x:v>
      </x:c>
      <x:c r="E764" s="35" t="str">
        <x:v>Sales Representative</x:v>
      </x:c>
      <x:c r="F764" s="35" t="str">
        <x:v>Life Sciences</x:v>
      </x:c>
      <x:c r="G764" s="35" t="str">
        <x:v>Divorced</x:v>
      </x:c>
      <x:c r="H764" s="35" t="n">
        <x:v>1</x:v>
      </x:c>
      <x:c r="I764" s="36" t="n">
        <x:v>6600</x:v>
      </x:c>
      <x:c r="J764" s="35" t="n">
        <x:v>5</x:v>
      </x:c>
      <x:c r="K764" s="35" t="n">
        <x:v>3</x:v>
      </x:c>
      <x:c r="L764" s="35" t="n">
        <x:v>2</x:v>
      </x:c>
      <x:c r="M764" s="35" t="n">
        <x:v>9</x:v>
      </x:c>
      <x:c r="N764" s="35" t="str">
        <x:v>No</x:v>
      </x:c>
      <x:c r="O764" s="35" t="n">
        <x:v>4</x:v>
      </x:c>
      <x:c r="P764" s="35" t="n">
        <x:v>3</x:v>
      </x:c>
      <x:c r="Q764" s="35" t="n">
        <x:v>3</x:v>
      </x:c>
      <x:c r="R764" s="35" t="n">
        <x:v>2</x:v>
      </x:c>
      <x:c r="S764" s="35" t="n">
        <x:v>3</x:v>
      </x:c>
      <x:c r="T764" s="35" t="n">
        <x:v>1</x:v>
      </x:c>
      <x:c r="U764" s="35" t="n">
        <x:v>1</x:v>
      </x:c>
      <x:c r="V764" s="35" t="n">
        <x:v>4</x:v>
      </x:c>
      <x:c r="W764" s="35" t="n">
        <x:v>6</x:v>
      </x:c>
      <x:c r="X764" s="35" t="n">
        <x:v>34</x:v>
      </x:c>
      <x:c r="Y764" s="35" t="n">
        <x:v>5</x:v>
      </x:c>
      <x:c r="Z764" s="35" t="n">
        <x:v>99</x:v>
      </x:c>
      <x:c r="AA764" s="35" t="n">
        <x:v>14</x:v>
      </x:c>
      <x:c r="AB764" s="35" t="n">
        <x:v>11</x:v>
      </x:c>
      <x:c r="AC764" s="35" t="n">
        <x:v>9</x:v>
      </x:c>
      <x:c r="AD764" s="35" t="n">
        <x:v>93</x:v>
      </x:c>
      <x:c r="AE764" s="35" t="n">
        <x:v>88</x:v>
      </x:c>
      <x:c r="AF764" s="35" t="n">
        <x:v>94</x:v>
      </x:c>
      <x:c r="AG764" s="35" t="n">
        <x:v>83</x:v>
      </x:c>
      <x:c r="AH764" s="35" t="n">
        <x:v>11</x:v>
      </x:c>
      <x:c r="AI764" s="37" t="n">
        <x:v>92.5</x:v>
      </x:c>
      <x:c r="AJ764" s="37" t="n">
        <x:v>94.4</x:v>
      </x:c>
      <x:c r="AK764" s="35" t="str">
        <x:v>No</x:v>
      </x:c>
      <x:c r="AL764" s="38" t="n">
        <x:f>IF(AA764=0,0,AB764/AA764)</x:f>
        <x:v>0.7857142857142857</x:v>
      </x:c>
      <x:c r="AM764" s="38" t="n">
        <x:f>IF(AB764=0,0,AC764/AB764)</x:f>
        <x:v>0.8181818181818182</x:v>
      </x:c>
      <x:c r="AN764" s="37" t="n">
        <x:f>ROUND((AD764*0.20+AE764*0.20+AF764*0.25+AG764*0.15+MIN(100,AC764*12)*0.20),1)</x:f>
        <x:v>92.2</x:v>
      </x:c>
      <x:c r="AO764" s="37" t="n">
        <x:f>ROUND(MAX(0,MIN(100,(X764*0.35)+(W764/45*100*0.20)+((5-O764)/4*100*0.15)+((5-P764)/4*100*0.10)+((6-Y764)/5*100*0.10)+((100-Z764)*0.10))),1)</x:f>
        <x:v>25.4</x:v>
      </x:c>
      <x:c r="AP764" s="37" t="str">
        <x:f>IF(AO764&gt;=70,"High",IF(AO764&gt;=40,"Moderate","Low"))</x:f>
        <x:v>Low</x:v>
      </x:c>
      <x:c r="AQ764" s="37" t="n">
        <x:f>ROUND(MAX(0,MIN(100,(O764/4*100*0.25)+(P764/4*100*0.20)+(Q764/4*100*0.15)+(Y764/5*100*0.20)+(100-AO764)*0.20)),1)</x:f>
        <x:v>86.2</x:v>
      </x:c>
      <x:c r="AR764" s="37" t="n">
        <x:f>ROUND((AI764*0.20+AJ764*0.15+AN764*0.18+AG764*0.12+Z764*0.15+AQ764*0.20),1)</x:f>
        <x:v>91.3</x:v>
      </x:c>
      <x:c r="AS764" s="39" t="n">
        <x:f>ROUND((AC764*AF764*120)+(AH764*350)+(MAX(0,AI764-75)*220)+(MAX(0,AQ764-60)*100),0)</x:f>
        <x:v>111840</x:v>
      </x:c>
    </x:row>
    <x:row r="765">
      <x:c r="A765" s="35" t="n">
        <x:v>764</x:v>
      </x:c>
      <x:c r="B765" s="35" t="n">
        <x:v>39</x:v>
      </x:c>
      <x:c r="C765" s="35" t="str">
        <x:v>Male</x:v>
      </x:c>
      <x:c r="D765" s="35" t="str">
        <x:v>Research &amp; Development</x:v>
      </x:c>
      <x:c r="E765" s="35" t="str">
        <x:v>Research Scientist</x:v>
      </x:c>
      <x:c r="F765" s="35" t="str">
        <x:v>Human Resources</x:v>
      </x:c>
      <x:c r="G765" s="35" t="str">
        <x:v>Single</x:v>
      </x:c>
      <x:c r="H765" s="35" t="n">
        <x:v>1</x:v>
      </x:c>
      <x:c r="I765" s="36" t="n">
        <x:v>4740</x:v>
      </x:c>
      <x:c r="J765" s="35" t="n">
        <x:v>11</x:v>
      </x:c>
      <x:c r="K765" s="35" t="n">
        <x:v>6</x:v>
      </x:c>
      <x:c r="L765" s="35" t="n">
        <x:v>2</x:v>
      </x:c>
      <x:c r="M765" s="35" t="n">
        <x:v>12</x:v>
      </x:c>
      <x:c r="N765" s="35" t="str">
        <x:v>No</x:v>
      </x:c>
      <x:c r="O765" s="35" t="n">
        <x:v>1</x:v>
      </x:c>
      <x:c r="P765" s="35" t="n">
        <x:v>4</x:v>
      </x:c>
      <x:c r="Q765" s="35" t="n">
        <x:v>4</x:v>
      </x:c>
      <x:c r="R765" s="35" t="n">
        <x:v>3</x:v>
      </x:c>
      <x:c r="S765" s="35" t="n">
        <x:v>3</x:v>
      </x:c>
      <x:c r="T765" s="35" t="n">
        <x:v>6</x:v>
      </x:c>
      <x:c r="U765" s="35" t="n">
        <x:v>0</x:v>
      </x:c>
      <x:c r="V765" s="35" t="n">
        <x:v>9</x:v>
      </x:c>
      <x:c r="W765" s="35" t="n">
        <x:v>6</x:v>
      </x:c>
      <x:c r="X765" s="35" t="n">
        <x:v>52</x:v>
      </x:c>
      <x:c r="Y765" s="35" t="n">
        <x:v>5</x:v>
      </x:c>
      <x:c r="Z765" s="35" t="n">
        <x:v>100</x:v>
      </x:c>
      <x:c r="AA765" s="35" t="n">
        <x:v>7</x:v>
      </x:c>
      <x:c r="AB765" s="35" t="n">
        <x:v>5</x:v>
      </x:c>
      <x:c r="AC765" s="35" t="n">
        <x:v>4</x:v>
      </x:c>
      <x:c r="AD765" s="35" t="n">
        <x:v>77</x:v>
      </x:c>
      <x:c r="AE765" s="35" t="n">
        <x:v>79</x:v>
      </x:c>
      <x:c r="AF765" s="35" t="n">
        <x:v>72</x:v>
      </x:c>
      <x:c r="AG765" s="35" t="n">
        <x:v>93</x:v>
      </x:c>
      <x:c r="AH765" s="35" t="n">
        <x:v>10</x:v>
      </x:c>
      <x:c r="AI765" s="37" t="n">
        <x:v>92.6</x:v>
      </x:c>
      <x:c r="AJ765" s="37" t="n">
        <x:v>95.1</x:v>
      </x:c>
      <x:c r="AK765" s="35" t="str">
        <x:v>No</x:v>
      </x:c>
      <x:c r="AL765" s="38" t="n">
        <x:f>IF(AA765=0,0,AB765/AA765)</x:f>
        <x:v>0.7142857142857143</x:v>
      </x:c>
      <x:c r="AM765" s="38" t="n">
        <x:f>IF(AB765=0,0,AC765/AB765)</x:f>
        <x:v>0.8</x:v>
      </x:c>
      <x:c r="AN765" s="37" t="n">
        <x:f>ROUND((AD765*0.20+AE765*0.20+AF765*0.25+AG765*0.15+MIN(100,AC765*12)*0.20),1)</x:f>
        <x:v>72.8</x:v>
      </x:c>
      <x:c r="AO765" s="37" t="n">
        <x:f>ROUND(MAX(0,MIN(100,(X765*0.35)+(W765/45*100*0.20)+((5-O765)/4*100*0.15)+((5-P765)/4*100*0.10)+((6-Y765)/5*100*0.10)+((100-Z765)*0.10))),1)</x:f>
        <x:v>40.4</x:v>
      </x:c>
      <x:c r="AP765" s="37" t="str">
        <x:f>IF(AO765&gt;=70,"High",IF(AO765&gt;=40,"Moderate","Low"))</x:f>
        <x:v>Moderate</x:v>
      </x:c>
      <x:c r="AQ765" s="37" t="n">
        <x:f>ROUND(MAX(0,MIN(100,(O765/4*100*0.25)+(P765/4*100*0.20)+(Q765/4*100*0.15)+(Y765/5*100*0.20)+(100-AO765)*0.20)),1)</x:f>
        <x:v>73.2</x:v>
      </x:c>
      <x:c r="AR765" s="37" t="n">
        <x:f>ROUND((AI765*0.20+AJ765*0.15+AN765*0.18+AG765*0.12+Z765*0.15+AQ765*0.20),1)</x:f>
        <x:v>86.7</x:v>
      </x:c>
      <x:c r="AS765" s="39" t="n">
        <x:f>ROUND((AC765*AF765*120)+(AH765*350)+(MAX(0,AI765-75)*220)+(MAX(0,AQ765-60)*100),0)</x:f>
        <x:v>43252</x:v>
      </x:c>
    </x:row>
    <x:row r="766">
      <x:c r="A766" s="35" t="n">
        <x:v>765</x:v>
      </x:c>
      <x:c r="B766" s="35" t="n">
        <x:v>42</x:v>
      </x:c>
      <x:c r="C766" s="35" t="str">
        <x:v>Male</x:v>
      </x:c>
      <x:c r="D766" s="35" t="str">
        <x:v>Information Technology</x:v>
      </x:c>
      <x:c r="E766" s="35" t="str">
        <x:v>IT Support</x:v>
      </x:c>
      <x:c r="F766" s="35" t="str">
        <x:v>Life Sciences</x:v>
      </x:c>
      <x:c r="G766" s="35" t="str">
        <x:v>Married</x:v>
      </x:c>
      <x:c r="H766" s="35" t="n">
        <x:v>2</x:v>
      </x:c>
      <x:c r="I766" s="36" t="n">
        <x:v>9460</x:v>
      </x:c>
      <x:c r="J766" s="35" t="n">
        <x:v>15</x:v>
      </x:c>
      <x:c r="K766" s="35" t="n">
        <x:v>5</x:v>
      </x:c>
      <x:c r="L766" s="35" t="n">
        <x:v>3</x:v>
      </x:c>
      <x:c r="M766" s="35" t="n">
        <x:v>36</x:v>
      </x:c>
      <x:c r="N766" s="35" t="str">
        <x:v>Yes</x:v>
      </x:c>
      <x:c r="O766" s="35" t="n">
        <x:v>1</x:v>
      </x:c>
      <x:c r="P766" s="35" t="n">
        <x:v>3</x:v>
      </x:c>
      <x:c r="Q766" s="35" t="n">
        <x:v>3</x:v>
      </x:c>
      <x:c r="R766" s="35" t="n">
        <x:v>3</x:v>
      </x:c>
      <x:c r="S766" s="35" t="n">
        <x:v>3</x:v>
      </x:c>
      <x:c r="T766" s="35" t="n">
        <x:v>4</x:v>
      </x:c>
      <x:c r="U766" s="35" t="n">
        <x:v>1</x:v>
      </x:c>
      <x:c r="V766" s="35" t="n">
        <x:v>12</x:v>
      </x:c>
      <x:c r="W766" s="35" t="n">
        <x:v>12</x:v>
      </x:c>
      <x:c r="X766" s="35" t="n">
        <x:v>100</x:v>
      </x:c>
      <x:c r="Y766" s="35" t="n">
        <x:v>2</x:v>
      </x:c>
      <x:c r="Z766" s="35" t="n">
        <x:v>85</x:v>
      </x:c>
      <x:c r="AA766" s="35" t="n">
        <x:v>6</x:v>
      </x:c>
      <x:c r="AB766" s="35" t="n">
        <x:v>5</x:v>
      </x:c>
      <x:c r="AC766" s="35" t="n">
        <x:v>4</x:v>
      </x:c>
      <x:c r="AD766" s="35" t="n">
        <x:v>80</x:v>
      </x:c>
      <x:c r="AE766" s="35" t="n">
        <x:v>77</x:v>
      </x:c>
      <x:c r="AF766" s="35" t="n">
        <x:v>80</x:v>
      </x:c>
      <x:c r="AG766" s="35" t="n">
        <x:v>89</x:v>
      </x:c>
      <x:c r="AH766" s="35" t="n">
        <x:v>4</x:v>
      </x:c>
      <x:c r="AI766" s="37" t="n">
        <x:v>90.8</x:v>
      </x:c>
      <x:c r="AJ766" s="37" t="n">
        <x:v>89.8</x:v>
      </x:c>
      <x:c r="AK766" s="35" t="str">
        <x:v>Yes</x:v>
      </x:c>
      <x:c r="AL766" s="38" t="n">
        <x:f>IF(AA766=0,0,AB766/AA766)</x:f>
        <x:v>0.8333333333333334</x:v>
      </x:c>
      <x:c r="AM766" s="38" t="n">
        <x:f>IF(AB766=0,0,AC766/AB766)</x:f>
        <x:v>0.8</x:v>
      </x:c>
      <x:c r="AN766" s="37" t="n">
        <x:f>ROUND((AD766*0.20+AE766*0.20+AF766*0.25+AG766*0.15+MIN(100,AC766*12)*0.20),1)</x:f>
        <x:v>74.4</x:v>
      </x:c>
      <x:c r="AO766" s="37" t="n">
        <x:f>ROUND(MAX(0,MIN(100,(X766*0.35)+(W766/45*100*0.20)+((5-O766)/4*100*0.15)+((5-P766)/4*100*0.10)+((6-Y766)/5*100*0.10)+((100-Z766)*0.10))),1)</x:f>
        <x:v>69.8</x:v>
      </x:c>
      <x:c r="AP766" s="37" t="str">
        <x:f>IF(AO766&gt;=70,"High",IF(AO766&gt;=40,"Moderate","Low"))</x:f>
        <x:v>Moderate</x:v>
      </x:c>
      <x:c r="AQ766" s="37" t="n">
        <x:f>ROUND(MAX(0,MIN(100,(O766/4*100*0.25)+(P766/4*100*0.20)+(Q766/4*100*0.15)+(Y766/5*100*0.20)+(100-AO766)*0.20)),1)</x:f>
        <x:v>46.5</x:v>
      </x:c>
      <x:c r="AR766" s="37" t="n">
        <x:f>ROUND((AI766*0.20+AJ766*0.15+AN766*0.18+AG766*0.12+Z766*0.15+AQ766*0.20),1)</x:f>
        <x:v>77.8</x:v>
      </x:c>
      <x:c r="AS766" s="39" t="n">
        <x:f>ROUND((AC766*AF766*120)+(AH766*350)+(MAX(0,AI766-75)*220)+(MAX(0,AQ766-60)*100),0)</x:f>
        <x:v>43276</x:v>
      </x:c>
    </x:row>
    <x:row r="767">
      <x:c r="A767" s="35" t="n">
        <x:v>766</x:v>
      </x:c>
      <x:c r="B767" s="35" t="n">
        <x:v>30</x:v>
      </x:c>
      <x:c r="C767" s="35" t="str">
        <x:v>Male</x:v>
      </x:c>
      <x:c r="D767" s="35" t="str">
        <x:v>Operations</x:v>
      </x:c>
      <x:c r="E767" s="35" t="str">
        <x:v>Operations Manager</x:v>
      </x:c>
      <x:c r="F767" s="35" t="str">
        <x:v>Business</x:v>
      </x:c>
      <x:c r="G767" s="35" t="str">
        <x:v>Married</x:v>
      </x:c>
      <x:c r="H767" s="35" t="n">
        <x:v>1</x:v>
      </x:c>
      <x:c r="I767" s="36" t="n">
        <x:v>5730</x:v>
      </x:c>
      <x:c r="J767" s="35" t="n">
        <x:v>5</x:v>
      </x:c>
      <x:c r="K767" s="35" t="n">
        <x:v>2</x:v>
      </x:c>
      <x:c r="L767" s="35" t="n">
        <x:v>1</x:v>
      </x:c>
      <x:c r="M767" s="35" t="n">
        <x:v>4</x:v>
      </x:c>
      <x:c r="N767" s="35" t="str">
        <x:v>No</x:v>
      </x:c>
      <x:c r="O767" s="35" t="n">
        <x:v>3</x:v>
      </x:c>
      <x:c r="P767" s="35" t="n">
        <x:v>3</x:v>
      </x:c>
      <x:c r="Q767" s="35" t="n">
        <x:v>4</x:v>
      </x:c>
      <x:c r="R767" s="35" t="n">
        <x:v>4</x:v>
      </x:c>
      <x:c r="S767" s="35" t="n">
        <x:v>4</x:v>
      </x:c>
      <x:c r="T767" s="35" t="n">
        <x:v>2</x:v>
      </x:c>
      <x:c r="U767" s="35" t="n">
        <x:v>0</x:v>
      </x:c>
      <x:c r="V767" s="35" t="n">
        <x:v>0</x:v>
      </x:c>
      <x:c r="W767" s="35" t="n">
        <x:v>11</x:v>
      </x:c>
      <x:c r="X767" s="35" t="n">
        <x:v>61</x:v>
      </x:c>
      <x:c r="Y767" s="35" t="n">
        <x:v>4</x:v>
      </x:c>
      <x:c r="Z767" s="35" t="n">
        <x:v>100</x:v>
      </x:c>
      <x:c r="AA767" s="35" t="n">
        <x:v>7</x:v>
      </x:c>
      <x:c r="AB767" s="35" t="n">
        <x:v>5</x:v>
      </x:c>
      <x:c r="AC767" s="35" t="n">
        <x:v>4</x:v>
      </x:c>
      <x:c r="AD767" s="35" t="n">
        <x:v>59</x:v>
      </x:c>
      <x:c r="AE767" s="35" t="n">
        <x:v>86</x:v>
      </x:c>
      <x:c r="AF767" s="35" t="n">
        <x:v>95</x:v>
      </x:c>
      <x:c r="AG767" s="35" t="n">
        <x:v>100</x:v>
      </x:c>
      <x:c r="AH767" s="35" t="n">
        <x:v>9</x:v>
      </x:c>
      <x:c r="AI767" s="37" t="n">
        <x:v>92.2</x:v>
      </x:c>
      <x:c r="AJ767" s="37" t="n">
        <x:v>100</x:v>
      </x:c>
      <x:c r="AK767" s="35" t="str">
        <x:v>Yes</x:v>
      </x:c>
      <x:c r="AL767" s="38" t="n">
        <x:f>IF(AA767=0,0,AB767/AA767)</x:f>
        <x:v>0.7142857142857143</x:v>
      </x:c>
      <x:c r="AM767" s="38" t="n">
        <x:f>IF(AB767=0,0,AC767/AB767)</x:f>
        <x:v>0.8</x:v>
      </x:c>
      <x:c r="AN767" s="37" t="n">
        <x:f>ROUND((AD767*0.20+AE767*0.20+AF767*0.25+AG767*0.15+MIN(100,AC767*12)*0.20),1)</x:f>
        <x:v>77.4</x:v>
      </x:c>
      <x:c r="AO767" s="37" t="n">
        <x:f>ROUND(MAX(0,MIN(100,(X767*0.35)+(W767/45*100*0.20)+((5-O767)/4*100*0.15)+((5-P767)/4*100*0.10)+((6-Y767)/5*100*0.10)+((100-Z767)*0.10))),1)</x:f>
        <x:v>42.7</x:v>
      </x:c>
      <x:c r="AP767" s="37" t="str">
        <x:f>IF(AO767&gt;=70,"High",IF(AO767&gt;=40,"Moderate","Low"))</x:f>
        <x:v>Moderate</x:v>
      </x:c>
      <x:c r="AQ767" s="37" t="n">
        <x:f>ROUND(MAX(0,MIN(100,(O767/4*100*0.25)+(P767/4*100*0.20)+(Q767/4*100*0.15)+(Y767/5*100*0.20)+(100-AO767)*0.20)),1)</x:f>
        <x:v>76.2</x:v>
      </x:c>
      <x:c r="AR767" s="37" t="n">
        <x:f>ROUND((AI767*0.20+AJ767*0.15+AN767*0.18+AG767*0.12+Z767*0.15+AQ767*0.20),1)</x:f>
        <x:v>89.6</x:v>
      </x:c>
      <x:c r="AS767" s="39" t="n">
        <x:f>ROUND((AC767*AF767*120)+(AH767*350)+(MAX(0,AI767-75)*220)+(MAX(0,AQ767-60)*100),0)</x:f>
        <x:v>54154</x:v>
      </x:c>
    </x:row>
    <x:row r="768">
      <x:c r="A768" s="35" t="n">
        <x:v>767</x:v>
      </x:c>
      <x:c r="B768" s="35" t="n">
        <x:v>30</x:v>
      </x:c>
      <x:c r="C768" s="35" t="str">
        <x:v>Female</x:v>
      </x:c>
      <x:c r="D768" s="35" t="str">
        <x:v>Human Resources</x:v>
      </x:c>
      <x:c r="E768" s="35" t="str">
        <x:v>Talent Development Specialist</x:v>
      </x:c>
      <x:c r="F768" s="35" t="str">
        <x:v>Life Sciences</x:v>
      </x:c>
      <x:c r="G768" s="35" t="str">
        <x:v>Divorced</x:v>
      </x:c>
      <x:c r="H768" s="35" t="n">
        <x:v>1</x:v>
      </x:c>
      <x:c r="I768" s="36" t="n">
        <x:v>5960</x:v>
      </x:c>
      <x:c r="J768" s="35" t="n">
        <x:v>7</x:v>
      </x:c>
      <x:c r="K768" s="35" t="n">
        <x:v>3</x:v>
      </x:c>
      <x:c r="L768" s="35" t="n">
        <x:v>2</x:v>
      </x:c>
      <x:c r="M768" s="35" t="n">
        <x:v>2</x:v>
      </x:c>
      <x:c r="N768" s="35" t="str">
        <x:v>No</x:v>
      </x:c>
      <x:c r="O768" s="35" t="n">
        <x:v>3</x:v>
      </x:c>
      <x:c r="P768" s="35" t="n">
        <x:v>2</x:v>
      </x:c>
      <x:c r="Q768" s="35" t="n">
        <x:v>3</x:v>
      </x:c>
      <x:c r="R768" s="35" t="n">
        <x:v>4</x:v>
      </x:c>
      <x:c r="S768" s="35" t="n">
        <x:v>3</x:v>
      </x:c>
      <x:c r="T768" s="35" t="n">
        <x:v>6</x:v>
      </x:c>
      <x:c r="U768" s="35" t="n">
        <x:v>3</x:v>
      </x:c>
      <x:c r="V768" s="35" t="n">
        <x:v>8</x:v>
      </x:c>
      <x:c r="W768" s="35" t="n">
        <x:v>15</x:v>
      </x:c>
      <x:c r="X768" s="35" t="n">
        <x:v>42</x:v>
      </x:c>
      <x:c r="Y768" s="35" t="n">
        <x:v>5</x:v>
      </x:c>
      <x:c r="Z768" s="35" t="n">
        <x:v>100</x:v>
      </x:c>
      <x:c r="AA768" s="35" t="n">
        <x:v>3</x:v>
      </x:c>
      <x:c r="AB768" s="35" t="n">
        <x:v>2</x:v>
      </x:c>
      <x:c r="AC768" s="35" t="n">
        <x:v>2</x:v>
      </x:c>
      <x:c r="AD768" s="35" t="n">
        <x:v>62</x:v>
      </x:c>
      <x:c r="AE768" s="35" t="n">
        <x:v>67</x:v>
      </x:c>
      <x:c r="AF768" s="35" t="n">
        <x:v>72</x:v>
      </x:c>
      <x:c r="AG768" s="35" t="n">
        <x:v>100</x:v>
      </x:c>
      <x:c r="AH768" s="35" t="n">
        <x:v>10</x:v>
      </x:c>
      <x:c r="AI768" s="37" t="n">
        <x:v>98.9</x:v>
      </x:c>
      <x:c r="AJ768" s="37" t="n">
        <x:v>98.6</x:v>
      </x:c>
      <x:c r="AK768" s="35" t="str">
        <x:v>Yes</x:v>
      </x:c>
      <x:c r="AL768" s="38" t="n">
        <x:f>IF(AA768=0,0,AB768/AA768)</x:f>
        <x:v>0.6666666666666666</x:v>
      </x:c>
      <x:c r="AM768" s="38" t="n">
        <x:f>IF(AB768=0,0,AC768/AB768)</x:f>
        <x:v>1</x:v>
      </x:c>
      <x:c r="AN768" s="37" t="n">
        <x:f>ROUND((AD768*0.20+AE768*0.20+AF768*0.25+AG768*0.15+MIN(100,AC768*12)*0.20),1)</x:f>
        <x:v>63.6</x:v>
      </x:c>
      <x:c r="AO768" s="37" t="n">
        <x:f>ROUND(MAX(0,MIN(100,(X768*0.35)+(W768/45*100*0.20)+((5-O768)/4*100*0.15)+((5-P768)/4*100*0.10)+((6-Y768)/5*100*0.10)+((100-Z768)*0.10))),1)</x:f>
        <x:v>38.4</x:v>
      </x:c>
      <x:c r="AP768" s="37" t="str">
        <x:f>IF(AO768&gt;=70,"High",IF(AO768&gt;=40,"Moderate","Low"))</x:f>
        <x:v>Low</x:v>
      </x:c>
      <x:c r="AQ768" s="37" t="n">
        <x:f>ROUND(MAX(0,MIN(100,(O768/4*100*0.25)+(P768/4*100*0.20)+(Q768/4*100*0.15)+(Y768/5*100*0.20)+(100-AO768)*0.20)),1)</x:f>
        <x:v>72.3</x:v>
      </x:c>
      <x:c r="AR768" s="37" t="n">
        <x:f>ROUND((AI768*0.20+AJ768*0.15+AN768*0.18+AG768*0.12+Z768*0.15+AQ768*0.20),1)</x:f>
        <x:v>87.5</x:v>
      </x:c>
      <x:c r="AS768" s="39" t="n">
        <x:f>ROUND((AC768*AF768*120)+(AH768*350)+(MAX(0,AI768-75)*220)+(MAX(0,AQ768-60)*100),0)</x:f>
        <x:v>27268</x:v>
      </x:c>
    </x:row>
    <x:row r="769">
      <x:c r="A769" s="35" t="n">
        <x:v>768</x:v>
      </x:c>
      <x:c r="B769" s="35" t="n">
        <x:v>34</x:v>
      </x:c>
      <x:c r="C769" s="35" t="str">
        <x:v>Male</x:v>
      </x:c>
      <x:c r="D769" s="35" t="str">
        <x:v>Finance</x:v>
      </x:c>
      <x:c r="E769" s="35" t="str">
        <x:v>Accountant</x:v>
      </x:c>
      <x:c r="F769" s="35" t="str">
        <x:v>Life Sciences</x:v>
      </x:c>
      <x:c r="G769" s="35" t="str">
        <x:v>Single</x:v>
      </x:c>
      <x:c r="H769" s="35" t="n">
        <x:v>2</x:v>
      </x:c>
      <x:c r="I769" s="36" t="n">
        <x:v>10120</x:v>
      </x:c>
      <x:c r="J769" s="35" t="n">
        <x:v>9</x:v>
      </x:c>
      <x:c r="K769" s="35" t="n">
        <x:v>3</x:v>
      </x:c>
      <x:c r="L769" s="35" t="n">
        <x:v>2</x:v>
      </x:c>
      <x:c r="M769" s="35" t="n">
        <x:v>7</x:v>
      </x:c>
      <x:c r="N769" s="35" t="str">
        <x:v>No</x:v>
      </x:c>
      <x:c r="O769" s="35" t="n">
        <x:v>2</x:v>
      </x:c>
      <x:c r="P769" s="35" t="n">
        <x:v>1</x:v>
      </x:c>
      <x:c r="Q769" s="35" t="n">
        <x:v>4</x:v>
      </x:c>
      <x:c r="R769" s="35" t="n">
        <x:v>3</x:v>
      </x:c>
      <x:c r="S769" s="35" t="n">
        <x:v>3</x:v>
      </x:c>
      <x:c r="T769" s="35" t="n">
        <x:v>3</x:v>
      </x:c>
      <x:c r="U769" s="35" t="n">
        <x:v>0</x:v>
      </x:c>
      <x:c r="V769" s="35" t="n">
        <x:v>13</x:v>
      </x:c>
      <x:c r="W769" s="35" t="n">
        <x:v>0</x:v>
      </x:c>
      <x:c r="X769" s="35" t="n">
        <x:v>54</x:v>
      </x:c>
      <x:c r="Y769" s="35" t="n">
        <x:v>5</x:v>
      </x:c>
      <x:c r="Z769" s="35" t="n">
        <x:v>94</x:v>
      </x:c>
      <x:c r="AA769" s="35" t="n">
        <x:v>3</x:v>
      </x:c>
      <x:c r="AB769" s="35" t="n">
        <x:v>2</x:v>
      </x:c>
      <x:c r="AC769" s="35" t="n">
        <x:v>2</x:v>
      </x:c>
      <x:c r="AD769" s="35" t="n">
        <x:v>68</x:v>
      </x:c>
      <x:c r="AE769" s="35" t="n">
        <x:v>63</x:v>
      </x:c>
      <x:c r="AF769" s="35" t="n">
        <x:v>70</x:v>
      </x:c>
      <x:c r="AG769" s="35" t="n">
        <x:v>85</x:v>
      </x:c>
      <x:c r="AH769" s="35" t="n">
        <x:v>4</x:v>
      </x:c>
      <x:c r="AI769" s="37" t="n">
        <x:v>84.1</x:v>
      </x:c>
      <x:c r="AJ769" s="37" t="n">
        <x:v>100</x:v>
      </x:c>
      <x:c r="AK769" s="35" t="str">
        <x:v>No</x:v>
      </x:c>
      <x:c r="AL769" s="38" t="n">
        <x:f>IF(AA769=0,0,AB769/AA769)</x:f>
        <x:v>0.6666666666666666</x:v>
      </x:c>
      <x:c r="AM769" s="38" t="n">
        <x:f>IF(AB769=0,0,AC769/AB769)</x:f>
        <x:v>1</x:v>
      </x:c>
      <x:c r="AN769" s="37" t="n">
        <x:f>ROUND((AD769*0.20+AE769*0.20+AF769*0.25+AG769*0.15+MIN(100,AC769*12)*0.20),1)</x:f>
        <x:v>61.3</x:v>
      </x:c>
      <x:c r="AO769" s="37" t="n">
        <x:f>ROUND(MAX(0,MIN(100,(X769*0.35)+(W769/45*100*0.20)+((5-O769)/4*100*0.15)+((5-P769)/4*100*0.10)+((6-Y769)/5*100*0.10)+((100-Z769)*0.10))),1)</x:f>
        <x:v>42.8</x:v>
      </x:c>
      <x:c r="AP769" s="37" t="str">
        <x:f>IF(AO769&gt;=70,"High",IF(AO769&gt;=40,"Moderate","Low"))</x:f>
        <x:v>Moderate</x:v>
      </x:c>
      <x:c r="AQ769" s="37" t="n">
        <x:f>ROUND(MAX(0,MIN(100,(O769/4*100*0.25)+(P769/4*100*0.20)+(Q769/4*100*0.15)+(Y769/5*100*0.20)+(100-AO769)*0.20)),1)</x:f>
        <x:v>63.9</x:v>
      </x:c>
      <x:c r="AR769" s="37" t="n">
        <x:f>ROUND((AI769*0.20+AJ769*0.15+AN769*0.18+AG769*0.12+Z769*0.15+AQ769*0.20),1)</x:f>
        <x:v>79.9</x:v>
      </x:c>
      <x:c r="AS769" s="39" t="n">
        <x:f>ROUND((AC769*AF769*120)+(AH769*350)+(MAX(0,AI769-75)*220)+(MAX(0,AQ769-60)*100),0)</x:f>
        <x:v>20592</x:v>
      </x:c>
    </x:row>
    <x:row r="770">
      <x:c r="A770" s="35" t="n">
        <x:v>769</x:v>
      </x:c>
      <x:c r="B770" s="35" t="n">
        <x:v>42</x:v>
      </x:c>
      <x:c r="C770" s="35" t="str">
        <x:v>Female</x:v>
      </x:c>
      <x:c r="D770" s="35" t="str">
        <x:v>Sales</x:v>
      </x:c>
      <x:c r="E770" s="35" t="str">
        <x:v>Account Manager</x:v>
      </x:c>
      <x:c r="F770" s="35" t="str">
        <x:v>Business</x:v>
      </x:c>
      <x:c r="G770" s="35" t="str">
        <x:v>Single</x:v>
      </x:c>
      <x:c r="H770" s="35" t="n">
        <x:v>2</x:v>
      </x:c>
      <x:c r="I770" s="36" t="n">
        <x:v>7680</x:v>
      </x:c>
      <x:c r="J770" s="35" t="n">
        <x:v>12</x:v>
      </x:c>
      <x:c r="K770" s="35" t="n">
        <x:v>5</x:v>
      </x:c>
      <x:c r="L770" s="35" t="n">
        <x:v>4</x:v>
      </x:c>
      <x:c r="M770" s="35" t="n">
        <x:v>11</x:v>
      </x:c>
      <x:c r="N770" s="35" t="str">
        <x:v>No</x:v>
      </x:c>
      <x:c r="O770" s="35" t="n">
        <x:v>3</x:v>
      </x:c>
      <x:c r="P770" s="35" t="n">
        <x:v>3</x:v>
      </x:c>
      <x:c r="Q770" s="35" t="n">
        <x:v>2</x:v>
      </x:c>
      <x:c r="R770" s="35" t="n">
        <x:v>3</x:v>
      </x:c>
      <x:c r="S770" s="35" t="n">
        <x:v>3</x:v>
      </x:c>
      <x:c r="T770" s="35" t="n">
        <x:v>4</x:v>
      </x:c>
      <x:c r="U770" s="35" t="n">
        <x:v>0</x:v>
      </x:c>
      <x:c r="V770" s="35" t="n">
        <x:v>8</x:v>
      </x:c>
      <x:c r="W770" s="35" t="n">
        <x:v>0</x:v>
      </x:c>
      <x:c r="X770" s="35" t="n">
        <x:v>66</x:v>
      </x:c>
      <x:c r="Y770" s="35" t="n">
        <x:v>5</x:v>
      </x:c>
      <x:c r="Z770" s="35" t="n">
        <x:v>100</x:v>
      </x:c>
      <x:c r="AA770" s="35" t="n">
        <x:v>10</x:v>
      </x:c>
      <x:c r="AB770" s="35" t="n">
        <x:v>9</x:v>
      </x:c>
      <x:c r="AC770" s="35" t="n">
        <x:v>6</x:v>
      </x:c>
      <x:c r="AD770" s="35" t="n">
        <x:v>60</x:v>
      </x:c>
      <x:c r="AE770" s="35" t="n">
        <x:v>83</x:v>
      </x:c>
      <x:c r="AF770" s="35" t="n">
        <x:v>85</x:v>
      </x:c>
      <x:c r="AG770" s="35" t="n">
        <x:v>90</x:v>
      </x:c>
      <x:c r="AH770" s="35" t="n">
        <x:v>8</x:v>
      </x:c>
      <x:c r="AI770" s="37" t="n">
        <x:v>100</x:v>
      </x:c>
      <x:c r="AJ770" s="37" t="n">
        <x:v>91.8</x:v>
      </x:c>
      <x:c r="AK770" s="35" t="str">
        <x:v>No</x:v>
      </x:c>
      <x:c r="AL770" s="38" t="n">
        <x:f>IF(AA770=0,0,AB770/AA770)</x:f>
        <x:v>0.9</x:v>
      </x:c>
      <x:c r="AM770" s="38" t="n">
        <x:f>IF(AB770=0,0,AC770/AB770)</x:f>
        <x:v>0.6666666666666666</x:v>
      </x:c>
      <x:c r="AN770" s="37" t="n">
        <x:f>ROUND((AD770*0.20+AE770*0.20+AF770*0.25+AG770*0.15+MIN(100,AC770*12)*0.20),1)</x:f>
        <x:v>77.8</x:v>
      </x:c>
      <x:c r="AO770" s="37" t="n">
        <x:f>ROUND(MAX(0,MIN(100,(X770*0.35)+(W770/45*100*0.20)+((5-O770)/4*100*0.15)+((5-P770)/4*100*0.10)+((6-Y770)/5*100*0.10)+((100-Z770)*0.10))),1)</x:f>
        <x:v>37.6</x:v>
      </x:c>
      <x:c r="AP770" s="37" t="str">
        <x:f>IF(AO770&gt;=70,"High",IF(AO770&gt;=40,"Moderate","Low"))</x:f>
        <x:v>Low</x:v>
      </x:c>
      <x:c r="AQ770" s="37" t="n">
        <x:f>ROUND(MAX(0,MIN(100,(O770/4*100*0.25)+(P770/4*100*0.20)+(Q770/4*100*0.15)+(Y770/5*100*0.20)+(100-AO770)*0.20)),1)</x:f>
        <x:v>73.7</x:v>
      </x:c>
      <x:c r="AR770" s="37" t="n">
        <x:f>ROUND((AI770*0.20+AJ770*0.15+AN770*0.18+AG770*0.12+Z770*0.15+AQ770*0.20),1)</x:f>
        <x:v>88.3</x:v>
      </x:c>
      <x:c r="AS770" s="39" t="n">
        <x:f>ROUND((AC770*AF770*120)+(AH770*350)+(MAX(0,AI770-75)*220)+(MAX(0,AQ770-60)*100),0)</x:f>
        <x:v>70870</x:v>
      </x:c>
    </x:row>
    <x:row r="771">
      <x:c r="A771" s="35" t="n">
        <x:v>770</x:v>
      </x:c>
      <x:c r="B771" s="35" t="n">
        <x:v>44</x:v>
      </x:c>
      <x:c r="C771" s="35" t="str">
        <x:v>Male</x:v>
      </x:c>
      <x:c r="D771" s="35" t="str">
        <x:v>Operations</x:v>
      </x:c>
      <x:c r="E771" s="35" t="str">
        <x:v>Operations Manager</x:v>
      </x:c>
      <x:c r="F771" s="35" t="str">
        <x:v>Business</x:v>
      </x:c>
      <x:c r="G771" s="35" t="str">
        <x:v>Single</x:v>
      </x:c>
      <x:c r="H771" s="35" t="n">
        <x:v>3</x:v>
      </x:c>
      <x:c r="I771" s="36" t="n">
        <x:v>13760</x:v>
      </x:c>
      <x:c r="J771" s="35" t="n">
        <x:v>13</x:v>
      </x:c>
      <x:c r="K771" s="35" t="n">
        <x:v>8</x:v>
      </x:c>
      <x:c r="L771" s="35" t="n">
        <x:v>4</x:v>
      </x:c>
      <x:c r="M771" s="35" t="n">
        <x:v>8</x:v>
      </x:c>
      <x:c r="N771" s="35" t="str">
        <x:v>No</x:v>
      </x:c>
      <x:c r="O771" s="35" t="n">
        <x:v>4</x:v>
      </x:c>
      <x:c r="P771" s="35" t="n">
        <x:v>3</x:v>
      </x:c>
      <x:c r="Q771" s="35" t="n">
        <x:v>3</x:v>
      </x:c>
      <x:c r="R771" s="35" t="n">
        <x:v>2</x:v>
      </x:c>
      <x:c r="S771" s="35" t="n">
        <x:v>3</x:v>
      </x:c>
      <x:c r="T771" s="35" t="n">
        <x:v>4</x:v>
      </x:c>
      <x:c r="U771" s="35" t="n">
        <x:v>1</x:v>
      </x:c>
      <x:c r="V771" s="35" t="n">
        <x:v>9</x:v>
      </x:c>
      <x:c r="W771" s="35" t="n">
        <x:v>16</x:v>
      </x:c>
      <x:c r="X771" s="35" t="n">
        <x:v>64</x:v>
      </x:c>
      <x:c r="Y771" s="35" t="n">
        <x:v>5</x:v>
      </x:c>
      <x:c r="Z771" s="35" t="n">
        <x:v>85</x:v>
      </x:c>
      <x:c r="AA771" s="35" t="n">
        <x:v>8</x:v>
      </x:c>
      <x:c r="AB771" s="35" t="n">
        <x:v>6</x:v>
      </x:c>
      <x:c r="AC771" s="35" t="n">
        <x:v>4</x:v>
      </x:c>
      <x:c r="AD771" s="35" t="n">
        <x:v>60</x:v>
      </x:c>
      <x:c r="AE771" s="35" t="n">
        <x:v>73</x:v>
      </x:c>
      <x:c r="AF771" s="35" t="n">
        <x:v>84</x:v>
      </x:c>
      <x:c r="AG771" s="35" t="n">
        <x:v>74</x:v>
      </x:c>
      <x:c r="AH771" s="35" t="n">
        <x:v>7</x:v>
      </x:c>
      <x:c r="AI771" s="37" t="n">
        <x:v>87.3</x:v>
      </x:c>
      <x:c r="AJ771" s="37" t="n">
        <x:v>88.8</x:v>
      </x:c>
      <x:c r="AK771" s="35" t="str">
        <x:v>No</x:v>
      </x:c>
      <x:c r="AL771" s="38" t="n">
        <x:f>IF(AA771=0,0,AB771/AA771)</x:f>
        <x:v>0.75</x:v>
      </x:c>
      <x:c r="AM771" s="38" t="n">
        <x:f>IF(AB771=0,0,AC771/AB771)</x:f>
        <x:v>0.6666666666666666</x:v>
      </x:c>
      <x:c r="AN771" s="37" t="n">
        <x:f>ROUND((AD771*0.20+AE771*0.20+AF771*0.25+AG771*0.15+MIN(100,AC771*12)*0.20),1)</x:f>
        <x:v>68.3</x:v>
      </x:c>
      <x:c r="AO771" s="37" t="n">
        <x:f>ROUND(MAX(0,MIN(100,(X771*0.35)+(W771/45*100*0.20)+((5-O771)/4*100*0.15)+((5-P771)/4*100*0.10)+((6-Y771)/5*100*0.10)+((100-Z771)*0.10))),1)</x:f>
        <x:v>41.8</x:v>
      </x:c>
      <x:c r="AP771" s="37" t="str">
        <x:f>IF(AO771&gt;=70,"High",IF(AO771&gt;=40,"Moderate","Low"))</x:f>
        <x:v>Moderate</x:v>
      </x:c>
      <x:c r="AQ771" s="37" t="n">
        <x:f>ROUND(MAX(0,MIN(100,(O771/4*100*0.25)+(P771/4*100*0.20)+(Q771/4*100*0.15)+(Y771/5*100*0.20)+(100-AO771)*0.20)),1)</x:f>
        <x:v>82.9</x:v>
      </x:c>
      <x:c r="AR771" s="37" t="n">
        <x:f>ROUND((AI771*0.20+AJ771*0.15+AN771*0.18+AG771*0.12+Z771*0.15+AQ771*0.20),1)</x:f>
        <x:v>81.3</x:v>
      </x:c>
      <x:c r="AS771" s="39" t="n">
        <x:f>ROUND((AC771*AF771*120)+(AH771*350)+(MAX(0,AI771-75)*220)+(MAX(0,AQ771-60)*100),0)</x:f>
        <x:v>47766</x:v>
      </x:c>
    </x:row>
    <x:row r="772">
      <x:c r="A772" s="35" t="n">
        <x:v>771</x:v>
      </x:c>
      <x:c r="B772" s="35" t="n">
        <x:v>33</x:v>
      </x:c>
      <x:c r="C772" s="35" t="str">
        <x:v>Male</x:v>
      </x:c>
      <x:c r="D772" s="35" t="str">
        <x:v>Sales</x:v>
      </x:c>
      <x:c r="E772" s="35" t="str">
        <x:v>Sales Representative</x:v>
      </x:c>
      <x:c r="F772" s="35" t="str">
        <x:v>Computer Science</x:v>
      </x:c>
      <x:c r="G772" s="35" t="str">
        <x:v>Single</x:v>
      </x:c>
      <x:c r="H772" s="35" t="n">
        <x:v>2</x:v>
      </x:c>
      <x:c r="I772" s="36" t="n">
        <x:v>9250</x:v>
      </x:c>
      <x:c r="J772" s="35" t="n">
        <x:v>8</x:v>
      </x:c>
      <x:c r="K772" s="35" t="n">
        <x:v>6</x:v>
      </x:c>
      <x:c r="L772" s="35" t="n">
        <x:v>3</x:v>
      </x:c>
      <x:c r="M772" s="35" t="n">
        <x:v>10</x:v>
      </x:c>
      <x:c r="N772" s="35" t="str">
        <x:v>No</x:v>
      </x:c>
      <x:c r="O772" s="35" t="n">
        <x:v>3</x:v>
      </x:c>
      <x:c r="P772" s="35" t="n">
        <x:v>2</x:v>
      </x:c>
      <x:c r="Q772" s="35" t="n">
        <x:v>3</x:v>
      </x:c>
      <x:c r="R772" s="35" t="n">
        <x:v>3</x:v>
      </x:c>
      <x:c r="S772" s="35" t="n">
        <x:v>4</x:v>
      </x:c>
      <x:c r="T772" s="35" t="n">
        <x:v>3</x:v>
      </x:c>
      <x:c r="U772" s="35" t="n">
        <x:v>2</x:v>
      </x:c>
      <x:c r="V772" s="35" t="n">
        <x:v>7</x:v>
      </x:c>
      <x:c r="W772" s="35" t="n">
        <x:v>3</x:v>
      </x:c>
      <x:c r="X772" s="35" t="n">
        <x:v>67</x:v>
      </x:c>
      <x:c r="Y772" s="35" t="n">
        <x:v>4</x:v>
      </x:c>
      <x:c r="Z772" s="35" t="n">
        <x:v>96</x:v>
      </x:c>
      <x:c r="AA772" s="35" t="n">
        <x:v>4</x:v>
      </x:c>
      <x:c r="AB772" s="35" t="n">
        <x:v>3</x:v>
      </x:c>
      <x:c r="AC772" s="35" t="n">
        <x:v>2</x:v>
      </x:c>
      <x:c r="AD772" s="35" t="n">
        <x:v>84</x:v>
      </x:c>
      <x:c r="AE772" s="35" t="n">
        <x:v>62</x:v>
      </x:c>
      <x:c r="AF772" s="35" t="n">
        <x:v>69</x:v>
      </x:c>
      <x:c r="AG772" s="35" t="n">
        <x:v>100</x:v>
      </x:c>
      <x:c r="AH772" s="35" t="n">
        <x:v>9</x:v>
      </x:c>
      <x:c r="AI772" s="37" t="n">
        <x:v>100</x:v>
      </x:c>
      <x:c r="AJ772" s="37" t="n">
        <x:v>100</x:v>
      </x:c>
      <x:c r="AK772" s="35" t="str">
        <x:v>No</x:v>
      </x:c>
      <x:c r="AL772" s="38" t="n">
        <x:f>IF(AA772=0,0,AB772/AA772)</x:f>
        <x:v>0.75</x:v>
      </x:c>
      <x:c r="AM772" s="38" t="n">
        <x:f>IF(AB772=0,0,AC772/AB772)</x:f>
        <x:v>0.6666666666666666</x:v>
      </x:c>
      <x:c r="AN772" s="37" t="n">
        <x:f>ROUND((AD772*0.20+AE772*0.20+AF772*0.25+AG772*0.15+MIN(100,AC772*12)*0.20),1)</x:f>
        <x:v>66.3</x:v>
      </x:c>
      <x:c r="AO772" s="37" t="n">
        <x:f>ROUND(MAX(0,MIN(100,(X772*0.35)+(W772/45*100*0.20)+((5-O772)/4*100*0.15)+((5-P772)/4*100*0.10)+((6-Y772)/5*100*0.10)+((100-Z772)*0.10))),1)</x:f>
        <x:v>44.2</x:v>
      </x:c>
      <x:c r="AP772" s="37" t="str">
        <x:f>IF(AO772&gt;=70,"High",IF(AO772&gt;=40,"Moderate","Low"))</x:f>
        <x:v>Moderate</x:v>
      </x:c>
      <x:c r="AQ772" s="37" t="n">
        <x:f>ROUND(MAX(0,MIN(100,(O772/4*100*0.25)+(P772/4*100*0.20)+(Q772/4*100*0.15)+(Y772/5*100*0.20)+(100-AO772)*0.20)),1)</x:f>
        <x:v>67.2</x:v>
      </x:c>
      <x:c r="AR772" s="37" t="n">
        <x:f>ROUND((AI772*0.20+AJ772*0.15+AN772*0.18+AG772*0.12+Z772*0.15+AQ772*0.20),1)</x:f>
        <x:v>86.8</x:v>
      </x:c>
      <x:c r="AS772" s="39" t="n">
        <x:f>ROUND((AC772*AF772*120)+(AH772*350)+(MAX(0,AI772-75)*220)+(MAX(0,AQ772-60)*100),0)</x:f>
        <x:v>25930</x:v>
      </x:c>
    </x:row>
    <x:row r="773">
      <x:c r="A773" s="35" t="n">
        <x:v>772</x:v>
      </x:c>
      <x:c r="B773" s="35" t="n">
        <x:v>30</x:v>
      </x:c>
      <x:c r="C773" s="35" t="str">
        <x:v>Female</x:v>
      </x:c>
      <x:c r="D773" s="35" t="str">
        <x:v>Human Resources</x:v>
      </x:c>
      <x:c r="E773" s="35" t="str">
        <x:v>Talent Development Specialist</x:v>
      </x:c>
      <x:c r="F773" s="35" t="str">
        <x:v>Marketing</x:v>
      </x:c>
      <x:c r="G773" s="35" t="str">
        <x:v>Married</x:v>
      </x:c>
      <x:c r="H773" s="35" t="n">
        <x:v>2</x:v>
      </x:c>
      <x:c r="I773" s="36" t="n">
        <x:v>5410</x:v>
      </x:c>
      <x:c r="J773" s="35" t="n">
        <x:v>7</x:v>
      </x:c>
      <x:c r="K773" s="35" t="n">
        <x:v>6</x:v>
      </x:c>
      <x:c r="L773" s="35" t="n">
        <x:v>3</x:v>
      </x:c>
      <x:c r="M773" s="35" t="n">
        <x:v>11</x:v>
      </x:c>
      <x:c r="N773" s="35" t="str">
        <x:v>No</x:v>
      </x:c>
      <x:c r="O773" s="35" t="n">
        <x:v>4</x:v>
      </x:c>
      <x:c r="P773" s="35" t="n">
        <x:v>2</x:v>
      </x:c>
      <x:c r="Q773" s="35" t="n">
        <x:v>3</x:v>
      </x:c>
      <x:c r="R773" s="35" t="n">
        <x:v>3</x:v>
      </x:c>
      <x:c r="S773" s="35" t="n">
        <x:v>4</x:v>
      </x:c>
      <x:c r="T773" s="35" t="n">
        <x:v>5</x:v>
      </x:c>
      <x:c r="U773" s="35" t="n">
        <x:v>1</x:v>
      </x:c>
      <x:c r="V773" s="35" t="n">
        <x:v>5</x:v>
      </x:c>
      <x:c r="W773" s="35" t="n">
        <x:v>6</x:v>
      </x:c>
      <x:c r="X773" s="35" t="n">
        <x:v>61</x:v>
      </x:c>
      <x:c r="Y773" s="35" t="n">
        <x:v>5</x:v>
      </x:c>
      <x:c r="Z773" s="35" t="n">
        <x:v>100</x:v>
      </x:c>
      <x:c r="AA773" s="35" t="n">
        <x:v>2</x:v>
      </x:c>
      <x:c r="AB773" s="35" t="n">
        <x:v>2</x:v>
      </x:c>
      <x:c r="AC773" s="35" t="n">
        <x:v>1</x:v>
      </x:c>
      <x:c r="AD773" s="35" t="n">
        <x:v>52</x:v>
      </x:c>
      <x:c r="AE773" s="35" t="n">
        <x:v>66</x:v>
      </x:c>
      <x:c r="AF773" s="35" t="n">
        <x:v>71</x:v>
      </x:c>
      <x:c r="AG773" s="35" t="n">
        <x:v>100</x:v>
      </x:c>
      <x:c r="AH773" s="35" t="n">
        <x:v>6</x:v>
      </x:c>
      <x:c r="AI773" s="37" t="n">
        <x:v>98.6</x:v>
      </x:c>
      <x:c r="AJ773" s="37" t="n">
        <x:v>97.5</x:v>
      </x:c>
      <x:c r="AK773" s="35" t="str">
        <x:v>No</x:v>
      </x:c>
      <x:c r="AL773" s="38" t="n">
        <x:f>IF(AA773=0,0,AB773/AA773)</x:f>
        <x:v>1</x:v>
      </x:c>
      <x:c r="AM773" s="38" t="n">
        <x:f>IF(AB773=0,0,AC773/AB773)</x:f>
        <x:v>0.5</x:v>
      </x:c>
      <x:c r="AN773" s="37" t="n">
        <x:f>ROUND((AD773*0.20+AE773*0.20+AF773*0.25+AG773*0.15+MIN(100,AC773*12)*0.20),1)</x:f>
        <x:v>58.8</x:v>
      </x:c>
      <x:c r="AO773" s="37" t="n">
        <x:f>ROUND(MAX(0,MIN(100,(X773*0.35)+(W773/45*100*0.20)+((5-O773)/4*100*0.15)+((5-P773)/4*100*0.10)+((6-Y773)/5*100*0.10)+((100-Z773)*0.10))),1)</x:f>
        <x:v>37.3</x:v>
      </x:c>
      <x:c r="AP773" s="37" t="str">
        <x:f>IF(AO773&gt;=70,"High",IF(AO773&gt;=40,"Moderate","Low"))</x:f>
        <x:v>Low</x:v>
      </x:c>
      <x:c r="AQ773" s="37" t="n">
        <x:f>ROUND(MAX(0,MIN(100,(O773/4*100*0.25)+(P773/4*100*0.20)+(Q773/4*100*0.15)+(Y773/5*100*0.20)+(100-AO773)*0.20)),1)</x:f>
        <x:v>78.8</x:v>
      </x:c>
      <x:c r="AR773" s="37" t="n">
        <x:f>ROUND((AI773*0.20+AJ773*0.15+AN773*0.18+AG773*0.12+Z773*0.15+AQ773*0.20),1)</x:f>
        <x:v>87.7</x:v>
      </x:c>
      <x:c r="AS773" s="39" t="n">
        <x:f>ROUND((AC773*AF773*120)+(AH773*350)+(MAX(0,AI773-75)*220)+(MAX(0,AQ773-60)*100),0)</x:f>
        <x:v>17692</x:v>
      </x:c>
    </x:row>
    <x:row r="774">
      <x:c r="A774" s="35" t="n">
        <x:v>773</x:v>
      </x:c>
      <x:c r="B774" s="35" t="n">
        <x:v>32</x:v>
      </x:c>
      <x:c r="C774" s="35" t="str">
        <x:v>Female</x:v>
      </x:c>
      <x:c r="D774" s="35" t="str">
        <x:v>Research &amp; Development</x:v>
      </x:c>
      <x:c r="E774" s="35" t="str">
        <x:v>Laboratory Technician</x:v>
      </x:c>
      <x:c r="F774" s="35" t="str">
        <x:v>Technical Degree</x:v>
      </x:c>
      <x:c r="G774" s="35" t="str">
        <x:v>Divorced</x:v>
      </x:c>
      <x:c r="H774" s="35" t="n">
        <x:v>3</x:v>
      </x:c>
      <x:c r="I774" s="36" t="n">
        <x:v>12660</x:v>
      </x:c>
      <x:c r="J774" s="35" t="n">
        <x:v>5</x:v>
      </x:c>
      <x:c r="K774" s="35" t="n">
        <x:v>3</x:v>
      </x:c>
      <x:c r="L774" s="35" t="n">
        <x:v>2</x:v>
      </x:c>
      <x:c r="M774" s="35" t="n">
        <x:v>10</x:v>
      </x:c>
      <x:c r="N774" s="35" t="str">
        <x:v>No</x:v>
      </x:c>
      <x:c r="O774" s="35" t="n">
        <x:v>3</x:v>
      </x:c>
      <x:c r="P774" s="35" t="n">
        <x:v>2</x:v>
      </x:c>
      <x:c r="Q774" s="35" t="n">
        <x:v>3</x:v>
      </x:c>
      <x:c r="R774" s="35" t="n">
        <x:v>3</x:v>
      </x:c>
      <x:c r="S774" s="35" t="n">
        <x:v>3</x:v>
      </x:c>
      <x:c r="T774" s="35" t="n">
        <x:v>4</x:v>
      </x:c>
      <x:c r="U774" s="35" t="n">
        <x:v>0</x:v>
      </x:c>
      <x:c r="V774" s="35" t="n">
        <x:v>5</x:v>
      </x:c>
      <x:c r="W774" s="35" t="n">
        <x:v>10</x:v>
      </x:c>
      <x:c r="X774" s="35" t="n">
        <x:v>74</x:v>
      </x:c>
      <x:c r="Y774" s="35" t="n">
        <x:v>5</x:v>
      </x:c>
      <x:c r="Z774" s="35" t="n">
        <x:v>100</x:v>
      </x:c>
      <x:c r="AA774" s="35" t="n">
        <x:v>4</x:v>
      </x:c>
      <x:c r="AB774" s="35" t="n">
        <x:v>4</x:v>
      </x:c>
      <x:c r="AC774" s="35" t="n">
        <x:v>3</x:v>
      </x:c>
      <x:c r="AD774" s="35" t="n">
        <x:v>80</x:v>
      </x:c>
      <x:c r="AE774" s="35" t="n">
        <x:v>91</x:v>
      </x:c>
      <x:c r="AF774" s="35" t="n">
        <x:v>72</x:v>
      </x:c>
      <x:c r="AG774" s="35" t="n">
        <x:v>97</x:v>
      </x:c>
      <x:c r="AH774" s="35" t="n">
        <x:v>6</x:v>
      </x:c>
      <x:c r="AI774" s="37" t="n">
        <x:v>94.1</x:v>
      </x:c>
      <x:c r="AJ774" s="37" t="n">
        <x:v>93.4</x:v>
      </x:c>
      <x:c r="AK774" s="35" t="str">
        <x:v>No</x:v>
      </x:c>
      <x:c r="AL774" s="38" t="n">
        <x:f>IF(AA774=0,0,AB774/AA774)</x:f>
        <x:v>1</x:v>
      </x:c>
      <x:c r="AM774" s="38" t="n">
        <x:f>IF(AB774=0,0,AC774/AB774)</x:f>
        <x:v>0.75</x:v>
      </x:c>
      <x:c r="AN774" s="37" t="n">
        <x:f>ROUND((AD774*0.20+AE774*0.20+AF774*0.25+AG774*0.15+MIN(100,AC774*12)*0.20),1)</x:f>
        <x:v>74</x:v>
      </x:c>
      <x:c r="AO774" s="37" t="n">
        <x:f>ROUND(MAX(0,MIN(100,(X774*0.35)+(W774/45*100*0.20)+((5-O774)/4*100*0.15)+((5-P774)/4*100*0.10)+((6-Y774)/5*100*0.10)+((100-Z774)*0.10))),1)</x:f>
        <x:v>47.3</x:v>
      </x:c>
      <x:c r="AP774" s="37" t="str">
        <x:f>IF(AO774&gt;=70,"High",IF(AO774&gt;=40,"Moderate","Low"))</x:f>
        <x:v>Moderate</x:v>
      </x:c>
      <x:c r="AQ774" s="37" t="n">
        <x:f>ROUND(MAX(0,MIN(100,(O774/4*100*0.25)+(P774/4*100*0.20)+(Q774/4*100*0.15)+(Y774/5*100*0.20)+(100-AO774)*0.20)),1)</x:f>
        <x:v>70.5</x:v>
      </x:c>
      <x:c r="AR774" s="37" t="n">
        <x:f>ROUND((AI774*0.20+AJ774*0.15+AN774*0.18+AG774*0.12+Z774*0.15+AQ774*0.20),1)</x:f>
        <x:v>86.9</x:v>
      </x:c>
      <x:c r="AS774" s="39" t="n">
        <x:f>ROUND((AC774*AF774*120)+(AH774*350)+(MAX(0,AI774-75)*220)+(MAX(0,AQ774-60)*100),0)</x:f>
        <x:v>33272</x:v>
      </x:c>
    </x:row>
    <x:row r="775">
      <x:c r="A775" s="35" t="n">
        <x:v>774</x:v>
      </x:c>
      <x:c r="B775" s="35" t="n">
        <x:v>34</x:v>
      </x:c>
      <x:c r="C775" s="35" t="str">
        <x:v>Male</x:v>
      </x:c>
      <x:c r="D775" s="35" t="str">
        <x:v>Finance</x:v>
      </x:c>
      <x:c r="E775" s="35" t="str">
        <x:v>Financial Analyst</x:v>
      </x:c>
      <x:c r="F775" s="35" t="str">
        <x:v>Technical Degree</x:v>
      </x:c>
      <x:c r="G775" s="35" t="str">
        <x:v>Married</x:v>
      </x:c>
      <x:c r="H775" s="35" t="n">
        <x:v>1</x:v>
      </x:c>
      <x:c r="I775" s="36" t="n">
        <x:v>4830</x:v>
      </x:c>
      <x:c r="J775" s="35" t="n">
        <x:v>6</x:v>
      </x:c>
      <x:c r="K775" s="35" t="n">
        <x:v>4</x:v>
      </x:c>
      <x:c r="L775" s="35" t="n">
        <x:v>2</x:v>
      </x:c>
      <x:c r="M775" s="35" t="n">
        <x:v>36</x:v>
      </x:c>
      <x:c r="N775" s="35" t="str">
        <x:v>No</x:v>
      </x:c>
      <x:c r="O775" s="35" t="n">
        <x:v>3</x:v>
      </x:c>
      <x:c r="P775" s="35" t="n">
        <x:v>3</x:v>
      </x:c>
      <x:c r="Q775" s="35" t="n">
        <x:v>3</x:v>
      </x:c>
      <x:c r="R775" s="35" t="n">
        <x:v>3</x:v>
      </x:c>
      <x:c r="S775" s="35" t="n">
        <x:v>3</x:v>
      </x:c>
      <x:c r="T775" s="35" t="n">
        <x:v>3</x:v>
      </x:c>
      <x:c r="U775" s="35" t="n">
        <x:v>1</x:v>
      </x:c>
      <x:c r="V775" s="35" t="n">
        <x:v>7</x:v>
      </x:c>
      <x:c r="W775" s="35" t="n">
        <x:v>0</x:v>
      </x:c>
      <x:c r="X775" s="35" t="n">
        <x:v>57</x:v>
      </x:c>
      <x:c r="Y775" s="35" t="n">
        <x:v>4</x:v>
      </x:c>
      <x:c r="Z775" s="35" t="n">
        <x:v>91</x:v>
      </x:c>
      <x:c r="AA775" s="35" t="n">
        <x:v>10</x:v>
      </x:c>
      <x:c r="AB775" s="35" t="n">
        <x:v>9</x:v>
      </x:c>
      <x:c r="AC775" s="35" t="n">
        <x:v>7</x:v>
      </x:c>
      <x:c r="AD775" s="35" t="n">
        <x:v>82</x:v>
      </x:c>
      <x:c r="AE775" s="35" t="n">
        <x:v>97</x:v>
      </x:c>
      <x:c r="AF775" s="35" t="n">
        <x:v>93</x:v>
      </x:c>
      <x:c r="AG775" s="35" t="n">
        <x:v>88</x:v>
      </x:c>
      <x:c r="AH775" s="35" t="n">
        <x:v>7</x:v>
      </x:c>
      <x:c r="AI775" s="37" t="n">
        <x:v>85.9</x:v>
      </x:c>
      <x:c r="AJ775" s="37" t="n">
        <x:v>88.2</x:v>
      </x:c>
      <x:c r="AK775" s="35" t="str">
        <x:v>No</x:v>
      </x:c>
      <x:c r="AL775" s="38" t="n">
        <x:f>IF(AA775=0,0,AB775/AA775)</x:f>
        <x:v>0.9</x:v>
      </x:c>
      <x:c r="AM775" s="38" t="n">
        <x:f>IF(AB775=0,0,AC775/AB775)</x:f>
        <x:v>0.7777777777777778</x:v>
      </x:c>
      <x:c r="AN775" s="37" t="n">
        <x:f>ROUND((AD775*0.20+AE775*0.20+AF775*0.25+AG775*0.15+MIN(100,AC775*12)*0.20),1)</x:f>
        <x:v>89.1</x:v>
      </x:c>
      <x:c r="AO775" s="37" t="n">
        <x:f>ROUND(MAX(0,MIN(100,(X775*0.35)+(W775/45*100*0.20)+((5-O775)/4*100*0.15)+((5-P775)/4*100*0.10)+((6-Y775)/5*100*0.10)+((100-Z775)*0.10))),1)</x:f>
        <x:v>37.4</x:v>
      </x:c>
      <x:c r="AP775" s="37" t="str">
        <x:f>IF(AO775&gt;=70,"High",IF(AO775&gt;=40,"Moderate","Low"))</x:f>
        <x:v>Low</x:v>
      </x:c>
      <x:c r="AQ775" s="37" t="n">
        <x:f>ROUND(MAX(0,MIN(100,(O775/4*100*0.25)+(P775/4*100*0.20)+(Q775/4*100*0.15)+(Y775/5*100*0.20)+(100-AO775)*0.20)),1)</x:f>
        <x:v>73.5</x:v>
      </x:c>
      <x:c r="AR775" s="37" t="n">
        <x:f>ROUND((AI775*0.20+AJ775*0.15+AN775*0.18+AG775*0.12+Z775*0.15+AQ775*0.20),1)</x:f>
        <x:v>85.4</x:v>
      </x:c>
      <x:c r="AS775" s="39" t="n">
        <x:f>ROUND((AC775*AF775*120)+(AH775*350)+(MAX(0,AI775-75)*220)+(MAX(0,AQ775-60)*100),0)</x:f>
        <x:v>84318</x:v>
      </x:c>
    </x:row>
    <x:row r="776">
      <x:c r="A776" s="35" t="n">
        <x:v>775</x:v>
      </x:c>
      <x:c r="B776" s="35" t="n">
        <x:v>25</x:v>
      </x:c>
      <x:c r="C776" s="35" t="str">
        <x:v>Male</x:v>
      </x:c>
      <x:c r="D776" s="35" t="str">
        <x:v>Sales</x:v>
      </x:c>
      <x:c r="E776" s="35" t="str">
        <x:v>Sales Representative</x:v>
      </x:c>
      <x:c r="F776" s="35" t="str">
        <x:v>Marketing</x:v>
      </x:c>
      <x:c r="G776" s="35" t="str">
        <x:v>Divorced</x:v>
      </x:c>
      <x:c r="H776" s="35" t="n">
        <x:v>1</x:v>
      </x:c>
      <x:c r="I776" s="36" t="n">
        <x:v>5450</x:v>
      </x:c>
      <x:c r="J776" s="35" t="n">
        <x:v>3</x:v>
      </x:c>
      <x:c r="K776" s="35" t="n">
        <x:v>2</x:v>
      </x:c>
      <x:c r="L776" s="35" t="n">
        <x:v>2</x:v>
      </x:c>
      <x:c r="M776" s="35" t="n">
        <x:v>8</x:v>
      </x:c>
      <x:c r="N776" s="35" t="str">
        <x:v>No</x:v>
      </x:c>
      <x:c r="O776" s="35" t="n">
        <x:v>3</x:v>
      </x:c>
      <x:c r="P776" s="35" t="n">
        <x:v>3</x:v>
      </x:c>
      <x:c r="Q776" s="35" t="n">
        <x:v>3</x:v>
      </x:c>
      <x:c r="R776" s="35" t="n">
        <x:v>2</x:v>
      </x:c>
      <x:c r="S776" s="35" t="n">
        <x:v>3</x:v>
      </x:c>
      <x:c r="T776" s="35" t="n">
        <x:v>3</x:v>
      </x:c>
      <x:c r="U776" s="35" t="n">
        <x:v>0</x:v>
      </x:c>
      <x:c r="V776" s="35" t="n">
        <x:v>0</x:v>
      </x:c>
      <x:c r="W776" s="35" t="n">
        <x:v>5</x:v>
      </x:c>
      <x:c r="X776" s="35" t="n">
        <x:v>71</x:v>
      </x:c>
      <x:c r="Y776" s="35" t="n">
        <x:v>4</x:v>
      </x:c>
      <x:c r="Z776" s="35" t="n">
        <x:v>86</x:v>
      </x:c>
      <x:c r="AA776" s="35" t="n">
        <x:v>0</x:v>
      </x:c>
      <x:c r="AB776" s="35" t="n">
        <x:v>0</x:v>
      </x:c>
      <x:c r="AC776" s="35" t="n">
        <x:v>0</x:v>
      </x:c>
      <x:c r="AD776" s="35" t="n">
        <x:v>68</x:v>
      </x:c>
      <x:c r="AE776" s="35" t="n">
        <x:v>62</x:v>
      </x:c>
      <x:c r="AF776" s="35" t="n">
        <x:v>74</x:v>
      </x:c>
      <x:c r="AG776" s="35" t="n">
        <x:v>78</x:v>
      </x:c>
      <x:c r="AH776" s="35" t="n">
        <x:v>3</x:v>
      </x:c>
      <x:c r="AI776" s="37" t="n">
        <x:v>92</x:v>
      </x:c>
      <x:c r="AJ776" s="37" t="n">
        <x:v>100</x:v>
      </x:c>
      <x:c r="AK776" s="35" t="str">
        <x:v>No</x:v>
      </x:c>
      <x:c r="AL776" s="38" t="n">
        <x:f>IF(AA776=0,0,AB776/AA776)</x:f>
        <x:v>0</x:v>
      </x:c>
      <x:c r="AM776" s="38" t="n">
        <x:f>IF(AB776=0,0,AC776/AB776)</x:f>
        <x:v>0</x:v>
      </x:c>
      <x:c r="AN776" s="37" t="n">
        <x:f>ROUND((AD776*0.20+AE776*0.20+AF776*0.25+AG776*0.15+MIN(100,AC776*12)*0.20),1)</x:f>
        <x:v>56.2</x:v>
      </x:c>
      <x:c r="AO776" s="37" t="n">
        <x:f>ROUND(MAX(0,MIN(100,(X776*0.35)+(W776/45*100*0.20)+((5-O776)/4*100*0.15)+((5-P776)/4*100*0.10)+((6-Y776)/5*100*0.10)+((100-Z776)*0.10))),1)</x:f>
        <x:v>45</x:v>
      </x:c>
      <x:c r="AP776" s="37" t="str">
        <x:f>IF(AO776&gt;=70,"High",IF(AO776&gt;=40,"Moderate","Low"))</x:f>
        <x:v>Moderate</x:v>
      </x:c>
      <x:c r="AQ776" s="37" t="n">
        <x:f>ROUND(MAX(0,MIN(100,(O776/4*100*0.25)+(P776/4*100*0.20)+(Q776/4*100*0.15)+(Y776/5*100*0.20)+(100-AO776)*0.20)),1)</x:f>
        <x:v>72</x:v>
      </x:c>
      <x:c r="AR776" s="37" t="n">
        <x:f>ROUND((AI776*0.20+AJ776*0.15+AN776*0.18+AG776*0.12+Z776*0.15+AQ776*0.20),1)</x:f>
        <x:v>80.2</x:v>
      </x:c>
      <x:c r="AS776" s="39" t="n">
        <x:f>ROUND((AC776*AF776*120)+(AH776*350)+(MAX(0,AI776-75)*220)+(MAX(0,AQ776-60)*100),0)</x:f>
        <x:v>5990</x:v>
      </x:c>
    </x:row>
    <x:row r="777">
      <x:c r="A777" s="35" t="n">
        <x:v>776</x:v>
      </x:c>
      <x:c r="B777" s="35" t="n">
        <x:v>35</x:v>
      </x:c>
      <x:c r="C777" s="35" t="str">
        <x:v>Male</x:v>
      </x:c>
      <x:c r="D777" s="35" t="str">
        <x:v>Marketing</x:v>
      </x:c>
      <x:c r="E777" s="35" t="str">
        <x:v>Marketing Specialist</x:v>
      </x:c>
      <x:c r="F777" s="35" t="str">
        <x:v>Technical Degree</x:v>
      </x:c>
      <x:c r="G777" s="35" t="str">
        <x:v>Divorced</x:v>
      </x:c>
      <x:c r="H777" s="35" t="n">
        <x:v>2</x:v>
      </x:c>
      <x:c r="I777" s="36" t="n">
        <x:v>7050</x:v>
      </x:c>
      <x:c r="J777" s="35" t="n">
        <x:v>9</x:v>
      </x:c>
      <x:c r="K777" s="35" t="n">
        <x:v>5</x:v>
      </x:c>
      <x:c r="L777" s="35" t="n">
        <x:v>2</x:v>
      </x:c>
      <x:c r="M777" s="35" t="n">
        <x:v>4</x:v>
      </x:c>
      <x:c r="N777" s="35" t="str">
        <x:v>Yes</x:v>
      </x:c>
      <x:c r="O777" s="35" t="n">
        <x:v>4</x:v>
      </x:c>
      <x:c r="P777" s="35" t="n">
        <x:v>3</x:v>
      </x:c>
      <x:c r="Q777" s="35" t="n">
        <x:v>4</x:v>
      </x:c>
      <x:c r="R777" s="35" t="n">
        <x:v>4</x:v>
      </x:c>
      <x:c r="S777" s="35" t="n">
        <x:v>3</x:v>
      </x:c>
      <x:c r="T777" s="35" t="n">
        <x:v>5</x:v>
      </x:c>
      <x:c r="U777" s="35" t="n">
        <x:v>0</x:v>
      </x:c>
      <x:c r="V777" s="35" t="n">
        <x:v>4</x:v>
      </x:c>
      <x:c r="W777" s="35" t="n">
        <x:v>20</x:v>
      </x:c>
      <x:c r="X777" s="35" t="n">
        <x:v>85</x:v>
      </x:c>
      <x:c r="Y777" s="35" t="n">
        <x:v>4</x:v>
      </x:c>
      <x:c r="Z777" s="35" t="n">
        <x:v>100</x:v>
      </x:c>
      <x:c r="AA777" s="35" t="n">
        <x:v>4</x:v>
      </x:c>
      <x:c r="AB777" s="35" t="n">
        <x:v>2</x:v>
      </x:c>
      <x:c r="AC777" s="35" t="n">
        <x:v>1</x:v>
      </x:c>
      <x:c r="AD777" s="35" t="n">
        <x:v>63</x:v>
      </x:c>
      <x:c r="AE777" s="35" t="n">
        <x:v>86</x:v>
      </x:c>
      <x:c r="AF777" s="35" t="n">
        <x:v>87</x:v>
      </x:c>
      <x:c r="AG777" s="35" t="n">
        <x:v>97</x:v>
      </x:c>
      <x:c r="AH777" s="35" t="n">
        <x:v>5</x:v>
      </x:c>
      <x:c r="AI777" s="37" t="n">
        <x:v>100</x:v>
      </x:c>
      <x:c r="AJ777" s="37" t="n">
        <x:v>97.1</x:v>
      </x:c>
      <x:c r="AK777" s="35" t="str">
        <x:v>No</x:v>
      </x:c>
      <x:c r="AL777" s="38" t="n">
        <x:f>IF(AA777=0,0,AB777/AA777)</x:f>
        <x:v>0.5</x:v>
      </x:c>
      <x:c r="AM777" s="38" t="n">
        <x:f>IF(AB777=0,0,AC777/AB777)</x:f>
        <x:v>0.5</x:v>
      </x:c>
      <x:c r="AN777" s="37" t="n">
        <x:f>ROUND((AD777*0.20+AE777*0.20+AF777*0.25+AG777*0.15+MIN(100,AC777*12)*0.20),1)</x:f>
        <x:v>68.5</x:v>
      </x:c>
      <x:c r="AO777" s="37" t="n">
        <x:f>ROUND(MAX(0,MIN(100,(X777*0.35)+(W777/45*100*0.20)+((5-O777)/4*100*0.15)+((5-P777)/4*100*0.10)+((6-Y777)/5*100*0.10)+((100-Z777)*0.10))),1)</x:f>
        <x:v>51.4</x:v>
      </x:c>
      <x:c r="AP777" s="37" t="str">
        <x:f>IF(AO777&gt;=70,"High",IF(AO777&gt;=40,"Moderate","Low"))</x:f>
        <x:v>Moderate</x:v>
      </x:c>
      <x:c r="AQ777" s="37" t="n">
        <x:f>ROUND(MAX(0,MIN(100,(O777/4*100*0.25)+(P777/4*100*0.20)+(Q777/4*100*0.15)+(Y777/5*100*0.20)+(100-AO777)*0.20)),1)</x:f>
        <x:v>80.7</x:v>
      </x:c>
      <x:c r="AR777" s="37" t="n">
        <x:f>ROUND((AI777*0.20+AJ777*0.15+AN777*0.18+AG777*0.12+Z777*0.15+AQ777*0.20),1)</x:f>
        <x:v>89.7</x:v>
      </x:c>
      <x:c r="AS777" s="39" t="n">
        <x:f>ROUND((AC777*AF777*120)+(AH777*350)+(MAX(0,AI777-75)*220)+(MAX(0,AQ777-60)*100),0)</x:f>
        <x:v>19760</x:v>
      </x:c>
    </x:row>
    <x:row r="778">
      <x:c r="A778" s="35" t="n">
        <x:v>777</x:v>
      </x:c>
      <x:c r="B778" s="35" t="n">
        <x:v>22</x:v>
      </x:c>
      <x:c r="C778" s="35" t="str">
        <x:v>Male</x:v>
      </x:c>
      <x:c r="D778" s="35" t="str">
        <x:v>Operations</x:v>
      </x:c>
      <x:c r="E778" s="35" t="str">
        <x:v>Operations Specialist</x:v>
      </x:c>
      <x:c r="F778" s="35" t="str">
        <x:v>Life Sciences</x:v>
      </x:c>
      <x:c r="G778" s="35" t="str">
        <x:v>Married</x:v>
      </x:c>
      <x:c r="H778" s="35" t="n">
        <x:v>1</x:v>
      </x:c>
      <x:c r="I778" s="36" t="n">
        <x:v>6460</x:v>
      </x:c>
      <x:c r="J778" s="35" t="n">
        <x:v>1</x:v>
      </x:c>
      <x:c r="K778" s="35" t="n">
        <x:v>1</x:v>
      </x:c>
      <x:c r="L778" s="35" t="n">
        <x:v>1</x:v>
      </x:c>
      <x:c r="M778" s="35" t="n">
        <x:v>10</x:v>
      </x:c>
      <x:c r="N778" s="35" t="str">
        <x:v>No</x:v>
      </x:c>
      <x:c r="O778" s="35" t="n">
        <x:v>3</x:v>
      </x:c>
      <x:c r="P778" s="35" t="n">
        <x:v>4</x:v>
      </x:c>
      <x:c r="Q778" s="35" t="n">
        <x:v>3</x:v>
      </x:c>
      <x:c r="R778" s="35" t="n">
        <x:v>3</x:v>
      </x:c>
      <x:c r="S778" s="35" t="n">
        <x:v>3</x:v>
      </x:c>
      <x:c r="T778" s="35" t="n">
        <x:v>0</x:v>
      </x:c>
      <x:c r="U778" s="35" t="n">
        <x:v>1</x:v>
      </x:c>
      <x:c r="V778" s="35" t="n">
        <x:v>2</x:v>
      </x:c>
      <x:c r="W778" s="35" t="n">
        <x:v>5</x:v>
      </x:c>
      <x:c r="X778" s="35" t="n">
        <x:v>66</x:v>
      </x:c>
      <x:c r="Y778" s="35" t="n">
        <x:v>4</x:v>
      </x:c>
      <x:c r="Z778" s="35" t="n">
        <x:v>100</x:v>
      </x:c>
      <x:c r="AA778" s="35" t="n">
        <x:v>6</x:v>
      </x:c>
      <x:c r="AB778" s="35" t="n">
        <x:v>4</x:v>
      </x:c>
      <x:c r="AC778" s="35" t="n">
        <x:v>3</x:v>
      </x:c>
      <x:c r="AD778" s="35" t="n">
        <x:v>65</x:v>
      </x:c>
      <x:c r="AE778" s="35" t="n">
        <x:v>82</x:v>
      </x:c>
      <x:c r="AF778" s="35" t="n">
        <x:v>60</x:v>
      </x:c>
      <x:c r="AG778" s="35" t="n">
        <x:v>100</x:v>
      </x:c>
      <x:c r="AH778" s="35" t="n">
        <x:v>9</x:v>
      </x:c>
      <x:c r="AI778" s="37" t="n">
        <x:v>95</x:v>
      </x:c>
      <x:c r="AJ778" s="37" t="n">
        <x:v>90.9</x:v>
      </x:c>
      <x:c r="AK778" s="35" t="str">
        <x:v>No</x:v>
      </x:c>
      <x:c r="AL778" s="38" t="n">
        <x:f>IF(AA778=0,0,AB778/AA778)</x:f>
        <x:v>0.6666666666666666</x:v>
      </x:c>
      <x:c r="AM778" s="38" t="n">
        <x:f>IF(AB778=0,0,AC778/AB778)</x:f>
        <x:v>0.75</x:v>
      </x:c>
      <x:c r="AN778" s="37" t="n">
        <x:f>ROUND((AD778*0.20+AE778*0.20+AF778*0.25+AG778*0.15+MIN(100,AC778*12)*0.20),1)</x:f>
        <x:v>66.6</x:v>
      </x:c>
      <x:c r="AO778" s="37" t="n">
        <x:f>ROUND(MAX(0,MIN(100,(X778*0.35)+(W778/45*100*0.20)+((5-O778)/4*100*0.15)+((5-P778)/4*100*0.10)+((6-Y778)/5*100*0.10)+((100-Z778)*0.10))),1)</x:f>
        <x:v>39.3</x:v>
      </x:c>
      <x:c r="AP778" s="37" t="str">
        <x:f>IF(AO778&gt;=70,"High",IF(AO778&gt;=40,"Moderate","Low"))</x:f>
        <x:v>Low</x:v>
      </x:c>
      <x:c r="AQ778" s="37" t="n">
        <x:f>ROUND(MAX(0,MIN(100,(O778/4*100*0.25)+(P778/4*100*0.20)+(Q778/4*100*0.15)+(Y778/5*100*0.20)+(100-AO778)*0.20)),1)</x:f>
        <x:v>78.1</x:v>
      </x:c>
      <x:c r="AR778" s="37" t="n">
        <x:f>ROUND((AI778*0.20+AJ778*0.15+AN778*0.18+AG778*0.12+Z778*0.15+AQ778*0.20),1)</x:f>
        <x:v>87.2</x:v>
      </x:c>
      <x:c r="AS778" s="39" t="n">
        <x:f>ROUND((AC778*AF778*120)+(AH778*350)+(MAX(0,AI778-75)*220)+(MAX(0,AQ778-60)*100),0)</x:f>
        <x:v>30960</x:v>
      </x:c>
    </x:row>
    <x:row r="779">
      <x:c r="A779" s="35" t="n">
        <x:v>778</x:v>
      </x:c>
      <x:c r="B779" s="35" t="n">
        <x:v>40</x:v>
      </x:c>
      <x:c r="C779" s="35" t="str">
        <x:v>Female</x:v>
      </x:c>
      <x:c r="D779" s="35" t="str">
        <x:v>Operations</x:v>
      </x:c>
      <x:c r="E779" s="35" t="str">
        <x:v>Quality Specialist</x:v>
      </x:c>
      <x:c r="F779" s="35" t="str">
        <x:v>Life Sciences</x:v>
      </x:c>
      <x:c r="G779" s="35" t="str">
        <x:v>Married</x:v>
      </x:c>
      <x:c r="H779" s="35" t="n">
        <x:v>3</x:v>
      </x:c>
      <x:c r="I779" s="36" t="n">
        <x:v>10820</x:v>
      </x:c>
      <x:c r="J779" s="35" t="n">
        <x:v>11</x:v>
      </x:c>
      <x:c r="K779" s="35" t="n">
        <x:v>5</x:v>
      </x:c>
      <x:c r="L779" s="35" t="n">
        <x:v>2</x:v>
      </x:c>
      <x:c r="M779" s="35" t="n">
        <x:v>5</x:v>
      </x:c>
      <x:c r="N779" s="35" t="str">
        <x:v>Yes</x:v>
      </x:c>
      <x:c r="O779" s="35" t="n">
        <x:v>2</x:v>
      </x:c>
      <x:c r="P779" s="35" t="n">
        <x:v>3</x:v>
      </x:c>
      <x:c r="Q779" s="35" t="n">
        <x:v>3</x:v>
      </x:c>
      <x:c r="R779" s="35" t="n">
        <x:v>3</x:v>
      </x:c>
      <x:c r="S779" s="35" t="n">
        <x:v>4</x:v>
      </x:c>
      <x:c r="T779" s="35" t="n">
        <x:v>1</x:v>
      </x:c>
      <x:c r="U779" s="35" t="n">
        <x:v>0</x:v>
      </x:c>
      <x:c r="V779" s="35" t="n">
        <x:v>11</x:v>
      </x:c>
      <x:c r="W779" s="35" t="n">
        <x:v>14</x:v>
      </x:c>
      <x:c r="X779" s="35" t="n">
        <x:v>64</x:v>
      </x:c>
      <x:c r="Y779" s="35" t="n">
        <x:v>5</x:v>
      </x:c>
      <x:c r="Z779" s="35" t="n">
        <x:v>100</x:v>
      </x:c>
      <x:c r="AA779" s="35" t="n">
        <x:v>14</x:v>
      </x:c>
      <x:c r="AB779" s="35" t="n">
        <x:v>11</x:v>
      </x:c>
      <x:c r="AC779" s="35" t="n">
        <x:v>9</x:v>
      </x:c>
      <x:c r="AD779" s="35" t="n">
        <x:v>86</x:v>
      </x:c>
      <x:c r="AE779" s="35" t="n">
        <x:v>94</x:v>
      </x:c>
      <x:c r="AF779" s="35" t="n">
        <x:v>95</x:v>
      </x:c>
      <x:c r="AG779" s="35" t="n">
        <x:v>92</x:v>
      </x:c>
      <x:c r="AH779" s="35" t="n">
        <x:v>12</x:v>
      </x:c>
      <x:c r="AI779" s="37" t="n">
        <x:v>92</x:v>
      </x:c>
      <x:c r="AJ779" s="37" t="n">
        <x:v>91.7</x:v>
      </x:c>
      <x:c r="AK779" s="35" t="str">
        <x:v>No</x:v>
      </x:c>
      <x:c r="AL779" s="38" t="n">
        <x:f>IF(AA779=0,0,AB779/AA779)</x:f>
        <x:v>0.7857142857142857</x:v>
      </x:c>
      <x:c r="AM779" s="38" t="n">
        <x:f>IF(AB779=0,0,AC779/AB779)</x:f>
        <x:v>0.8181818181818182</x:v>
      </x:c>
      <x:c r="AN779" s="37" t="n">
        <x:f>ROUND((AD779*0.20+AE779*0.20+AF779*0.25+AG779*0.15+MIN(100,AC779*12)*0.20),1)</x:f>
        <x:v>93.6</x:v>
      </x:c>
      <x:c r="AO779" s="37" t="n">
        <x:f>ROUND(MAX(0,MIN(100,(X779*0.35)+(W779/45*100*0.20)+((5-O779)/4*100*0.15)+((5-P779)/4*100*0.10)+((6-Y779)/5*100*0.10)+((100-Z779)*0.10))),1)</x:f>
        <x:v>46.9</x:v>
      </x:c>
      <x:c r="AP779" s="37" t="str">
        <x:f>IF(AO779&gt;=70,"High",IF(AO779&gt;=40,"Moderate","Low"))</x:f>
        <x:v>Moderate</x:v>
      </x:c>
      <x:c r="AQ779" s="37" t="n">
        <x:f>ROUND(MAX(0,MIN(100,(O779/4*100*0.25)+(P779/4*100*0.20)+(Q779/4*100*0.15)+(Y779/5*100*0.20)+(100-AO779)*0.20)),1)</x:f>
        <x:v>69.4</x:v>
      </x:c>
      <x:c r="AR779" s="37" t="n">
        <x:f>ROUND((AI779*0.20+AJ779*0.15+AN779*0.18+AG779*0.12+Z779*0.15+AQ779*0.20),1)</x:f>
        <x:v>88.9</x:v>
      </x:c>
      <x:c r="AS779" s="39" t="n">
        <x:f>ROUND((AC779*AF779*120)+(AH779*350)+(MAX(0,AI779-75)*220)+(MAX(0,AQ779-60)*100),0)</x:f>
        <x:v>111480</x:v>
      </x:c>
    </x:row>
    <x:row r="780">
      <x:c r="A780" s="35" t="n">
        <x:v>779</x:v>
      </x:c>
      <x:c r="B780" s="35" t="n">
        <x:v>35</x:v>
      </x:c>
      <x:c r="C780" s="35" t="str">
        <x:v>Female</x:v>
      </x:c>
      <x:c r="D780" s="35" t="str">
        <x:v>Human Resources</x:v>
      </x:c>
      <x:c r="E780" s="35" t="str">
        <x:v>HR Specialist</x:v>
      </x:c>
      <x:c r="F780" s="35" t="str">
        <x:v>Computer Science</x:v>
      </x:c>
      <x:c r="G780" s="35" t="str">
        <x:v>Married</x:v>
      </x:c>
      <x:c r="H780" s="35" t="n">
        <x:v>2</x:v>
      </x:c>
      <x:c r="I780" s="36" t="n">
        <x:v>8770</x:v>
      </x:c>
      <x:c r="J780" s="35" t="n">
        <x:v>9</x:v>
      </x:c>
      <x:c r="K780" s="35" t="n">
        <x:v>8</x:v>
      </x:c>
      <x:c r="L780" s="35" t="n">
        <x:v>3</x:v>
      </x:c>
      <x:c r="M780" s="35" t="n">
        <x:v>1</x:v>
      </x:c>
      <x:c r="N780" s="35" t="str">
        <x:v>Yes</x:v>
      </x:c>
      <x:c r="O780" s="35" t="n">
        <x:v>1</x:v>
      </x:c>
      <x:c r="P780" s="35" t="n">
        <x:v>3</x:v>
      </x:c>
      <x:c r="Q780" s="35" t="n">
        <x:v>2</x:v>
      </x:c>
      <x:c r="R780" s="35" t="n">
        <x:v>3</x:v>
      </x:c>
      <x:c r="S780" s="35" t="n">
        <x:v>3</x:v>
      </x:c>
      <x:c r="T780" s="35" t="n">
        <x:v>4</x:v>
      </x:c>
      <x:c r="U780" s="35" t="n">
        <x:v>3</x:v>
      </x:c>
      <x:c r="V780" s="35" t="n">
        <x:v>11</x:v>
      </x:c>
      <x:c r="W780" s="35" t="n">
        <x:v>32</x:v>
      </x:c>
      <x:c r="X780" s="35" t="n">
        <x:v>82</x:v>
      </x:c>
      <x:c r="Y780" s="35" t="n">
        <x:v>3</x:v>
      </x:c>
      <x:c r="Z780" s="35" t="n">
        <x:v>87</x:v>
      </x:c>
      <x:c r="AA780" s="35" t="n">
        <x:v>6</x:v>
      </x:c>
      <x:c r="AB780" s="35" t="n">
        <x:v>3</x:v>
      </x:c>
      <x:c r="AC780" s="35" t="n">
        <x:v>3</x:v>
      </x:c>
      <x:c r="AD780" s="35" t="n">
        <x:v>87</x:v>
      </x:c>
      <x:c r="AE780" s="35" t="n">
        <x:v>87</x:v>
      </x:c>
      <x:c r="AF780" s="35" t="n">
        <x:v>70</x:v>
      </x:c>
      <x:c r="AG780" s="35" t="n">
        <x:v>87</x:v>
      </x:c>
      <x:c r="AH780" s="35" t="n">
        <x:v>7</x:v>
      </x:c>
      <x:c r="AI780" s="37" t="n">
        <x:v>92.7</x:v>
      </x:c>
      <x:c r="AJ780" s="37" t="n">
        <x:v>95.3</x:v>
      </x:c>
      <x:c r="AK780" s="35" t="str">
        <x:v>No</x:v>
      </x:c>
      <x:c r="AL780" s="38" t="n">
        <x:f>IF(AA780=0,0,AB780/AA780)</x:f>
        <x:v>0.5</x:v>
      </x:c>
      <x:c r="AM780" s="38" t="n">
        <x:f>IF(AB780=0,0,AC780/AB780)</x:f>
        <x:v>1</x:v>
      </x:c>
      <x:c r="AN780" s="37" t="n">
        <x:f>ROUND((AD780*0.20+AE780*0.20+AF780*0.25+AG780*0.15+MIN(100,AC780*12)*0.20),1)</x:f>
        <x:v>72.6</x:v>
      </x:c>
      <x:c r="AO780" s="37" t="n">
        <x:f>ROUND(MAX(0,MIN(100,(X780*0.35)+(W780/45*100*0.20)+((5-O780)/4*100*0.15)+((5-P780)/4*100*0.10)+((6-Y780)/5*100*0.10)+((100-Z780)*0.10))),1)</x:f>
        <x:v>70.2</x:v>
      </x:c>
      <x:c r="AP780" s="37" t="str">
        <x:f>IF(AO780&gt;=70,"High",IF(AO780&gt;=40,"Moderate","Low"))</x:f>
        <x:v>High</x:v>
      </x:c>
      <x:c r="AQ780" s="37" t="n">
        <x:f>ROUND(MAX(0,MIN(100,(O780/4*100*0.25)+(P780/4*100*0.20)+(Q780/4*100*0.15)+(Y780/5*100*0.20)+(100-AO780)*0.20)),1)</x:f>
        <x:v>46.7</x:v>
      </x:c>
      <x:c r="AR780" s="37" t="n">
        <x:f>ROUND((AI780*0.20+AJ780*0.15+AN780*0.18+AG780*0.12+Z780*0.15+AQ780*0.20),1)</x:f>
        <x:v>78.7</x:v>
      </x:c>
      <x:c r="AS780" s="39" t="n">
        <x:f>ROUND((AC780*AF780*120)+(AH780*350)+(MAX(0,AI780-75)*220)+(MAX(0,AQ780-60)*100),0)</x:f>
        <x:v>31544</x:v>
      </x:c>
    </x:row>
    <x:row r="781">
      <x:c r="A781" s="35" t="n">
        <x:v>780</x:v>
      </x:c>
      <x:c r="B781" s="35" t="n">
        <x:v>38</x:v>
      </x:c>
      <x:c r="C781" s="35" t="str">
        <x:v>Male</x:v>
      </x:c>
      <x:c r="D781" s="35" t="str">
        <x:v>Information Technology</x:v>
      </x:c>
      <x:c r="E781" s="35" t="str">
        <x:v>Software Engineer</x:v>
      </x:c>
      <x:c r="F781" s="35" t="str">
        <x:v>Computer Science</x:v>
      </x:c>
      <x:c r="G781" s="35" t="str">
        <x:v>Married</x:v>
      </x:c>
      <x:c r="H781" s="35" t="n">
        <x:v>1</x:v>
      </x:c>
      <x:c r="I781" s="36" t="n">
        <x:v>4000</x:v>
      </x:c>
      <x:c r="J781" s="35" t="n">
        <x:v>14</x:v>
      </x:c>
      <x:c r="K781" s="35" t="n">
        <x:v>7</x:v>
      </x:c>
      <x:c r="L781" s="35" t="n">
        <x:v>3</x:v>
      </x:c>
      <x:c r="M781" s="35" t="n">
        <x:v>15</x:v>
      </x:c>
      <x:c r="N781" s="35" t="str">
        <x:v>No</x:v>
      </x:c>
      <x:c r="O781" s="35" t="n">
        <x:v>3</x:v>
      </x:c>
      <x:c r="P781" s="35" t="n">
        <x:v>3</x:v>
      </x:c>
      <x:c r="Q781" s="35" t="n">
        <x:v>2</x:v>
      </x:c>
      <x:c r="R781" s="35" t="n">
        <x:v>4</x:v>
      </x:c>
      <x:c r="S781" s="35" t="n">
        <x:v>3</x:v>
      </x:c>
      <x:c r="T781" s="35" t="n">
        <x:v>6</x:v>
      </x:c>
      <x:c r="U781" s="35" t="n">
        <x:v>1</x:v>
      </x:c>
      <x:c r="V781" s="35" t="n">
        <x:v>6</x:v>
      </x:c>
      <x:c r="W781" s="35" t="n">
        <x:v>2</x:v>
      </x:c>
      <x:c r="X781" s="35" t="n">
        <x:v>74</x:v>
      </x:c>
      <x:c r="Y781" s="35" t="n">
        <x:v>4</x:v>
      </x:c>
      <x:c r="Z781" s="35" t="n">
        <x:v>100</x:v>
      </x:c>
      <x:c r="AA781" s="35" t="n">
        <x:v>13</x:v>
      </x:c>
      <x:c r="AB781" s="35" t="n">
        <x:v>11</x:v>
      </x:c>
      <x:c r="AC781" s="35" t="n">
        <x:v>8</x:v>
      </x:c>
      <x:c r="AD781" s="35" t="n">
        <x:v>93</x:v>
      </x:c>
      <x:c r="AE781" s="35" t="n">
        <x:v>81</x:v>
      </x:c>
      <x:c r="AF781" s="35" t="n">
        <x:v>74</x:v>
      </x:c>
      <x:c r="AG781" s="35" t="n">
        <x:v>78</x:v>
      </x:c>
      <x:c r="AH781" s="35" t="n">
        <x:v>10</x:v>
      </x:c>
      <x:c r="AI781" s="37" t="n">
        <x:v>90</x:v>
      </x:c>
      <x:c r="AJ781" s="37" t="n">
        <x:v>88.2</x:v>
      </x:c>
      <x:c r="AK781" s="35" t="str">
        <x:v>No</x:v>
      </x:c>
      <x:c r="AL781" s="38" t="n">
        <x:f>IF(AA781=0,0,AB781/AA781)</x:f>
        <x:v>0.8461538461538461</x:v>
      </x:c>
      <x:c r="AM781" s="38" t="n">
        <x:f>IF(AB781=0,0,AC781/AB781)</x:f>
        <x:v>0.7272727272727273</x:v>
      </x:c>
      <x:c r="AN781" s="37" t="n">
        <x:f>ROUND((AD781*0.20+AE781*0.20+AF781*0.25+AG781*0.15+MIN(100,AC781*12)*0.20),1)</x:f>
        <x:v>84.2</x:v>
      </x:c>
      <x:c r="AO781" s="37" t="n">
        <x:f>ROUND(MAX(0,MIN(100,(X781*0.35)+(W781/45*100*0.20)+((5-O781)/4*100*0.15)+((5-P781)/4*100*0.10)+((6-Y781)/5*100*0.10)+((100-Z781)*0.10))),1)</x:f>
        <x:v>43.3</x:v>
      </x:c>
      <x:c r="AP781" s="37" t="str">
        <x:f>IF(AO781&gt;=70,"High",IF(AO781&gt;=40,"Moderate","Low"))</x:f>
        <x:v>Moderate</x:v>
      </x:c>
      <x:c r="AQ781" s="37" t="n">
        <x:f>ROUND(MAX(0,MIN(100,(O781/4*100*0.25)+(P781/4*100*0.20)+(Q781/4*100*0.15)+(Y781/5*100*0.20)+(100-AO781)*0.20)),1)</x:f>
        <x:v>68.6</x:v>
      </x:c>
      <x:c r="AR781" s="37" t="n">
        <x:f>ROUND((AI781*0.20+AJ781*0.15+AN781*0.18+AG781*0.12+Z781*0.15+AQ781*0.20),1)</x:f>
        <x:v>84.5</x:v>
      </x:c>
      <x:c r="AS781" s="39" t="n">
        <x:f>ROUND((AC781*AF781*120)+(AH781*350)+(MAX(0,AI781-75)*220)+(MAX(0,AQ781-60)*100),0)</x:f>
        <x:v>78700</x:v>
      </x:c>
    </x:row>
    <x:row r="782">
      <x:c r="A782" s="35" t="n">
        <x:v>781</x:v>
      </x:c>
      <x:c r="B782" s="35" t="n">
        <x:v>41</x:v>
      </x:c>
      <x:c r="C782" s="35" t="str">
        <x:v>Male</x:v>
      </x:c>
      <x:c r="D782" s="35" t="str">
        <x:v>Research &amp; Development</x:v>
      </x:c>
      <x:c r="E782" s="35" t="str">
        <x:v>Laboratory Technician</x:v>
      </x:c>
      <x:c r="F782" s="35" t="str">
        <x:v>Business</x:v>
      </x:c>
      <x:c r="G782" s="35" t="str">
        <x:v>Single</x:v>
      </x:c>
      <x:c r="H782" s="35" t="n">
        <x:v>2</x:v>
      </x:c>
      <x:c r="I782" s="36" t="n">
        <x:v>8480</x:v>
      </x:c>
      <x:c r="J782" s="35" t="n">
        <x:v>13</x:v>
      </x:c>
      <x:c r="K782" s="35" t="n">
        <x:v>5</x:v>
      </x:c>
      <x:c r="L782" s="35" t="n">
        <x:v>2</x:v>
      </x:c>
      <x:c r="M782" s="35" t="n">
        <x:v>7</x:v>
      </x:c>
      <x:c r="N782" s="35" t="str">
        <x:v>No</x:v>
      </x:c>
      <x:c r="O782" s="35" t="n">
        <x:v>2</x:v>
      </x:c>
      <x:c r="P782" s="35" t="n">
        <x:v>3</x:v>
      </x:c>
      <x:c r="Q782" s="35" t="n">
        <x:v>3</x:v>
      </x:c>
      <x:c r="R782" s="35" t="n">
        <x:v>3</x:v>
      </x:c>
      <x:c r="S782" s="35" t="n">
        <x:v>4</x:v>
      </x:c>
      <x:c r="T782" s="35" t="n">
        <x:v>2</x:v>
      </x:c>
      <x:c r="U782" s="35" t="n">
        <x:v>0</x:v>
      </x:c>
      <x:c r="V782" s="35" t="n">
        <x:v>2</x:v>
      </x:c>
      <x:c r="W782" s="35" t="n">
        <x:v>0</x:v>
      </x:c>
      <x:c r="X782" s="35" t="n">
        <x:v>82</x:v>
      </x:c>
      <x:c r="Y782" s="35" t="n">
        <x:v>4</x:v>
      </x:c>
      <x:c r="Z782" s="35" t="n">
        <x:v>100</x:v>
      </x:c>
      <x:c r="AA782" s="35" t="n">
        <x:v>6</x:v>
      </x:c>
      <x:c r="AB782" s="35" t="n">
        <x:v>3</x:v>
      </x:c>
      <x:c r="AC782" s="35" t="n">
        <x:v>3</x:v>
      </x:c>
      <x:c r="AD782" s="35" t="n">
        <x:v>71</x:v>
      </x:c>
      <x:c r="AE782" s="35" t="n">
        <x:v>100</x:v>
      </x:c>
      <x:c r="AF782" s="35" t="n">
        <x:v>72</x:v>
      </x:c>
      <x:c r="AG782" s="35" t="n">
        <x:v>81</x:v>
      </x:c>
      <x:c r="AH782" s="35" t="n">
        <x:v>10</x:v>
      </x:c>
      <x:c r="AI782" s="37" t="n">
        <x:v>100</x:v>
      </x:c>
      <x:c r="AJ782" s="37" t="n">
        <x:v>100</x:v>
      </x:c>
      <x:c r="AK782" s="35" t="str">
        <x:v>No</x:v>
      </x:c>
      <x:c r="AL782" s="38" t="n">
        <x:f>IF(AA782=0,0,AB782/AA782)</x:f>
        <x:v>0.5</x:v>
      </x:c>
      <x:c r="AM782" s="38" t="n">
        <x:f>IF(AB782=0,0,AC782/AB782)</x:f>
        <x:v>1</x:v>
      </x:c>
      <x:c r="AN782" s="37" t="n">
        <x:f>ROUND((AD782*0.20+AE782*0.20+AF782*0.25+AG782*0.15+MIN(100,AC782*12)*0.20),1)</x:f>
        <x:v>71.6</x:v>
      </x:c>
      <x:c r="AO782" s="37" t="n">
        <x:f>ROUND(MAX(0,MIN(100,(X782*0.35)+(W782/45*100*0.20)+((5-O782)/4*100*0.15)+((5-P782)/4*100*0.10)+((6-Y782)/5*100*0.10)+((100-Z782)*0.10))),1)</x:f>
        <x:v>49</x:v>
      </x:c>
      <x:c r="AP782" s="37" t="str">
        <x:f>IF(AO782&gt;=70,"High",IF(AO782&gt;=40,"Moderate","Low"))</x:f>
        <x:v>Moderate</x:v>
      </x:c>
      <x:c r="AQ782" s="37" t="n">
        <x:f>ROUND(MAX(0,MIN(100,(O782/4*100*0.25)+(P782/4*100*0.20)+(Q782/4*100*0.15)+(Y782/5*100*0.20)+(100-AO782)*0.20)),1)</x:f>
        <x:v>65</x:v>
      </x:c>
      <x:c r="AR782" s="37" t="n">
        <x:f>ROUND((AI782*0.20+AJ782*0.15+AN782*0.18+AG782*0.12+Z782*0.15+AQ782*0.20),1)</x:f>
        <x:v>85.6</x:v>
      </x:c>
      <x:c r="AS782" s="39" t="n">
        <x:f>ROUND((AC782*AF782*120)+(AH782*350)+(MAX(0,AI782-75)*220)+(MAX(0,AQ782-60)*100),0)</x:f>
        <x:v>35420</x:v>
      </x:c>
    </x:row>
    <x:row r="783">
      <x:c r="A783" s="35" t="n">
        <x:v>782</x:v>
      </x:c>
      <x:c r="B783" s="35" t="n">
        <x:v>46</x:v>
      </x:c>
      <x:c r="C783" s="35" t="str">
        <x:v>Female</x:v>
      </x:c>
      <x:c r="D783" s="35" t="str">
        <x:v>Finance</x:v>
      </x:c>
      <x:c r="E783" s="35" t="str">
        <x:v>Financial Analyst</x:v>
      </x:c>
      <x:c r="F783" s="35" t="str">
        <x:v>Medical</x:v>
      </x:c>
      <x:c r="G783" s="35" t="str">
        <x:v>Married</x:v>
      </x:c>
      <x:c r="H783" s="35" t="n">
        <x:v>3</x:v>
      </x:c>
      <x:c r="I783" s="36" t="n">
        <x:v>16620</x:v>
      </x:c>
      <x:c r="J783" s="35" t="n">
        <x:v>14</x:v>
      </x:c>
      <x:c r="K783" s="35" t="n">
        <x:v>9</x:v>
      </x:c>
      <x:c r="L783" s="35" t="n">
        <x:v>7</x:v>
      </x:c>
      <x:c r="M783" s="35" t="n">
        <x:v>9</x:v>
      </x:c>
      <x:c r="N783" s="35" t="str">
        <x:v>No</x:v>
      </x:c>
      <x:c r="O783" s="35" t="n">
        <x:v>2</x:v>
      </x:c>
      <x:c r="P783" s="35" t="n">
        <x:v>2</x:v>
      </x:c>
      <x:c r="Q783" s="35" t="n">
        <x:v>3</x:v>
      </x:c>
      <x:c r="R783" s="35" t="n">
        <x:v>2</x:v>
      </x:c>
      <x:c r="S783" s="35" t="n">
        <x:v>3</x:v>
      </x:c>
      <x:c r="T783" s="35" t="n">
        <x:v>6</x:v>
      </x:c>
      <x:c r="U783" s="35" t="n">
        <x:v>1</x:v>
      </x:c>
      <x:c r="V783" s="35" t="n">
        <x:v>5</x:v>
      </x:c>
      <x:c r="W783" s="35" t="n">
        <x:v>2</x:v>
      </x:c>
      <x:c r="X783" s="35" t="n">
        <x:v>38</x:v>
      </x:c>
      <x:c r="Y783" s="35" t="n">
        <x:v>5</x:v>
      </x:c>
      <x:c r="Z783" s="35" t="n">
        <x:v>100</x:v>
      </x:c>
      <x:c r="AA783" s="35" t="n">
        <x:v>3</x:v>
      </x:c>
      <x:c r="AB783" s="35" t="n">
        <x:v>3</x:v>
      </x:c>
      <x:c r="AC783" s="35" t="n">
        <x:v>1</x:v>
      </x:c>
      <x:c r="AD783" s="35" t="n">
        <x:v>63</x:v>
      </x:c>
      <x:c r="AE783" s="35" t="n">
        <x:v>85</x:v>
      </x:c>
      <x:c r="AF783" s="35" t="n">
        <x:v>55</x:v>
      </x:c>
      <x:c r="AG783" s="35" t="n">
        <x:v>89</x:v>
      </x:c>
      <x:c r="AH783" s="35" t="n">
        <x:v>2</x:v>
      </x:c>
      <x:c r="AI783" s="37" t="n">
        <x:v>95.8</x:v>
      </x:c>
      <x:c r="AJ783" s="37" t="n">
        <x:v>90.5</x:v>
      </x:c>
      <x:c r="AK783" s="35" t="str">
        <x:v>No</x:v>
      </x:c>
      <x:c r="AL783" s="38" t="n">
        <x:f>IF(AA783=0,0,AB783/AA783)</x:f>
        <x:v>1</x:v>
      </x:c>
      <x:c r="AM783" s="38" t="n">
        <x:f>IF(AB783=0,0,AC783/AB783)</x:f>
        <x:v>0.3333333333333333</x:v>
      </x:c>
      <x:c r="AN783" s="37" t="n">
        <x:f>ROUND((AD783*0.20+AE783*0.20+AF783*0.25+AG783*0.15+MIN(100,AC783*12)*0.20),1)</x:f>
        <x:v>59.1</x:v>
      </x:c>
      <x:c r="AO783" s="37" t="n">
        <x:f>ROUND(MAX(0,MIN(100,(X783*0.35)+(W783/45*100*0.20)+((5-O783)/4*100*0.15)+((5-P783)/4*100*0.10)+((6-Y783)/5*100*0.10)+((100-Z783)*0.10))),1)</x:f>
        <x:v>34.9</x:v>
      </x:c>
      <x:c r="AP783" s="37" t="str">
        <x:f>IF(AO783&gt;=70,"High",IF(AO783&gt;=40,"Moderate","Low"))</x:f>
        <x:v>Low</x:v>
      </x:c>
      <x:c r="AQ783" s="37" t="n">
        <x:f>ROUND(MAX(0,MIN(100,(O783/4*100*0.25)+(P783/4*100*0.20)+(Q783/4*100*0.15)+(Y783/5*100*0.20)+(100-AO783)*0.20)),1)</x:f>
        <x:v>66.8</x:v>
      </x:c>
      <x:c r="AR783" s="37" t="n">
        <x:f>ROUND((AI783*0.20+AJ783*0.15+AN783*0.18+AG783*0.12+Z783*0.15+AQ783*0.20),1)</x:f>
        <x:v>82.4</x:v>
      </x:c>
      <x:c r="AS783" s="39" t="n">
        <x:f>ROUND((AC783*AF783*120)+(AH783*350)+(MAX(0,AI783-75)*220)+(MAX(0,AQ783-60)*100),0)</x:f>
        <x:v>12556</x:v>
      </x:c>
    </x:row>
    <x:row r="784">
      <x:c r="A784" s="35" t="n">
        <x:v>783</x:v>
      </x:c>
      <x:c r="B784" s="35" t="n">
        <x:v>32</x:v>
      </x:c>
      <x:c r="C784" s="35" t="str">
        <x:v>Female</x:v>
      </x:c>
      <x:c r="D784" s="35" t="str">
        <x:v>Information Technology</x:v>
      </x:c>
      <x:c r="E784" s="35" t="str">
        <x:v>Software Engineer</x:v>
      </x:c>
      <x:c r="F784" s="35" t="str">
        <x:v>Human Resources</x:v>
      </x:c>
      <x:c r="G784" s="35" t="str">
        <x:v>Divorced</x:v>
      </x:c>
      <x:c r="H784" s="35" t="n">
        <x:v>2</x:v>
      </x:c>
      <x:c r="I784" s="36" t="n">
        <x:v>9280</x:v>
      </x:c>
      <x:c r="J784" s="35" t="n">
        <x:v>9</x:v>
      </x:c>
      <x:c r="K784" s="35" t="n">
        <x:v>8</x:v>
      </x:c>
      <x:c r="L784" s="35" t="n">
        <x:v>5</x:v>
      </x:c>
      <x:c r="M784" s="35" t="n">
        <x:v>11</x:v>
      </x:c>
      <x:c r="N784" s="35" t="str">
        <x:v>No</x:v>
      </x:c>
      <x:c r="O784" s="35" t="n">
        <x:v>2</x:v>
      </x:c>
      <x:c r="P784" s="35" t="n">
        <x:v>4</x:v>
      </x:c>
      <x:c r="Q784" s="35" t="n">
        <x:v>2</x:v>
      </x:c>
      <x:c r="R784" s="35" t="n">
        <x:v>3</x:v>
      </x:c>
      <x:c r="S784" s="35" t="n">
        <x:v>3</x:v>
      </x:c>
      <x:c r="T784" s="35" t="n">
        <x:v>2</x:v>
      </x:c>
      <x:c r="U784" s="35" t="n">
        <x:v>0</x:v>
      </x:c>
      <x:c r="V784" s="35" t="n">
        <x:v>8</x:v>
      </x:c>
      <x:c r="W784" s="35" t="n">
        <x:v>0</x:v>
      </x:c>
      <x:c r="X784" s="35" t="n">
        <x:v>61</x:v>
      </x:c>
      <x:c r="Y784" s="35" t="n">
        <x:v>5</x:v>
      </x:c>
      <x:c r="Z784" s="35" t="n">
        <x:v>100</x:v>
      </x:c>
      <x:c r="AA784" s="35" t="n">
        <x:v>7</x:v>
      </x:c>
      <x:c r="AB784" s="35" t="n">
        <x:v>6</x:v>
      </x:c>
      <x:c r="AC784" s="35" t="n">
        <x:v>5</x:v>
      </x:c>
      <x:c r="AD784" s="35" t="n">
        <x:v>82</x:v>
      </x:c>
      <x:c r="AE784" s="35" t="n">
        <x:v>83</x:v>
      </x:c>
      <x:c r="AF784" s="35" t="n">
        <x:v>81</x:v>
      </x:c>
      <x:c r="AG784" s="35" t="n">
        <x:v>91</x:v>
      </x:c>
      <x:c r="AH784" s="35" t="n">
        <x:v>10</x:v>
      </x:c>
      <x:c r="AI784" s="37" t="n">
        <x:v>94.3</x:v>
      </x:c>
      <x:c r="AJ784" s="37" t="n">
        <x:v>89.9</x:v>
      </x:c>
      <x:c r="AK784" s="35" t="str">
        <x:v>No</x:v>
      </x:c>
      <x:c r="AL784" s="38" t="n">
        <x:f>IF(AA784=0,0,AB784/AA784)</x:f>
        <x:v>0.8571428571428571</x:v>
      </x:c>
      <x:c r="AM784" s="38" t="n">
        <x:f>IF(AB784=0,0,AC784/AB784)</x:f>
        <x:v>0.8333333333333334</x:v>
      </x:c>
      <x:c r="AN784" s="37" t="n">
        <x:f>ROUND((AD784*0.20+AE784*0.20+AF784*0.25+AG784*0.15+MIN(100,AC784*12)*0.20),1)</x:f>
        <x:v>78.9</x:v>
      </x:c>
      <x:c r="AO784" s="37" t="n">
        <x:f>ROUND(MAX(0,MIN(100,(X784*0.35)+(W784/45*100*0.20)+((5-O784)/4*100*0.15)+((5-P784)/4*100*0.10)+((6-Y784)/5*100*0.10)+((100-Z784)*0.10))),1)</x:f>
        <x:v>37.1</x:v>
      </x:c>
      <x:c r="AP784" s="37" t="str">
        <x:f>IF(AO784&gt;=70,"High",IF(AO784&gt;=40,"Moderate","Low"))</x:f>
        <x:v>Low</x:v>
      </x:c>
      <x:c r="AQ784" s="37" t="n">
        <x:f>ROUND(MAX(0,MIN(100,(O784/4*100*0.25)+(P784/4*100*0.20)+(Q784/4*100*0.15)+(Y784/5*100*0.20)+(100-AO784)*0.20)),1)</x:f>
        <x:v>72.6</x:v>
      </x:c>
      <x:c r="AR784" s="37" t="n">
        <x:f>ROUND((AI784*0.20+AJ784*0.15+AN784*0.18+AG784*0.12+Z784*0.15+AQ784*0.20),1)</x:f>
        <x:v>87</x:v>
      </x:c>
      <x:c r="AS784" s="39" t="n">
        <x:f>ROUND((AC784*AF784*120)+(AH784*350)+(MAX(0,AI784-75)*220)+(MAX(0,AQ784-60)*100),0)</x:f>
        <x:v>57606</x:v>
      </x:c>
    </x:row>
    <x:row r="785">
      <x:c r="A785" s="35" t="n">
        <x:v>784</x:v>
      </x:c>
      <x:c r="B785" s="35" t="n">
        <x:v>26</x:v>
      </x:c>
      <x:c r="C785" s="35" t="str">
        <x:v>Female</x:v>
      </x:c>
      <x:c r="D785" s="35" t="str">
        <x:v>Research &amp; Development</x:v>
      </x:c>
      <x:c r="E785" s="35" t="str">
        <x:v>R&amp;D Manager</x:v>
      </x:c>
      <x:c r="F785" s="35" t="str">
        <x:v>Computer Science</x:v>
      </x:c>
      <x:c r="G785" s="35" t="str">
        <x:v>Married</x:v>
      </x:c>
      <x:c r="H785" s="35" t="n">
        <x:v>1</x:v>
      </x:c>
      <x:c r="I785" s="36" t="n">
        <x:v>5410</x:v>
      </x:c>
      <x:c r="J785" s="35" t="n">
        <x:v>3</x:v>
      </x:c>
      <x:c r="K785" s="35" t="n">
        <x:v>1</x:v>
      </x:c>
      <x:c r="L785" s="35" t="n">
        <x:v>0</x:v>
      </x:c>
      <x:c r="M785" s="35" t="n">
        <x:v>4</x:v>
      </x:c>
      <x:c r="N785" s="35" t="str">
        <x:v>No</x:v>
      </x:c>
      <x:c r="O785" s="35" t="n">
        <x:v>4</x:v>
      </x:c>
      <x:c r="P785" s="35" t="n">
        <x:v>3</x:v>
      </x:c>
      <x:c r="Q785" s="35" t="n">
        <x:v>2</x:v>
      </x:c>
      <x:c r="R785" s="35" t="n">
        <x:v>4</x:v>
      </x:c>
      <x:c r="S785" s="35" t="n">
        <x:v>3</x:v>
      </x:c>
      <x:c r="T785" s="35" t="n">
        <x:v>1</x:v>
      </x:c>
      <x:c r="U785" s="35" t="n">
        <x:v>0</x:v>
      </x:c>
      <x:c r="V785" s="35" t="n">
        <x:v>5</x:v>
      </x:c>
      <x:c r="W785" s="35" t="n">
        <x:v>0</x:v>
      </x:c>
      <x:c r="X785" s="35" t="n">
        <x:v>90</x:v>
      </x:c>
      <x:c r="Y785" s="35" t="n">
        <x:v>4</x:v>
      </x:c>
      <x:c r="Z785" s="35" t="n">
        <x:v>100</x:v>
      </x:c>
      <x:c r="AA785" s="35" t="n">
        <x:v>9</x:v>
      </x:c>
      <x:c r="AB785" s="35" t="n">
        <x:v>6</x:v>
      </x:c>
      <x:c r="AC785" s="35" t="n">
        <x:v>6</x:v>
      </x:c>
      <x:c r="AD785" s="35" t="n">
        <x:v>74</x:v>
      </x:c>
      <x:c r="AE785" s="35" t="n">
        <x:v>100</x:v>
      </x:c>
      <x:c r="AF785" s="35" t="n">
        <x:v>70</x:v>
      </x:c>
      <x:c r="AG785" s="35" t="n">
        <x:v>100</x:v>
      </x:c>
      <x:c r="AH785" s="35" t="n">
        <x:v>12</x:v>
      </x:c>
      <x:c r="AI785" s="37" t="n">
        <x:v>100</x:v>
      </x:c>
      <x:c r="AJ785" s="37" t="n">
        <x:v>98.5</x:v>
      </x:c>
      <x:c r="AK785" s="35" t="str">
        <x:v>No</x:v>
      </x:c>
      <x:c r="AL785" s="38" t="n">
        <x:f>IF(AA785=0,0,AB785/AA785)</x:f>
        <x:v>0.6666666666666666</x:v>
      </x:c>
      <x:c r="AM785" s="38" t="n">
        <x:f>IF(AB785=0,0,AC785/AB785)</x:f>
        <x:v>1</x:v>
      </x:c>
      <x:c r="AN785" s="37" t="n">
        <x:f>ROUND((AD785*0.20+AE785*0.20+AF785*0.25+AG785*0.15+MIN(100,AC785*12)*0.20),1)</x:f>
        <x:v>81.7</x:v>
      </x:c>
      <x:c r="AO785" s="37" t="n">
        <x:f>ROUND(MAX(0,MIN(100,(X785*0.35)+(W785/45*100*0.20)+((5-O785)/4*100*0.15)+((5-P785)/4*100*0.10)+((6-Y785)/5*100*0.10)+((100-Z785)*0.10))),1)</x:f>
        <x:v>44.3</x:v>
      </x:c>
      <x:c r="AP785" s="37" t="str">
        <x:f>IF(AO785&gt;=70,"High",IF(AO785&gt;=40,"Moderate","Low"))</x:f>
        <x:v>Moderate</x:v>
      </x:c>
      <x:c r="AQ785" s="37" t="n">
        <x:f>ROUND(MAX(0,MIN(100,(O785/4*100*0.25)+(P785/4*100*0.20)+(Q785/4*100*0.15)+(Y785/5*100*0.20)+(100-AO785)*0.20)),1)</x:f>
        <x:v>74.6</x:v>
      </x:c>
      <x:c r="AR785" s="37" t="n">
        <x:f>ROUND((AI785*0.20+AJ785*0.15+AN785*0.18+AG785*0.12+Z785*0.15+AQ785*0.20),1)</x:f>
        <x:v>91.4</x:v>
      </x:c>
      <x:c r="AS785" s="39" t="n">
        <x:f>ROUND((AC785*AF785*120)+(AH785*350)+(MAX(0,AI785-75)*220)+(MAX(0,AQ785-60)*100),0)</x:f>
        <x:v>61560</x:v>
      </x:c>
    </x:row>
    <x:row r="786">
      <x:c r="A786" s="35" t="n">
        <x:v>785</x:v>
      </x:c>
      <x:c r="B786" s="35" t="n">
        <x:v>37</x:v>
      </x:c>
      <x:c r="C786" s="35" t="str">
        <x:v>Male</x:v>
      </x:c>
      <x:c r="D786" s="35" t="str">
        <x:v>Information Technology</x:v>
      </x:c>
      <x:c r="E786" s="35" t="str">
        <x:v>IT Support</x:v>
      </x:c>
      <x:c r="F786" s="35" t="str">
        <x:v>Business</x:v>
      </x:c>
      <x:c r="G786" s="35" t="str">
        <x:v>Married</x:v>
      </x:c>
      <x:c r="H786" s="35" t="n">
        <x:v>2</x:v>
      </x:c>
      <x:c r="I786" s="36" t="n">
        <x:v>6870</x:v>
      </x:c>
      <x:c r="J786" s="35" t="n">
        <x:v>8</x:v>
      </x:c>
      <x:c r="K786" s="35" t="n">
        <x:v>6</x:v>
      </x:c>
      <x:c r="L786" s="35" t="n">
        <x:v>2</x:v>
      </x:c>
      <x:c r="M786" s="35" t="n">
        <x:v>2</x:v>
      </x:c>
      <x:c r="N786" s="35" t="str">
        <x:v>No</x:v>
      </x:c>
      <x:c r="O786" s="35" t="n">
        <x:v>3</x:v>
      </x:c>
      <x:c r="P786" s="35" t="n">
        <x:v>4</x:v>
      </x:c>
      <x:c r="Q786" s="35" t="n">
        <x:v>3</x:v>
      </x:c>
      <x:c r="R786" s="35" t="n">
        <x:v>3</x:v>
      </x:c>
      <x:c r="S786" s="35" t="n">
        <x:v>3</x:v>
      </x:c>
      <x:c r="T786" s="35" t="n">
        <x:v>5</x:v>
      </x:c>
      <x:c r="U786" s="35" t="n">
        <x:v>1</x:v>
      </x:c>
      <x:c r="V786" s="35" t="n">
        <x:v>0</x:v>
      </x:c>
      <x:c r="W786" s="35" t="n">
        <x:v>10</x:v>
      </x:c>
      <x:c r="X786" s="35" t="n">
        <x:v>73</x:v>
      </x:c>
      <x:c r="Y786" s="35" t="n">
        <x:v>3</x:v>
      </x:c>
      <x:c r="Z786" s="35" t="n">
        <x:v>100</x:v>
      </x:c>
      <x:c r="AA786" s="35" t="n">
        <x:v>1</x:v>
      </x:c>
      <x:c r="AB786" s="35" t="n">
        <x:v>0</x:v>
      </x:c>
      <x:c r="AC786" s="35" t="n">
        <x:v>0</x:v>
      </x:c>
      <x:c r="AD786" s="35" t="n">
        <x:v>76</x:v>
      </x:c>
      <x:c r="AE786" s="35" t="n">
        <x:v>67</x:v>
      </x:c>
      <x:c r="AF786" s="35" t="n">
        <x:v>55</x:v>
      </x:c>
      <x:c r="AG786" s="35" t="n">
        <x:v>72</x:v>
      </x:c>
      <x:c r="AH786" s="35" t="n">
        <x:v>1</x:v>
      </x:c>
      <x:c r="AI786" s="37" t="n">
        <x:v>100</x:v>
      </x:c>
      <x:c r="AJ786" s="37" t="n">
        <x:v>100</x:v>
      </x:c>
      <x:c r="AK786" s="35" t="str">
        <x:v>No</x:v>
      </x:c>
      <x:c r="AL786" s="38" t="n">
        <x:f>IF(AA786=0,0,AB786/AA786)</x:f>
        <x:v>0</x:v>
      </x:c>
      <x:c r="AM786" s="38" t="n">
        <x:f>IF(AB786=0,0,AC786/AB786)</x:f>
        <x:v>0</x:v>
      </x:c>
      <x:c r="AN786" s="37" t="n">
        <x:f>ROUND((AD786*0.20+AE786*0.20+AF786*0.25+AG786*0.15+MIN(100,AC786*12)*0.20),1)</x:f>
        <x:v>53.2</x:v>
      </x:c>
      <x:c r="AO786" s="37" t="n">
        <x:f>ROUND(MAX(0,MIN(100,(X786*0.35)+(W786/45*100*0.20)+((5-O786)/4*100*0.15)+((5-P786)/4*100*0.10)+((6-Y786)/5*100*0.10)+((100-Z786)*0.10))),1)</x:f>
        <x:v>46</x:v>
      </x:c>
      <x:c r="AP786" s="37" t="str">
        <x:f>IF(AO786&gt;=70,"High",IF(AO786&gt;=40,"Moderate","Low"))</x:f>
        <x:v>Moderate</x:v>
      </x:c>
      <x:c r="AQ786" s="37" t="n">
        <x:f>ROUND(MAX(0,MIN(100,(O786/4*100*0.25)+(P786/4*100*0.20)+(Q786/4*100*0.15)+(Y786/5*100*0.20)+(100-AO786)*0.20)),1)</x:f>
        <x:v>72.8</x:v>
      </x:c>
      <x:c r="AR786" s="37" t="n">
        <x:f>ROUND((AI786*0.20+AJ786*0.15+AN786*0.18+AG786*0.12+Z786*0.15+AQ786*0.20),1)</x:f>
        <x:v>82.8</x:v>
      </x:c>
      <x:c r="AS786" s="39" t="n">
        <x:f>ROUND((AC786*AF786*120)+(AH786*350)+(MAX(0,AI786-75)*220)+(MAX(0,AQ786-60)*100),0)</x:f>
        <x:v>7130</x:v>
      </x:c>
    </x:row>
    <x:row r="787">
      <x:c r="A787" s="35" t="n">
        <x:v>786</x:v>
      </x:c>
      <x:c r="B787" s="35" t="n">
        <x:v>29</x:v>
      </x:c>
      <x:c r="C787" s="35" t="str">
        <x:v>Male</x:v>
      </x:c>
      <x:c r="D787" s="35" t="str">
        <x:v>Information Technology</x:v>
      </x:c>
      <x:c r="E787" s="35" t="str">
        <x:v>IT Support</x:v>
      </x:c>
      <x:c r="F787" s="35" t="str">
        <x:v>Computer Science</x:v>
      </x:c>
      <x:c r="G787" s="35" t="str">
        <x:v>Divorced</x:v>
      </x:c>
      <x:c r="H787" s="35" t="n">
        <x:v>1</x:v>
      </x:c>
      <x:c r="I787" s="36" t="n">
        <x:v>4000</x:v>
      </x:c>
      <x:c r="J787" s="35" t="n">
        <x:v>4</x:v>
      </x:c>
      <x:c r="K787" s="35" t="n">
        <x:v>2</x:v>
      </x:c>
      <x:c r="L787" s="35" t="n">
        <x:v>2</x:v>
      </x:c>
      <x:c r="M787" s="35" t="n">
        <x:v>8</x:v>
      </x:c>
      <x:c r="N787" s="35" t="str">
        <x:v>No</x:v>
      </x:c>
      <x:c r="O787" s="35" t="n">
        <x:v>4</x:v>
      </x:c>
      <x:c r="P787" s="35" t="n">
        <x:v>4</x:v>
      </x:c>
      <x:c r="Q787" s="35" t="n">
        <x:v>3</x:v>
      </x:c>
      <x:c r="R787" s="35" t="n">
        <x:v>3</x:v>
      </x:c>
      <x:c r="S787" s="35" t="n">
        <x:v>4</x:v>
      </x:c>
      <x:c r="T787" s="35" t="n">
        <x:v>3</x:v>
      </x:c>
      <x:c r="U787" s="35" t="n">
        <x:v>0</x:v>
      </x:c>
      <x:c r="V787" s="35" t="n">
        <x:v>0</x:v>
      </x:c>
      <x:c r="W787" s="35" t="n">
        <x:v>14</x:v>
      </x:c>
      <x:c r="X787" s="35" t="n">
        <x:v>60</x:v>
      </x:c>
      <x:c r="Y787" s="35" t="n">
        <x:v>5</x:v>
      </x:c>
      <x:c r="Z787" s="35" t="n">
        <x:v>100</x:v>
      </x:c>
      <x:c r="AA787" s="35" t="n">
        <x:v>6</x:v>
      </x:c>
      <x:c r="AB787" s="35" t="n">
        <x:v>5</x:v>
      </x:c>
      <x:c r="AC787" s="35" t="n">
        <x:v>4</x:v>
      </x:c>
      <x:c r="AD787" s="35" t="n">
        <x:v>66</x:v>
      </x:c>
      <x:c r="AE787" s="35" t="n">
        <x:v>98</x:v>
      </x:c>
      <x:c r="AF787" s="35" t="n">
        <x:v>68</x:v>
      </x:c>
      <x:c r="AG787" s="35" t="n">
        <x:v>98</x:v>
      </x:c>
      <x:c r="AH787" s="35" t="n">
        <x:v>11</x:v>
      </x:c>
      <x:c r="AI787" s="37" t="n">
        <x:v>100</x:v>
      </x:c>
      <x:c r="AJ787" s="37" t="n">
        <x:v>100</x:v>
      </x:c>
      <x:c r="AK787" s="35" t="str">
        <x:v>No</x:v>
      </x:c>
      <x:c r="AL787" s="38" t="n">
        <x:f>IF(AA787=0,0,AB787/AA787)</x:f>
        <x:v>0.8333333333333334</x:v>
      </x:c>
      <x:c r="AM787" s="38" t="n">
        <x:f>IF(AB787=0,0,AC787/AB787)</x:f>
        <x:v>0.8</x:v>
      </x:c>
      <x:c r="AN787" s="37" t="n">
        <x:f>ROUND((AD787*0.20+AE787*0.20+AF787*0.25+AG787*0.15+MIN(100,AC787*12)*0.20),1)</x:f>
        <x:v>74.1</x:v>
      </x:c>
      <x:c r="AO787" s="37" t="n">
        <x:f>ROUND(MAX(0,MIN(100,(X787*0.35)+(W787/45*100*0.20)+((5-O787)/4*100*0.15)+((5-P787)/4*100*0.10)+((6-Y787)/5*100*0.10)+((100-Z787)*0.10))),1)</x:f>
        <x:v>35.5</x:v>
      </x:c>
      <x:c r="AP787" s="37" t="str">
        <x:f>IF(AO787&gt;=70,"High",IF(AO787&gt;=40,"Moderate","Low"))</x:f>
        <x:v>Low</x:v>
      </x:c>
      <x:c r="AQ787" s="37" t="n">
        <x:f>ROUND(MAX(0,MIN(100,(O787/4*100*0.25)+(P787/4*100*0.20)+(Q787/4*100*0.15)+(Y787/5*100*0.20)+(100-AO787)*0.20)),1)</x:f>
        <x:v>89.2</x:v>
      </x:c>
      <x:c r="AR787" s="37" t="n">
        <x:f>ROUND((AI787*0.20+AJ787*0.15+AN787*0.18+AG787*0.12+Z787*0.15+AQ787*0.20),1)</x:f>
        <x:v>92.9</x:v>
      </x:c>
      <x:c r="AS787" s="39" t="n">
        <x:f>ROUND((AC787*AF787*120)+(AH787*350)+(MAX(0,AI787-75)*220)+(MAX(0,AQ787-60)*100),0)</x:f>
        <x:v>44910</x:v>
      </x:c>
    </x:row>
    <x:row r="788">
      <x:c r="A788" s="35" t="n">
        <x:v>787</x:v>
      </x:c>
      <x:c r="B788" s="35" t="n">
        <x:v>27</x:v>
      </x:c>
      <x:c r="C788" s="35" t="str">
        <x:v>Female</x:v>
      </x:c>
      <x:c r="D788" s="35" t="str">
        <x:v>Sales</x:v>
      </x:c>
      <x:c r="E788" s="35" t="str">
        <x:v>Account Manager</x:v>
      </x:c>
      <x:c r="F788" s="35" t="str">
        <x:v>Life Sciences</x:v>
      </x:c>
      <x:c r="G788" s="35" t="str">
        <x:v>Married</x:v>
      </x:c>
      <x:c r="H788" s="35" t="n">
        <x:v>1</x:v>
      </x:c>
      <x:c r="I788" s="36" t="n">
        <x:v>6190</x:v>
      </x:c>
      <x:c r="J788" s="35" t="n">
        <x:v>5</x:v>
      </x:c>
      <x:c r="K788" s="35" t="n">
        <x:v>3</x:v>
      </x:c>
      <x:c r="L788" s="35" t="n">
        <x:v>2</x:v>
      </x:c>
      <x:c r="M788" s="35" t="n">
        <x:v>2</x:v>
      </x:c>
      <x:c r="N788" s="35" t="str">
        <x:v>No</x:v>
      </x:c>
      <x:c r="O788" s="35" t="n">
        <x:v>3</x:v>
      </x:c>
      <x:c r="P788" s="35" t="n">
        <x:v>3</x:v>
      </x:c>
      <x:c r="Q788" s="35" t="n">
        <x:v>3</x:v>
      </x:c>
      <x:c r="R788" s="35" t="n">
        <x:v>3</x:v>
      </x:c>
      <x:c r="S788" s="35" t="n">
        <x:v>4</x:v>
      </x:c>
      <x:c r="T788" s="35" t="n">
        <x:v>4</x:v>
      </x:c>
      <x:c r="U788" s="35" t="n">
        <x:v>3</x:v>
      </x:c>
      <x:c r="V788" s="35" t="n">
        <x:v>8</x:v>
      </x:c>
      <x:c r="W788" s="35" t="n">
        <x:v>1</x:v>
      </x:c>
      <x:c r="X788" s="35" t="n">
        <x:v>73</x:v>
      </x:c>
      <x:c r="Y788" s="35" t="n">
        <x:v>5</x:v>
      </x:c>
      <x:c r="Z788" s="35" t="n">
        <x:v>100</x:v>
      </x:c>
      <x:c r="AA788" s="35" t="n">
        <x:v>7</x:v>
      </x:c>
      <x:c r="AB788" s="35" t="n">
        <x:v>6</x:v>
      </x:c>
      <x:c r="AC788" s="35" t="n">
        <x:v>6</x:v>
      </x:c>
      <x:c r="AD788" s="35" t="n">
        <x:v>87</x:v>
      </x:c>
      <x:c r="AE788" s="35" t="n">
        <x:v>81</x:v>
      </x:c>
      <x:c r="AF788" s="35" t="n">
        <x:v>98</x:v>
      </x:c>
      <x:c r="AG788" s="35" t="n">
        <x:v>87</x:v>
      </x:c>
      <x:c r="AH788" s="35" t="n">
        <x:v>12</x:v>
      </x:c>
      <x:c r="AI788" s="37" t="n">
        <x:v>100</x:v>
      </x:c>
      <x:c r="AJ788" s="37" t="n">
        <x:v>100</x:v>
      </x:c>
      <x:c r="AK788" s="35" t="str">
        <x:v>No</x:v>
      </x:c>
      <x:c r="AL788" s="38" t="n">
        <x:f>IF(AA788=0,0,AB788/AA788)</x:f>
        <x:v>0.8571428571428571</x:v>
      </x:c>
      <x:c r="AM788" s="38" t="n">
        <x:f>IF(AB788=0,0,AC788/AB788)</x:f>
        <x:v>1</x:v>
      </x:c>
      <x:c r="AN788" s="37" t="n">
        <x:f>ROUND((AD788*0.20+AE788*0.20+AF788*0.25+AG788*0.15+MIN(100,AC788*12)*0.20),1)</x:f>
        <x:v>85.6</x:v>
      </x:c>
      <x:c r="AO788" s="37" t="n">
        <x:f>ROUND(MAX(0,MIN(100,(X788*0.35)+(W788/45*100*0.20)+((5-O788)/4*100*0.15)+((5-P788)/4*100*0.10)+((6-Y788)/5*100*0.10)+((100-Z788)*0.10))),1)</x:f>
        <x:v>40.5</x:v>
      </x:c>
      <x:c r="AP788" s="37" t="str">
        <x:f>IF(AO788&gt;=70,"High",IF(AO788&gt;=40,"Moderate","Low"))</x:f>
        <x:v>Moderate</x:v>
      </x:c>
      <x:c r="AQ788" s="37" t="n">
        <x:f>ROUND(MAX(0,MIN(100,(O788/4*100*0.25)+(P788/4*100*0.20)+(Q788/4*100*0.15)+(Y788/5*100*0.20)+(100-AO788)*0.20)),1)</x:f>
        <x:v>76.9</x:v>
      </x:c>
      <x:c r="AR788" s="37" t="n">
        <x:f>ROUND((AI788*0.20+AJ788*0.15+AN788*0.18+AG788*0.12+Z788*0.15+AQ788*0.20),1)</x:f>
        <x:v>91.2</x:v>
      </x:c>
      <x:c r="AS788" s="39" t="n">
        <x:f>ROUND((AC788*AF788*120)+(AH788*350)+(MAX(0,AI788-75)*220)+(MAX(0,AQ788-60)*100),0)</x:f>
        <x:v>81950</x:v>
      </x:c>
    </x:row>
    <x:row r="789">
      <x:c r="A789" s="35" t="n">
        <x:v>788</x:v>
      </x:c>
      <x:c r="B789" s="35" t="n">
        <x:v>37</x:v>
      </x:c>
      <x:c r="C789" s="35" t="str">
        <x:v>Female</x:v>
      </x:c>
      <x:c r="D789" s="35" t="str">
        <x:v>Marketing</x:v>
      </x:c>
      <x:c r="E789" s="35" t="str">
        <x:v>Marketing Specialist</x:v>
      </x:c>
      <x:c r="F789" s="35" t="str">
        <x:v>Human Resources</x:v>
      </x:c>
      <x:c r="G789" s="35" t="str">
        <x:v>Married</x:v>
      </x:c>
      <x:c r="H789" s="35" t="n">
        <x:v>2</x:v>
      </x:c>
      <x:c r="I789" s="36" t="n">
        <x:v>11090</x:v>
      </x:c>
      <x:c r="J789" s="35" t="n">
        <x:v>13</x:v>
      </x:c>
      <x:c r="K789" s="35" t="n">
        <x:v>6</x:v>
      </x:c>
      <x:c r="L789" s="35" t="n">
        <x:v>3</x:v>
      </x:c>
      <x:c r="M789" s="35" t="n">
        <x:v>6</x:v>
      </x:c>
      <x:c r="N789" s="35" t="str">
        <x:v>No</x:v>
      </x:c>
      <x:c r="O789" s="35" t="n">
        <x:v>3</x:v>
      </x:c>
      <x:c r="P789" s="35" t="n">
        <x:v>3</x:v>
      </x:c>
      <x:c r="Q789" s="35" t="n">
        <x:v>4</x:v>
      </x:c>
      <x:c r="R789" s="35" t="n">
        <x:v>3</x:v>
      </x:c>
      <x:c r="S789" s="35" t="n">
        <x:v>4</x:v>
      </x:c>
      <x:c r="T789" s="35" t="n">
        <x:v>3</x:v>
      </x:c>
      <x:c r="U789" s="35" t="n">
        <x:v>1</x:v>
      </x:c>
      <x:c r="V789" s="35" t="n">
        <x:v>7</x:v>
      </x:c>
      <x:c r="W789" s="35" t="n">
        <x:v>7</x:v>
      </x:c>
      <x:c r="X789" s="35" t="n">
        <x:v>86</x:v>
      </x:c>
      <x:c r="Y789" s="35" t="n">
        <x:v>3</x:v>
      </x:c>
      <x:c r="Z789" s="35" t="n">
        <x:v>90</x:v>
      </x:c>
      <x:c r="AA789" s="35" t="n">
        <x:v>6</x:v>
      </x:c>
      <x:c r="AB789" s="35" t="n">
        <x:v>3</x:v>
      </x:c>
      <x:c r="AC789" s="35" t="n">
        <x:v>3</x:v>
      </x:c>
      <x:c r="AD789" s="35" t="n">
        <x:v>93</x:v>
      </x:c>
      <x:c r="AE789" s="35" t="n">
        <x:v>92</x:v>
      </x:c>
      <x:c r="AF789" s="35" t="n">
        <x:v>92</x:v>
      </x:c>
      <x:c r="AG789" s="35" t="n">
        <x:v>84</x:v>
      </x:c>
      <x:c r="AH789" s="35" t="n">
        <x:v>8</x:v>
      </x:c>
      <x:c r="AI789" s="37" t="n">
        <x:v>92.6</x:v>
      </x:c>
      <x:c r="AJ789" s="37" t="n">
        <x:v>100</x:v>
      </x:c>
      <x:c r="AK789" s="35" t="str">
        <x:v>No</x:v>
      </x:c>
      <x:c r="AL789" s="38" t="n">
        <x:f>IF(AA789=0,0,AB789/AA789)</x:f>
        <x:v>0.5</x:v>
      </x:c>
      <x:c r="AM789" s="38" t="n">
        <x:f>IF(AB789=0,0,AC789/AB789)</x:f>
        <x:v>1</x:v>
      </x:c>
      <x:c r="AN789" s="37" t="n">
        <x:f>ROUND((AD789*0.20+AE789*0.20+AF789*0.25+AG789*0.15+MIN(100,AC789*12)*0.20),1)</x:f>
        <x:v>79.8</x:v>
      </x:c>
      <x:c r="AO789" s="37" t="n">
        <x:f>ROUND(MAX(0,MIN(100,(X789*0.35)+(W789/45*100*0.20)+((5-O789)/4*100*0.15)+((5-P789)/4*100*0.10)+((6-Y789)/5*100*0.10)+((100-Z789)*0.10))),1)</x:f>
        <x:v>52.7</x:v>
      </x:c>
      <x:c r="AP789" s="37" t="str">
        <x:f>IF(AO789&gt;=70,"High",IF(AO789&gt;=40,"Moderate","Low"))</x:f>
        <x:v>Moderate</x:v>
      </x:c>
      <x:c r="AQ789" s="37" t="n">
        <x:f>ROUND(MAX(0,MIN(100,(O789/4*100*0.25)+(P789/4*100*0.20)+(Q789/4*100*0.15)+(Y789/5*100*0.20)+(100-AO789)*0.20)),1)</x:f>
        <x:v>70.2</x:v>
      </x:c>
      <x:c r="AR789" s="37" t="n">
        <x:f>ROUND((AI789*0.20+AJ789*0.15+AN789*0.18+AG789*0.12+Z789*0.15+AQ789*0.20),1)</x:f>
        <x:v>85.5</x:v>
      </x:c>
      <x:c r="AS789" s="39" t="n">
        <x:f>ROUND((AC789*AF789*120)+(AH789*350)+(MAX(0,AI789-75)*220)+(MAX(0,AQ789-60)*100),0)</x:f>
        <x:v>40812</x:v>
      </x:c>
    </x:row>
    <x:row r="790">
      <x:c r="A790" s="35" t="n">
        <x:v>789</x:v>
      </x:c>
      <x:c r="B790" s="35" t="n">
        <x:v>40</x:v>
      </x:c>
      <x:c r="C790" s="35" t="str">
        <x:v>Female</x:v>
      </x:c>
      <x:c r="D790" s="35" t="str">
        <x:v>Sales</x:v>
      </x:c>
      <x:c r="E790" s="35" t="str">
        <x:v>Sales Executive</x:v>
      </x:c>
      <x:c r="F790" s="35" t="str">
        <x:v>Human Resources</x:v>
      </x:c>
      <x:c r="G790" s="35" t="str">
        <x:v>Married</x:v>
      </x:c>
      <x:c r="H790" s="35" t="n">
        <x:v>3</x:v>
      </x:c>
      <x:c r="I790" s="36" t="n">
        <x:v>16980</x:v>
      </x:c>
      <x:c r="J790" s="35" t="n">
        <x:v>15</x:v>
      </x:c>
      <x:c r="K790" s="35" t="n">
        <x:v>11</x:v>
      </x:c>
      <x:c r="L790" s="35" t="n">
        <x:v>7</x:v>
      </x:c>
      <x:c r="M790" s="35" t="n">
        <x:v>13</x:v>
      </x:c>
      <x:c r="N790" s="35" t="str">
        <x:v>No</x:v>
      </x:c>
      <x:c r="O790" s="35" t="n">
        <x:v>2</x:v>
      </x:c>
      <x:c r="P790" s="35" t="n">
        <x:v>2</x:v>
      </x:c>
      <x:c r="Q790" s="35" t="n">
        <x:v>2</x:v>
      </x:c>
      <x:c r="R790" s="35" t="n">
        <x:v>2</x:v>
      </x:c>
      <x:c r="S790" s="35" t="n">
        <x:v>3</x:v>
      </x:c>
      <x:c r="T790" s="35" t="n">
        <x:v>2</x:v>
      </x:c>
      <x:c r="U790" s="35" t="n">
        <x:v>0</x:v>
      </x:c>
      <x:c r="V790" s="35" t="n">
        <x:v>6</x:v>
      </x:c>
      <x:c r="W790" s="35" t="n">
        <x:v>23</x:v>
      </x:c>
      <x:c r="X790" s="35" t="n">
        <x:v>68</x:v>
      </x:c>
      <x:c r="Y790" s="35" t="n">
        <x:v>4</x:v>
      </x:c>
      <x:c r="Z790" s="35" t="n">
        <x:v>82</x:v>
      </x:c>
      <x:c r="AA790" s="35" t="n">
        <x:v>6</x:v>
      </x:c>
      <x:c r="AB790" s="35" t="n">
        <x:v>5</x:v>
      </x:c>
      <x:c r="AC790" s="35" t="n">
        <x:v>4</x:v>
      </x:c>
      <x:c r="AD790" s="35" t="n">
        <x:v>70</x:v>
      </x:c>
      <x:c r="AE790" s="35" t="n">
        <x:v>84</x:v>
      </x:c>
      <x:c r="AF790" s="35" t="n">
        <x:v>81</x:v>
      </x:c>
      <x:c r="AG790" s="35" t="n">
        <x:v>65</x:v>
      </x:c>
      <x:c r="AH790" s="35" t="n">
        <x:v>7</x:v>
      </x:c>
      <x:c r="AI790" s="37" t="n">
        <x:v>93.9</x:v>
      </x:c>
      <x:c r="AJ790" s="37" t="n">
        <x:v>86.7</x:v>
      </x:c>
      <x:c r="AK790" s="35" t="str">
        <x:v>No</x:v>
      </x:c>
      <x:c r="AL790" s="38" t="n">
        <x:f>IF(AA790=0,0,AB790/AA790)</x:f>
        <x:v>0.8333333333333334</x:v>
      </x:c>
      <x:c r="AM790" s="38" t="n">
        <x:f>IF(AB790=0,0,AC790/AB790)</x:f>
        <x:v>0.8</x:v>
      </x:c>
      <x:c r="AN790" s="37" t="n">
        <x:f>ROUND((AD790*0.20+AE790*0.20+AF790*0.25+AG790*0.15+MIN(100,AC790*12)*0.20),1)</x:f>
        <x:v>70.4</x:v>
      </x:c>
      <x:c r="AO790" s="37" t="n">
        <x:f>ROUND(MAX(0,MIN(100,(X790*0.35)+(W790/45*100*0.20)+((5-O790)/4*100*0.15)+((5-P790)/4*100*0.10)+((6-Y790)/5*100*0.10)+((100-Z790)*0.10))),1)</x:f>
        <x:v>58.6</x:v>
      </x:c>
      <x:c r="AP790" s="37" t="str">
        <x:f>IF(AO790&gt;=70,"High",IF(AO790&gt;=40,"Moderate","Low"))</x:f>
        <x:v>Moderate</x:v>
      </x:c>
      <x:c r="AQ790" s="37" t="n">
        <x:f>ROUND(MAX(0,MIN(100,(O790/4*100*0.25)+(P790/4*100*0.20)+(Q790/4*100*0.15)+(Y790/5*100*0.20)+(100-AO790)*0.20)),1)</x:f>
        <x:v>54.3</x:v>
      </x:c>
      <x:c r="AR790" s="37" t="n">
        <x:f>ROUND((AI790*0.20+AJ790*0.15+AN790*0.18+AG790*0.12+Z790*0.15+AQ790*0.20),1)</x:f>
        <x:v>75.4</x:v>
      </x:c>
      <x:c r="AS790" s="39" t="n">
        <x:f>ROUND((AC790*AF790*120)+(AH790*350)+(MAX(0,AI790-75)*220)+(MAX(0,AQ790-60)*100),0)</x:f>
        <x:v>45488</x:v>
      </x:c>
    </x:row>
    <x:row r="791">
      <x:c r="A791" s="35" t="n">
        <x:v>790</x:v>
      </x:c>
      <x:c r="B791" s="35" t="n">
        <x:v>29</x:v>
      </x:c>
      <x:c r="C791" s="35" t="str">
        <x:v>Female</x:v>
      </x:c>
      <x:c r="D791" s="35" t="str">
        <x:v>Finance</x:v>
      </x:c>
      <x:c r="E791" s="35" t="str">
        <x:v>Finance Manager</x:v>
      </x:c>
      <x:c r="F791" s="35" t="str">
        <x:v>Business</x:v>
      </x:c>
      <x:c r="G791" s="35" t="str">
        <x:v>Married</x:v>
      </x:c>
      <x:c r="H791" s="35" t="n">
        <x:v>1</x:v>
      </x:c>
      <x:c r="I791" s="36" t="n">
        <x:v>5850</x:v>
      </x:c>
      <x:c r="J791" s="35" t="n">
        <x:v>4</x:v>
      </x:c>
      <x:c r="K791" s="35" t="n">
        <x:v>3</x:v>
      </x:c>
      <x:c r="L791" s="35" t="n">
        <x:v>1</x:v>
      </x:c>
      <x:c r="M791" s="35" t="n">
        <x:v>2</x:v>
      </x:c>
      <x:c r="N791" s="35" t="str">
        <x:v>Yes</x:v>
      </x:c>
      <x:c r="O791" s="35" t="n">
        <x:v>2</x:v>
      </x:c>
      <x:c r="P791" s="35" t="n">
        <x:v>3</x:v>
      </x:c>
      <x:c r="Q791" s="35" t="n">
        <x:v>3</x:v>
      </x:c>
      <x:c r="R791" s="35" t="n">
        <x:v>2</x:v>
      </x:c>
      <x:c r="S791" s="35" t="n">
        <x:v>3</x:v>
      </x:c>
      <x:c r="T791" s="35" t="n">
        <x:v>4</x:v>
      </x:c>
      <x:c r="U791" s="35" t="n">
        <x:v>2</x:v>
      </x:c>
      <x:c r="V791" s="35" t="n">
        <x:v>9</x:v>
      </x:c>
      <x:c r="W791" s="35" t="n">
        <x:v>20</x:v>
      </x:c>
      <x:c r="X791" s="35" t="n">
        <x:v>81</x:v>
      </x:c>
      <x:c r="Y791" s="35" t="n">
        <x:v>5</x:v>
      </x:c>
      <x:c r="Z791" s="35" t="n">
        <x:v>97</x:v>
      </x:c>
      <x:c r="AA791" s="35" t="n">
        <x:v>6</x:v>
      </x:c>
      <x:c r="AB791" s="35" t="n">
        <x:v>5</x:v>
      </x:c>
      <x:c r="AC791" s="35" t="n">
        <x:v>3</x:v>
      </x:c>
      <x:c r="AD791" s="35" t="n">
        <x:v>77</x:v>
      </x:c>
      <x:c r="AE791" s="35" t="n">
        <x:v>90</x:v>
      </x:c>
      <x:c r="AF791" s="35" t="n">
        <x:v>55</x:v>
      </x:c>
      <x:c r="AG791" s="35" t="n">
        <x:v>69</x:v>
      </x:c>
      <x:c r="AH791" s="35" t="n">
        <x:v>8</x:v>
      </x:c>
      <x:c r="AI791" s="37" t="n">
        <x:v>100</x:v>
      </x:c>
      <x:c r="AJ791" s="37" t="n">
        <x:v>97.3</x:v>
      </x:c>
      <x:c r="AK791" s="35" t="str">
        <x:v>No</x:v>
      </x:c>
      <x:c r="AL791" s="38" t="n">
        <x:f>IF(AA791=0,0,AB791/AA791)</x:f>
        <x:v>0.8333333333333334</x:v>
      </x:c>
      <x:c r="AM791" s="38" t="n">
        <x:f>IF(AB791=0,0,AC791/AB791)</x:f>
        <x:v>0.6</x:v>
      </x:c>
      <x:c r="AN791" s="37" t="n">
        <x:f>ROUND((AD791*0.20+AE791*0.20+AF791*0.25+AG791*0.15+MIN(100,AC791*12)*0.20),1)</x:f>
        <x:v>64.7</x:v>
      </x:c>
      <x:c r="AO791" s="37" t="n">
        <x:f>ROUND(MAX(0,MIN(100,(X791*0.35)+(W791/45*100*0.20)+((5-O791)/4*100*0.15)+((5-P791)/4*100*0.10)+((6-Y791)/5*100*0.10)+((100-Z791)*0.10))),1)</x:f>
        <x:v>55.8</x:v>
      </x:c>
      <x:c r="AP791" s="37" t="str">
        <x:f>IF(AO791&gt;=70,"High",IF(AO791&gt;=40,"Moderate","Low"))</x:f>
        <x:v>Moderate</x:v>
      </x:c>
      <x:c r="AQ791" s="37" t="n">
        <x:f>ROUND(MAX(0,MIN(100,(O791/4*100*0.25)+(P791/4*100*0.20)+(Q791/4*100*0.15)+(Y791/5*100*0.20)+(100-AO791)*0.20)),1)</x:f>
        <x:v>67.6</x:v>
      </x:c>
      <x:c r="AR791" s="37" t="n">
        <x:f>ROUND((AI791*0.20+AJ791*0.15+AN791*0.18+AG791*0.12+Z791*0.15+AQ791*0.20),1)</x:f>
        <x:v>82.6</x:v>
      </x:c>
      <x:c r="AS791" s="39" t="n">
        <x:f>ROUND((AC791*AF791*120)+(AH791*350)+(MAX(0,AI791-75)*220)+(MAX(0,AQ791-60)*100),0)</x:f>
        <x:v>28860</x:v>
      </x:c>
    </x:row>
    <x:row r="792">
      <x:c r="A792" s="35" t="n">
        <x:v>791</x:v>
      </x:c>
      <x:c r="B792" s="35" t="n">
        <x:v>53</x:v>
      </x:c>
      <x:c r="C792" s="35" t="str">
        <x:v>Female</x:v>
      </x:c>
      <x:c r="D792" s="35" t="str">
        <x:v>Finance</x:v>
      </x:c>
      <x:c r="E792" s="35" t="str">
        <x:v>Accountant</x:v>
      </x:c>
      <x:c r="F792" s="35" t="str">
        <x:v>Medical</x:v>
      </x:c>
      <x:c r="G792" s="35" t="str">
        <x:v>Single</x:v>
      </x:c>
      <x:c r="H792" s="35" t="n">
        <x:v>4</x:v>
      </x:c>
      <x:c r="I792" s="36" t="n">
        <x:v>20400</x:v>
      </x:c>
      <x:c r="J792" s="35" t="n">
        <x:v>19</x:v>
      </x:c>
      <x:c r="K792" s="35" t="n">
        <x:v>9</x:v>
      </x:c>
      <x:c r="L792" s="35" t="n">
        <x:v>6</x:v>
      </x:c>
      <x:c r="M792" s="35" t="n">
        <x:v>2</x:v>
      </x:c>
      <x:c r="N792" s="35" t="str">
        <x:v>No</x:v>
      </x:c>
      <x:c r="O792" s="35" t="n">
        <x:v>3</x:v>
      </x:c>
      <x:c r="P792" s="35" t="n">
        <x:v>4</x:v>
      </x:c>
      <x:c r="Q792" s="35" t="n">
        <x:v>3</x:v>
      </x:c>
      <x:c r="R792" s="35" t="n">
        <x:v>4</x:v>
      </x:c>
      <x:c r="S792" s="35" t="n">
        <x:v>3</x:v>
      </x:c>
      <x:c r="T792" s="35" t="n">
        <x:v>3</x:v>
      </x:c>
      <x:c r="U792" s="35" t="n">
        <x:v>0</x:v>
      </x:c>
      <x:c r="V792" s="35" t="n">
        <x:v>1</x:v>
      </x:c>
      <x:c r="W792" s="35" t="n">
        <x:v>18</x:v>
      </x:c>
      <x:c r="X792" s="35" t="n">
        <x:v>71</x:v>
      </x:c>
      <x:c r="Y792" s="35" t="n">
        <x:v>5</x:v>
      </x:c>
      <x:c r="Z792" s="35" t="n">
        <x:v>100</x:v>
      </x:c>
      <x:c r="AA792" s="35" t="n">
        <x:v>6</x:v>
      </x:c>
      <x:c r="AB792" s="35" t="n">
        <x:v>4</x:v>
      </x:c>
      <x:c r="AC792" s="35" t="n">
        <x:v>1</x:v>
      </x:c>
      <x:c r="AD792" s="35" t="n">
        <x:v>66</x:v>
      </x:c>
      <x:c r="AE792" s="35" t="n">
        <x:v>72</x:v>
      </x:c>
      <x:c r="AF792" s="35" t="n">
        <x:v>78</x:v>
      </x:c>
      <x:c r="AG792" s="35" t="n">
        <x:v>100</x:v>
      </x:c>
      <x:c r="AH792" s="35" t="n">
        <x:v>4</x:v>
      </x:c>
      <x:c r="AI792" s="37" t="n">
        <x:v>99.8</x:v>
      </x:c>
      <x:c r="AJ792" s="37" t="n">
        <x:v>99.8</x:v>
      </x:c>
      <x:c r="AK792" s="35" t="str">
        <x:v>No</x:v>
      </x:c>
      <x:c r="AL792" s="38" t="n">
        <x:f>IF(AA792=0,0,AB792/AA792)</x:f>
        <x:v>0.6666666666666666</x:v>
      </x:c>
      <x:c r="AM792" s="38" t="n">
        <x:f>IF(AB792=0,0,AC792/AB792)</x:f>
        <x:v>0.25</x:v>
      </x:c>
      <x:c r="AN792" s="37" t="n">
        <x:f>ROUND((AD792*0.20+AE792*0.20+AF792*0.25+AG792*0.15+MIN(100,AC792*12)*0.20),1)</x:f>
        <x:v>64.5</x:v>
      </x:c>
      <x:c r="AO792" s="37" t="n">
        <x:f>ROUND(MAX(0,MIN(100,(X792*0.35)+(W792/45*100*0.20)+((5-O792)/4*100*0.15)+((5-P792)/4*100*0.10)+((6-Y792)/5*100*0.10)+((100-Z792)*0.10))),1)</x:f>
        <x:v>44.8</x:v>
      </x:c>
      <x:c r="AP792" s="37" t="str">
        <x:f>IF(AO792&gt;=70,"High",IF(AO792&gt;=40,"Moderate","Low"))</x:f>
        <x:v>Moderate</x:v>
      </x:c>
      <x:c r="AQ792" s="37" t="n">
        <x:f>ROUND(MAX(0,MIN(100,(O792/4*100*0.25)+(P792/4*100*0.20)+(Q792/4*100*0.15)+(Y792/5*100*0.20)+(100-AO792)*0.20)),1)</x:f>
        <x:v>81</x:v>
      </x:c>
      <x:c r="AR792" s="37" t="n">
        <x:f>ROUND((AI792*0.20+AJ792*0.15+AN792*0.18+AG792*0.12+Z792*0.15+AQ792*0.20),1)</x:f>
        <x:v>89.7</x:v>
      </x:c>
      <x:c r="AS792" s="39" t="n">
        <x:f>ROUND((AC792*AF792*120)+(AH792*350)+(MAX(0,AI792-75)*220)+(MAX(0,AQ792-60)*100),0)</x:f>
        <x:v>18316</x:v>
      </x:c>
    </x:row>
    <x:row r="793">
      <x:c r="A793" s="35" t="n">
        <x:v>792</x:v>
      </x:c>
      <x:c r="B793" s="35" t="n">
        <x:v>33</x:v>
      </x:c>
      <x:c r="C793" s="35" t="str">
        <x:v>Female</x:v>
      </x:c>
      <x:c r="D793" s="35" t="str">
        <x:v>Information Technology</x:v>
      </x:c>
      <x:c r="E793" s="35" t="str">
        <x:v>IT Manager</x:v>
      </x:c>
      <x:c r="F793" s="35" t="str">
        <x:v>Computer Science</x:v>
      </x:c>
      <x:c r="G793" s="35" t="str">
        <x:v>Married</x:v>
      </x:c>
      <x:c r="H793" s="35" t="n">
        <x:v>2</x:v>
      </x:c>
      <x:c r="I793" s="36" t="n">
        <x:v>8170</x:v>
      </x:c>
      <x:c r="J793" s="35" t="n">
        <x:v>6</x:v>
      </x:c>
      <x:c r="K793" s="35" t="n">
        <x:v>3</x:v>
      </x:c>
      <x:c r="L793" s="35" t="n">
        <x:v>1</x:v>
      </x:c>
      <x:c r="M793" s="35" t="n">
        <x:v>2</x:v>
      </x:c>
      <x:c r="N793" s="35" t="str">
        <x:v>Yes</x:v>
      </x:c>
      <x:c r="O793" s="35" t="n">
        <x:v>2</x:v>
      </x:c>
      <x:c r="P793" s="35" t="n">
        <x:v>3</x:v>
      </x:c>
      <x:c r="Q793" s="35" t="n">
        <x:v>2</x:v>
      </x:c>
      <x:c r="R793" s="35" t="n">
        <x:v>2</x:v>
      </x:c>
      <x:c r="S793" s="35" t="n">
        <x:v>3</x:v>
      </x:c>
      <x:c r="T793" s="35" t="n">
        <x:v>0</x:v>
      </x:c>
      <x:c r="U793" s="35" t="n">
        <x:v>0</x:v>
      </x:c>
      <x:c r="V793" s="35" t="n">
        <x:v>10</x:v>
      </x:c>
      <x:c r="W793" s="35" t="n">
        <x:v>28</x:v>
      </x:c>
      <x:c r="X793" s="35" t="n">
        <x:v>60</x:v>
      </x:c>
      <x:c r="Y793" s="35" t="n">
        <x:v>4</x:v>
      </x:c>
      <x:c r="Z793" s="35" t="n">
        <x:v>96</x:v>
      </x:c>
      <x:c r="AA793" s="35" t="n">
        <x:v>5</x:v>
      </x:c>
      <x:c r="AB793" s="35" t="n">
        <x:v>2</x:v>
      </x:c>
      <x:c r="AC793" s="35" t="n">
        <x:v>2</x:v>
      </x:c>
      <x:c r="AD793" s="35" t="n">
        <x:v>79</x:v>
      </x:c>
      <x:c r="AE793" s="35" t="n">
        <x:v>50</x:v>
      </x:c>
      <x:c r="AF793" s="35" t="n">
        <x:v>75</x:v>
      </x:c>
      <x:c r="AG793" s="35" t="n">
        <x:v>88</x:v>
      </x:c>
      <x:c r="AH793" s="35" t="n">
        <x:v>3</x:v>
      </x:c>
      <x:c r="AI793" s="37" t="n">
        <x:v>100</x:v>
      </x:c>
      <x:c r="AJ793" s="37" t="n">
        <x:v>88.3</x:v>
      </x:c>
      <x:c r="AK793" s="35" t="str">
        <x:v>No</x:v>
      </x:c>
      <x:c r="AL793" s="38" t="n">
        <x:f>IF(AA793=0,0,AB793/AA793)</x:f>
        <x:v>0.4</x:v>
      </x:c>
      <x:c r="AM793" s="38" t="n">
        <x:f>IF(AB793=0,0,AC793/AB793)</x:f>
        <x:v>1</x:v>
      </x:c>
      <x:c r="AN793" s="37" t="n">
        <x:f>ROUND((AD793*0.20+AE793*0.20+AF793*0.25+AG793*0.15+MIN(100,AC793*12)*0.20),1)</x:f>
        <x:v>62.6</x:v>
      </x:c>
      <x:c r="AO793" s="37" t="n">
        <x:f>ROUND(MAX(0,MIN(100,(X793*0.35)+(W793/45*100*0.20)+((5-O793)/4*100*0.15)+((5-P793)/4*100*0.10)+((6-Y793)/5*100*0.10)+((100-Z793)*0.10))),1)</x:f>
        <x:v>54.1</x:v>
      </x:c>
      <x:c r="AP793" s="37" t="str">
        <x:f>IF(AO793&gt;=70,"High",IF(AO793&gt;=40,"Moderate","Low"))</x:f>
        <x:v>Moderate</x:v>
      </x:c>
      <x:c r="AQ793" s="37" t="n">
        <x:f>ROUND(MAX(0,MIN(100,(O793/4*100*0.25)+(P793/4*100*0.20)+(Q793/4*100*0.15)+(Y793/5*100*0.20)+(100-AO793)*0.20)),1)</x:f>
        <x:v>60.2</x:v>
      </x:c>
      <x:c r="AR793" s="37" t="n">
        <x:f>ROUND((AI793*0.20+AJ793*0.15+AN793*0.18+AG793*0.12+Z793*0.15+AQ793*0.20),1)</x:f>
        <x:v>81.5</x:v>
      </x:c>
      <x:c r="AS793" s="39" t="n">
        <x:f>ROUND((AC793*AF793*120)+(AH793*350)+(MAX(0,AI793-75)*220)+(MAX(0,AQ793-60)*100),0)</x:f>
        <x:v>24570</x:v>
      </x:c>
    </x:row>
    <x:row r="794">
      <x:c r="A794" s="35" t="n">
        <x:v>793</x:v>
      </x:c>
      <x:c r="B794" s="35" t="n">
        <x:v>43</x:v>
      </x:c>
      <x:c r="C794" s="35" t="str">
        <x:v>Male</x:v>
      </x:c>
      <x:c r="D794" s="35" t="str">
        <x:v>Information Technology</x:v>
      </x:c>
      <x:c r="E794" s="35" t="str">
        <x:v>IT Support</x:v>
      </x:c>
      <x:c r="F794" s="35" t="str">
        <x:v>Business</x:v>
      </x:c>
      <x:c r="G794" s="35" t="str">
        <x:v>Married</x:v>
      </x:c>
      <x:c r="H794" s="35" t="n">
        <x:v>3</x:v>
      </x:c>
      <x:c r="I794" s="36" t="n">
        <x:v>16100</x:v>
      </x:c>
      <x:c r="J794" s="35" t="n">
        <x:v>16</x:v>
      </x:c>
      <x:c r="K794" s="35" t="n">
        <x:v>5</x:v>
      </x:c>
      <x:c r="L794" s="35" t="n">
        <x:v>2</x:v>
      </x:c>
      <x:c r="M794" s="35" t="n">
        <x:v>8</x:v>
      </x:c>
      <x:c r="N794" s="35" t="str">
        <x:v>No</x:v>
      </x:c>
      <x:c r="O794" s="35" t="n">
        <x:v>2</x:v>
      </x:c>
      <x:c r="P794" s="35" t="n">
        <x:v>2</x:v>
      </x:c>
      <x:c r="Q794" s="35" t="n">
        <x:v>3</x:v>
      </x:c>
      <x:c r="R794" s="35" t="n">
        <x:v>4</x:v>
      </x:c>
      <x:c r="S794" s="35" t="n">
        <x:v>3</x:v>
      </x:c>
      <x:c r="T794" s="35" t="n">
        <x:v>5</x:v>
      </x:c>
      <x:c r="U794" s="35" t="n">
        <x:v>0</x:v>
      </x:c>
      <x:c r="V794" s="35" t="n">
        <x:v>7</x:v>
      </x:c>
      <x:c r="W794" s="35" t="n">
        <x:v>4</x:v>
      </x:c>
      <x:c r="X794" s="35" t="n">
        <x:v>81</x:v>
      </x:c>
      <x:c r="Y794" s="35" t="n">
        <x:v>3</x:v>
      </x:c>
      <x:c r="Z794" s="35" t="n">
        <x:v>100</x:v>
      </x:c>
      <x:c r="AA794" s="35" t="n">
        <x:v>3</x:v>
      </x:c>
      <x:c r="AB794" s="35" t="n">
        <x:v>3</x:v>
      </x:c>
      <x:c r="AC794" s="35" t="n">
        <x:v>2</x:v>
      </x:c>
      <x:c r="AD794" s="35" t="n">
        <x:v>76</x:v>
      </x:c>
      <x:c r="AE794" s="35" t="n">
        <x:v>67</x:v>
      </x:c>
      <x:c r="AF794" s="35" t="n">
        <x:v>83</x:v>
      </x:c>
      <x:c r="AG794" s="35" t="n">
        <x:v>93</x:v>
      </x:c>
      <x:c r="AH794" s="35" t="n">
        <x:v>4</x:v>
      </x:c>
      <x:c r="AI794" s="37" t="n">
        <x:v>100</x:v>
      </x:c>
      <x:c r="AJ794" s="37" t="n">
        <x:v>99.7</x:v>
      </x:c>
      <x:c r="AK794" s="35" t="str">
        <x:v>No</x:v>
      </x:c>
      <x:c r="AL794" s="38" t="n">
        <x:f>IF(AA794=0,0,AB794/AA794)</x:f>
        <x:v>1</x:v>
      </x:c>
      <x:c r="AM794" s="38" t="n">
        <x:f>IF(AB794=0,0,AC794/AB794)</x:f>
        <x:v>0.6666666666666666</x:v>
      </x:c>
      <x:c r="AN794" s="37" t="n">
        <x:f>ROUND((AD794*0.20+AE794*0.20+AF794*0.25+AG794*0.15+MIN(100,AC794*12)*0.20),1)</x:f>
        <x:v>68.1</x:v>
      </x:c>
      <x:c r="AO794" s="37" t="n">
        <x:f>ROUND(MAX(0,MIN(100,(X794*0.35)+(W794/45*100*0.20)+((5-O794)/4*100*0.15)+((5-P794)/4*100*0.10)+((6-Y794)/5*100*0.10)+((100-Z794)*0.10))),1)</x:f>
        <x:v>54.9</x:v>
      </x:c>
      <x:c r="AP794" s="37" t="str">
        <x:f>IF(AO794&gt;=70,"High",IF(AO794&gt;=40,"Moderate","Low"))</x:f>
        <x:v>Moderate</x:v>
      </x:c>
      <x:c r="AQ794" s="37" t="n">
        <x:f>ROUND(MAX(0,MIN(100,(O794/4*100*0.25)+(P794/4*100*0.20)+(Q794/4*100*0.15)+(Y794/5*100*0.20)+(100-AO794)*0.20)),1)</x:f>
        <x:v>54.8</x:v>
      </x:c>
      <x:c r="AR794" s="37" t="n">
        <x:f>ROUND((AI794*0.20+AJ794*0.15+AN794*0.18+AG794*0.12+Z794*0.15+AQ794*0.20),1)</x:f>
        <x:v>84.3</x:v>
      </x:c>
      <x:c r="AS794" s="39" t="n">
        <x:f>ROUND((AC794*AF794*120)+(AH794*350)+(MAX(0,AI794-75)*220)+(MAX(0,AQ794-60)*100),0)</x:f>
        <x:v>26820</x:v>
      </x:c>
    </x:row>
    <x:row r="795">
      <x:c r="A795" s="35" t="n">
        <x:v>794</x:v>
      </x:c>
      <x:c r="B795" s="35" t="n">
        <x:v>47</x:v>
      </x:c>
      <x:c r="C795" s="35" t="str">
        <x:v>Male</x:v>
      </x:c>
      <x:c r="D795" s="35" t="str">
        <x:v>Human Resources</x:v>
      </x:c>
      <x:c r="E795" s="35" t="str">
        <x:v>HR Manager</x:v>
      </x:c>
      <x:c r="F795" s="35" t="str">
        <x:v>Life Sciences</x:v>
      </x:c>
      <x:c r="G795" s="35" t="str">
        <x:v>Married</x:v>
      </x:c>
      <x:c r="H795" s="35" t="n">
        <x:v>2</x:v>
      </x:c>
      <x:c r="I795" s="36" t="n">
        <x:v>5800</x:v>
      </x:c>
      <x:c r="J795" s="35" t="n">
        <x:v>17</x:v>
      </x:c>
      <x:c r="K795" s="35" t="n">
        <x:v>11</x:v>
      </x:c>
      <x:c r="L795" s="35" t="n">
        <x:v>8</x:v>
      </x:c>
      <x:c r="M795" s="35" t="n">
        <x:v>15</x:v>
      </x:c>
      <x:c r="N795" s="35" t="str">
        <x:v>Yes</x:v>
      </x:c>
      <x:c r="O795" s="35" t="n">
        <x:v>2</x:v>
      </x:c>
      <x:c r="P795" s="35" t="n">
        <x:v>2</x:v>
      </x:c>
      <x:c r="Q795" s="35" t="n">
        <x:v>4</x:v>
      </x:c>
      <x:c r="R795" s="35" t="n">
        <x:v>3</x:v>
      </x:c>
      <x:c r="S795" s="35" t="n">
        <x:v>3</x:v>
      </x:c>
      <x:c r="T795" s="35" t="n">
        <x:v>3</x:v>
      </x:c>
      <x:c r="U795" s="35" t="n">
        <x:v>0</x:v>
      </x:c>
      <x:c r="V795" s="35" t="n">
        <x:v>9</x:v>
      </x:c>
      <x:c r="W795" s="35" t="n">
        <x:v>23</x:v>
      </x:c>
      <x:c r="X795" s="35" t="n">
        <x:v>86</x:v>
      </x:c>
      <x:c r="Y795" s="35" t="n">
        <x:v>4</x:v>
      </x:c>
      <x:c r="Z795" s="35" t="n">
        <x:v>95</x:v>
      </x:c>
      <x:c r="AA795" s="35" t="n">
        <x:v>8</x:v>
      </x:c>
      <x:c r="AB795" s="35" t="n">
        <x:v>7</x:v>
      </x:c>
      <x:c r="AC795" s="35" t="n">
        <x:v>6</x:v>
      </x:c>
      <x:c r="AD795" s="35" t="n">
        <x:v>75</x:v>
      </x:c>
      <x:c r="AE795" s="35" t="n">
        <x:v>69</x:v>
      </x:c>
      <x:c r="AF795" s="35" t="n">
        <x:v>94</x:v>
      </x:c>
      <x:c r="AG795" s="35" t="n">
        <x:v>99</x:v>
      </x:c>
      <x:c r="AH795" s="35" t="n">
        <x:v>9</x:v>
      </x:c>
      <x:c r="AI795" s="37" t="n">
        <x:v>96.9</x:v>
      </x:c>
      <x:c r="AJ795" s="37" t="n">
        <x:v>88.3</x:v>
      </x:c>
      <x:c r="AK795" s="35" t="str">
        <x:v>No</x:v>
      </x:c>
      <x:c r="AL795" s="38" t="n">
        <x:f>IF(AA795=0,0,AB795/AA795)</x:f>
        <x:v>0.875</x:v>
      </x:c>
      <x:c r="AM795" s="38" t="n">
        <x:f>IF(AB795=0,0,AC795/AB795)</x:f>
        <x:v>0.8571428571428571</x:v>
      </x:c>
      <x:c r="AN795" s="37" t="n">
        <x:f>ROUND((AD795*0.20+AE795*0.20+AF795*0.25+AG795*0.15+MIN(100,AC795*12)*0.20),1)</x:f>
        <x:v>81.6</x:v>
      </x:c>
      <x:c r="AO795" s="37" t="n">
        <x:f>ROUND(MAX(0,MIN(100,(X795*0.35)+(W795/45*100*0.20)+((5-O795)/4*100*0.15)+((5-P795)/4*100*0.10)+((6-Y795)/5*100*0.10)+((100-Z795)*0.10))),1)</x:f>
        <x:v>63.6</x:v>
      </x:c>
      <x:c r="AP795" s="37" t="str">
        <x:f>IF(AO795&gt;=70,"High",IF(AO795&gt;=40,"Moderate","Low"))</x:f>
        <x:v>Moderate</x:v>
      </x:c>
      <x:c r="AQ795" s="37" t="n">
        <x:f>ROUND(MAX(0,MIN(100,(O795/4*100*0.25)+(P795/4*100*0.20)+(Q795/4*100*0.15)+(Y795/5*100*0.20)+(100-AO795)*0.20)),1)</x:f>
        <x:v>60.8</x:v>
      </x:c>
      <x:c r="AR795" s="37" t="n">
        <x:f>ROUND((AI795*0.20+AJ795*0.15+AN795*0.18+AG795*0.12+Z795*0.15+AQ795*0.20),1)</x:f>
        <x:v>85.6</x:v>
      </x:c>
      <x:c r="AS795" s="39" t="n">
        <x:f>ROUND((AC795*AF795*120)+(AH795*350)+(MAX(0,AI795-75)*220)+(MAX(0,AQ795-60)*100),0)</x:f>
        <x:v>75728</x:v>
      </x:c>
    </x:row>
    <x:row r="796">
      <x:c r="A796" s="35" t="n">
        <x:v>795</x:v>
      </x:c>
      <x:c r="B796" s="35" t="n">
        <x:v>36</x:v>
      </x:c>
      <x:c r="C796" s="35" t="str">
        <x:v>Male</x:v>
      </x:c>
      <x:c r="D796" s="35" t="str">
        <x:v>Research &amp; Development</x:v>
      </x:c>
      <x:c r="E796" s="35" t="str">
        <x:v>Laboratory Technician</x:v>
      </x:c>
      <x:c r="F796" s="35" t="str">
        <x:v>Marketing</x:v>
      </x:c>
      <x:c r="G796" s="35" t="str">
        <x:v>Single</x:v>
      </x:c>
      <x:c r="H796" s="35" t="n">
        <x:v>3</x:v>
      </x:c>
      <x:c r="I796" s="36" t="n">
        <x:v>11140</x:v>
      </x:c>
      <x:c r="J796" s="35" t="n">
        <x:v>7</x:v>
      </x:c>
      <x:c r="K796" s="35" t="n">
        <x:v>4</x:v>
      </x:c>
      <x:c r="L796" s="35" t="n">
        <x:v>2</x:v>
      </x:c>
      <x:c r="M796" s="35" t="n">
        <x:v>7</x:v>
      </x:c>
      <x:c r="N796" s="35" t="str">
        <x:v>Yes</x:v>
      </x:c>
      <x:c r="O796" s="35" t="n">
        <x:v>3</x:v>
      </x:c>
      <x:c r="P796" s="35" t="n">
        <x:v>4</x:v>
      </x:c>
      <x:c r="Q796" s="35" t="n">
        <x:v>3</x:v>
      </x:c>
      <x:c r="R796" s="35" t="n">
        <x:v>4</x:v>
      </x:c>
      <x:c r="S796" s="35" t="n">
        <x:v>3</x:v>
      </x:c>
      <x:c r="T796" s="35" t="n">
        <x:v>3</x:v>
      </x:c>
      <x:c r="U796" s="35" t="n">
        <x:v>0</x:v>
      </x:c>
      <x:c r="V796" s="35" t="n">
        <x:v>1</x:v>
      </x:c>
      <x:c r="W796" s="35" t="n">
        <x:v>18</x:v>
      </x:c>
      <x:c r="X796" s="35" t="n">
        <x:v>83</x:v>
      </x:c>
      <x:c r="Y796" s="35" t="n">
        <x:v>4</x:v>
      </x:c>
      <x:c r="Z796" s="35" t="n">
        <x:v>100</x:v>
      </x:c>
      <x:c r="AA796" s="35" t="n">
        <x:v>9</x:v>
      </x:c>
      <x:c r="AB796" s="35" t="n">
        <x:v>8</x:v>
      </x:c>
      <x:c r="AC796" s="35" t="n">
        <x:v>5</x:v>
      </x:c>
      <x:c r="AD796" s="35" t="n">
        <x:v>90</x:v>
      </x:c>
      <x:c r="AE796" s="35" t="n">
        <x:v>77</x:v>
      </x:c>
      <x:c r="AF796" s="35" t="n">
        <x:v>80</x:v>
      </x:c>
      <x:c r="AG796" s="35" t="n">
        <x:v>88</x:v>
      </x:c>
      <x:c r="AH796" s="35" t="n">
        <x:v>6</x:v>
      </x:c>
      <x:c r="AI796" s="37" t="n">
        <x:v>89.6</x:v>
      </x:c>
      <x:c r="AJ796" s="37" t="n">
        <x:v>96.9</x:v>
      </x:c>
      <x:c r="AK796" s="35" t="str">
        <x:v>No</x:v>
      </x:c>
      <x:c r="AL796" s="38" t="n">
        <x:f>IF(AA796=0,0,AB796/AA796)</x:f>
        <x:v>0.8888888888888888</x:v>
      </x:c>
      <x:c r="AM796" s="38" t="n">
        <x:f>IF(AB796=0,0,AC796/AB796)</x:f>
        <x:v>0.625</x:v>
      </x:c>
      <x:c r="AN796" s="37" t="n">
        <x:f>ROUND((AD796*0.20+AE796*0.20+AF796*0.25+AG796*0.15+MIN(100,AC796*12)*0.20),1)</x:f>
        <x:v>78.6</x:v>
      </x:c>
      <x:c r="AO796" s="37" t="n">
        <x:f>ROUND(MAX(0,MIN(100,(X796*0.35)+(W796/45*100*0.20)+((5-O796)/4*100*0.15)+((5-P796)/4*100*0.10)+((6-Y796)/5*100*0.10)+((100-Z796)*0.10))),1)</x:f>
        <x:v>51.1</x:v>
      </x:c>
      <x:c r="AP796" s="37" t="str">
        <x:f>IF(AO796&gt;=70,"High",IF(AO796&gt;=40,"Moderate","Low"))</x:f>
        <x:v>Moderate</x:v>
      </x:c>
      <x:c r="AQ796" s="37" t="n">
        <x:f>ROUND(MAX(0,MIN(100,(O796/4*100*0.25)+(P796/4*100*0.20)+(Q796/4*100*0.15)+(Y796/5*100*0.20)+(100-AO796)*0.20)),1)</x:f>
        <x:v>75.8</x:v>
      </x:c>
      <x:c r="AR796" s="37" t="n">
        <x:f>ROUND((AI796*0.20+AJ796*0.15+AN796*0.18+AG796*0.12+Z796*0.15+AQ796*0.20),1)</x:f>
        <x:v>87.3</x:v>
      </x:c>
      <x:c r="AS796" s="39" t="n">
        <x:f>ROUND((AC796*AF796*120)+(AH796*350)+(MAX(0,AI796-75)*220)+(MAX(0,AQ796-60)*100),0)</x:f>
        <x:v>54892</x:v>
      </x:c>
    </x:row>
    <x:row r="797">
      <x:c r="A797" s="35" t="n">
        <x:v>796</x:v>
      </x:c>
      <x:c r="B797" s="35" t="n">
        <x:v>37</x:v>
      </x:c>
      <x:c r="C797" s="35" t="str">
        <x:v>Male</x:v>
      </x:c>
      <x:c r="D797" s="35" t="str">
        <x:v>Sales</x:v>
      </x:c>
      <x:c r="E797" s="35" t="str">
        <x:v>Sales Executive</x:v>
      </x:c>
      <x:c r="F797" s="35" t="str">
        <x:v>Human Resources</x:v>
      </x:c>
      <x:c r="G797" s="35" t="str">
        <x:v>Married</x:v>
      </x:c>
      <x:c r="H797" s="35" t="n">
        <x:v>2</x:v>
      </x:c>
      <x:c r="I797" s="36" t="n">
        <x:v>8430</x:v>
      </x:c>
      <x:c r="J797" s="35" t="n">
        <x:v>9</x:v>
      </x:c>
      <x:c r="K797" s="35" t="n">
        <x:v>3</x:v>
      </x:c>
      <x:c r="L797" s="35" t="n">
        <x:v>2</x:v>
      </x:c>
      <x:c r="M797" s="35" t="n">
        <x:v>14</x:v>
      </x:c>
      <x:c r="N797" s="35" t="str">
        <x:v>No</x:v>
      </x:c>
      <x:c r="O797" s="35" t="n">
        <x:v>2</x:v>
      </x:c>
      <x:c r="P797" s="35" t="n">
        <x:v>1</x:v>
      </x:c>
      <x:c r="Q797" s="35" t="n">
        <x:v>3</x:v>
      </x:c>
      <x:c r="R797" s="35" t="n">
        <x:v>2</x:v>
      </x:c>
      <x:c r="S797" s="35" t="n">
        <x:v>3</x:v>
      </x:c>
      <x:c r="T797" s="35" t="n">
        <x:v>2</x:v>
      </x:c>
      <x:c r="U797" s="35" t="n">
        <x:v>1</x:v>
      </x:c>
      <x:c r="V797" s="35" t="n">
        <x:v>2</x:v>
      </x:c>
      <x:c r="W797" s="35" t="n">
        <x:v>0</x:v>
      </x:c>
      <x:c r="X797" s="35" t="n">
        <x:v>63</x:v>
      </x:c>
      <x:c r="Y797" s="35" t="n">
        <x:v>4</x:v>
      </x:c>
      <x:c r="Z797" s="35" t="n">
        <x:v>73</x:v>
      </x:c>
      <x:c r="AA797" s="35" t="n">
        <x:v>7</x:v>
      </x:c>
      <x:c r="AB797" s="35" t="n">
        <x:v>7</x:v>
      </x:c>
      <x:c r="AC797" s="35" t="n">
        <x:v>5</x:v>
      </x:c>
      <x:c r="AD797" s="35" t="n">
        <x:v>71</x:v>
      </x:c>
      <x:c r="AE797" s="35" t="n">
        <x:v>99</x:v>
      </x:c>
      <x:c r="AF797" s="35" t="n">
        <x:v>79</x:v>
      </x:c>
      <x:c r="AG797" s="35" t="n">
        <x:v>78</x:v>
      </x:c>
      <x:c r="AH797" s="35" t="n">
        <x:v>6</x:v>
      </x:c>
      <x:c r="AI797" s="37" t="n">
        <x:v>95.6</x:v>
      </x:c>
      <x:c r="AJ797" s="37" t="n">
        <x:v>100</x:v>
      </x:c>
      <x:c r="AK797" s="35" t="str">
        <x:v>No</x:v>
      </x:c>
      <x:c r="AL797" s="38" t="n">
        <x:f>IF(AA797=0,0,AB797/AA797)</x:f>
        <x:v>1</x:v>
      </x:c>
      <x:c r="AM797" s="38" t="n">
        <x:f>IF(AB797=0,0,AC797/AB797)</x:f>
        <x:v>0.7142857142857143</x:v>
      </x:c>
      <x:c r="AN797" s="37" t="n">
        <x:f>ROUND((AD797*0.20+AE797*0.20+AF797*0.25+AG797*0.15+MIN(100,AC797*12)*0.20),1)</x:f>
        <x:v>77.5</x:v>
      </x:c>
      <x:c r="AO797" s="37" t="n">
        <x:f>ROUND(MAX(0,MIN(100,(X797*0.35)+(W797/45*100*0.20)+((5-O797)/4*100*0.15)+((5-P797)/4*100*0.10)+((6-Y797)/5*100*0.10)+((100-Z797)*0.10))),1)</x:f>
        <x:v>50</x:v>
      </x:c>
      <x:c r="AP797" s="37" t="str">
        <x:f>IF(AO797&gt;=70,"High",IF(AO797&gt;=40,"Moderate","Low"))</x:f>
        <x:v>Moderate</x:v>
      </x:c>
      <x:c r="AQ797" s="37" t="n">
        <x:f>ROUND(MAX(0,MIN(100,(O797/4*100*0.25)+(P797/4*100*0.20)+(Q797/4*100*0.15)+(Y797/5*100*0.20)+(100-AO797)*0.20)),1)</x:f>
        <x:v>54.8</x:v>
      </x:c>
      <x:c r="AR797" s="37" t="n">
        <x:f>ROUND((AI797*0.20+AJ797*0.15+AN797*0.18+AG797*0.12+Z797*0.15+AQ797*0.20),1)</x:f>
        <x:v>79.3</x:v>
      </x:c>
      <x:c r="AS797" s="39" t="n">
        <x:f>ROUND((AC797*AF797*120)+(AH797*350)+(MAX(0,AI797-75)*220)+(MAX(0,AQ797-60)*100),0)</x:f>
        <x:v>54032</x:v>
      </x:c>
    </x:row>
    <x:row r="798">
      <x:c r="A798" s="35" t="n">
        <x:v>797</x:v>
      </x:c>
      <x:c r="B798" s="35" t="n">
        <x:v>33</x:v>
      </x:c>
      <x:c r="C798" s="35" t="str">
        <x:v>Male</x:v>
      </x:c>
      <x:c r="D798" s="35" t="str">
        <x:v>Research &amp; Development</x:v>
      </x:c>
      <x:c r="E798" s="35" t="str">
        <x:v>Data Scientist</x:v>
      </x:c>
      <x:c r="F798" s="35" t="str">
        <x:v>Technical Degree</x:v>
      </x:c>
      <x:c r="G798" s="35" t="str">
        <x:v>Married</x:v>
      </x:c>
      <x:c r="H798" s="35" t="n">
        <x:v>2</x:v>
      </x:c>
      <x:c r="I798" s="36" t="n">
        <x:v>12580</x:v>
      </x:c>
      <x:c r="J798" s="35" t="n">
        <x:v>6</x:v>
      </x:c>
      <x:c r="K798" s="35" t="n">
        <x:v>2</x:v>
      </x:c>
      <x:c r="L798" s="35" t="n">
        <x:v>1</x:v>
      </x:c>
      <x:c r="M798" s="35" t="n">
        <x:v>2</x:v>
      </x:c>
      <x:c r="N798" s="35" t="str">
        <x:v>No</x:v>
      </x:c>
      <x:c r="O798" s="35" t="n">
        <x:v>3</x:v>
      </x:c>
      <x:c r="P798" s="35" t="n">
        <x:v>2</x:v>
      </x:c>
      <x:c r="Q798" s="35" t="n">
        <x:v>3</x:v>
      </x:c>
      <x:c r="R798" s="35" t="n">
        <x:v>2</x:v>
      </x:c>
      <x:c r="S798" s="35" t="n">
        <x:v>3</x:v>
      </x:c>
      <x:c r="T798" s="35" t="n">
        <x:v>3</x:v>
      </x:c>
      <x:c r="U798" s="35" t="n">
        <x:v>0</x:v>
      </x:c>
      <x:c r="V798" s="35" t="n">
        <x:v>9</x:v>
      </x:c>
      <x:c r="W798" s="35" t="n">
        <x:v>0</x:v>
      </x:c>
      <x:c r="X798" s="35" t="n">
        <x:v>48</x:v>
      </x:c>
      <x:c r="Y798" s="35" t="n">
        <x:v>5</x:v>
      </x:c>
      <x:c r="Z798" s="35" t="n">
        <x:v>97</x:v>
      </x:c>
      <x:c r="AA798" s="35" t="n">
        <x:v>1</x:v>
      </x:c>
      <x:c r="AB798" s="35" t="n">
        <x:v>0</x:v>
      </x:c>
      <x:c r="AC798" s="35" t="n">
        <x:v>0</x:v>
      </x:c>
      <x:c r="AD798" s="35" t="n">
        <x:v>68</x:v>
      </x:c>
      <x:c r="AE798" s="35" t="n">
        <x:v>84</x:v>
      </x:c>
      <x:c r="AF798" s="35" t="n">
        <x:v>57</x:v>
      </x:c>
      <x:c r="AG798" s="35" t="n">
        <x:v>67</x:v>
      </x:c>
      <x:c r="AH798" s="35" t="n">
        <x:v>4</x:v>
      </x:c>
      <x:c r="AI798" s="37" t="n">
        <x:v>100</x:v>
      </x:c>
      <x:c r="AJ798" s="37" t="n">
        <x:v>89.5</x:v>
      </x:c>
      <x:c r="AK798" s="35" t="str">
        <x:v>No</x:v>
      </x:c>
      <x:c r="AL798" s="38" t="n">
        <x:f>IF(AA798=0,0,AB798/AA798)</x:f>
        <x:v>0</x:v>
      </x:c>
      <x:c r="AM798" s="38" t="n">
        <x:f>IF(AB798=0,0,AC798/AB798)</x:f>
        <x:v>0</x:v>
      </x:c>
      <x:c r="AN798" s="37" t="n">
        <x:f>ROUND((AD798*0.20+AE798*0.20+AF798*0.25+AG798*0.15+MIN(100,AC798*12)*0.20),1)</x:f>
        <x:v>54.7</x:v>
      </x:c>
      <x:c r="AO798" s="37" t="n">
        <x:f>ROUND(MAX(0,MIN(100,(X798*0.35)+(W798/45*100*0.20)+((5-O798)/4*100*0.15)+((5-P798)/4*100*0.10)+((6-Y798)/5*100*0.10)+((100-Z798)*0.10))),1)</x:f>
        <x:v>34.1</x:v>
      </x:c>
      <x:c r="AP798" s="37" t="str">
        <x:f>IF(AO798&gt;=70,"High",IF(AO798&gt;=40,"Moderate","Low"))</x:f>
        <x:v>Low</x:v>
      </x:c>
      <x:c r="AQ798" s="37" t="n">
        <x:f>ROUND(MAX(0,MIN(100,(O798/4*100*0.25)+(P798/4*100*0.20)+(Q798/4*100*0.15)+(Y798/5*100*0.20)+(100-AO798)*0.20)),1)</x:f>
        <x:v>73.2</x:v>
      </x:c>
      <x:c r="AR798" s="37" t="n">
        <x:f>ROUND((AI798*0.20+AJ798*0.15+AN798*0.18+AG798*0.12+Z798*0.15+AQ798*0.20),1)</x:f>
        <x:v>80.5</x:v>
      </x:c>
      <x:c r="AS798" s="39" t="n">
        <x:f>ROUND((AC798*AF798*120)+(AH798*350)+(MAX(0,AI798-75)*220)+(MAX(0,AQ798-60)*100),0)</x:f>
        <x:v>8220</x:v>
      </x:c>
    </x:row>
    <x:row r="799">
      <x:c r="A799" s="35" t="n">
        <x:v>798</x:v>
      </x:c>
      <x:c r="B799" s="35" t="n">
        <x:v>44</x:v>
      </x:c>
      <x:c r="C799" s="35" t="str">
        <x:v>Female</x:v>
      </x:c>
      <x:c r="D799" s="35" t="str">
        <x:v>Information Technology</x:v>
      </x:c>
      <x:c r="E799" s="35" t="str">
        <x:v>IT Manager</x:v>
      </x:c>
      <x:c r="F799" s="35" t="str">
        <x:v>Marketing</x:v>
      </x:c>
      <x:c r="G799" s="35" t="str">
        <x:v>Divorced</x:v>
      </x:c>
      <x:c r="H799" s="35" t="n">
        <x:v>3</x:v>
      </x:c>
      <x:c r="I799" s="36" t="n">
        <x:v>10300</x:v>
      </x:c>
      <x:c r="J799" s="35" t="n">
        <x:v>21</x:v>
      </x:c>
      <x:c r="K799" s="35" t="n">
        <x:v>13</x:v>
      </x:c>
      <x:c r="L799" s="35" t="n">
        <x:v>6</x:v>
      </x:c>
      <x:c r="M799" s="35" t="n">
        <x:v>8</x:v>
      </x:c>
      <x:c r="N799" s="35" t="str">
        <x:v>Yes</x:v>
      </x:c>
      <x:c r="O799" s="35" t="n">
        <x:v>3</x:v>
      </x:c>
      <x:c r="P799" s="35" t="n">
        <x:v>2</x:v>
      </x:c>
      <x:c r="Q799" s="35" t="n">
        <x:v>3</x:v>
      </x:c>
      <x:c r="R799" s="35" t="n">
        <x:v>4</x:v>
      </x:c>
      <x:c r="S799" s="35" t="n">
        <x:v>3</x:v>
      </x:c>
      <x:c r="T799" s="35" t="n">
        <x:v>2</x:v>
      </x:c>
      <x:c r="U799" s="35" t="n">
        <x:v>1</x:v>
      </x:c>
      <x:c r="V799" s="35" t="n">
        <x:v>8</x:v>
      </x:c>
      <x:c r="W799" s="35" t="n">
        <x:v>26</x:v>
      </x:c>
      <x:c r="X799" s="35" t="n">
        <x:v>85</x:v>
      </x:c>
      <x:c r="Y799" s="35" t="n">
        <x:v>3</x:v>
      </x:c>
      <x:c r="Z799" s="35" t="n">
        <x:v>91</x:v>
      </x:c>
      <x:c r="AA799" s="35" t="n">
        <x:v>2</x:v>
      </x:c>
      <x:c r="AB799" s="35" t="n">
        <x:v>2</x:v>
      </x:c>
      <x:c r="AC799" s="35" t="n">
        <x:v>2</x:v>
      </x:c>
      <x:c r="AD799" s="35" t="n">
        <x:v>73</x:v>
      </x:c>
      <x:c r="AE799" s="35" t="n">
        <x:v>91</x:v>
      </x:c>
      <x:c r="AF799" s="35" t="n">
        <x:v>63</x:v>
      </x:c>
      <x:c r="AG799" s="35" t="n">
        <x:v>99</x:v>
      </x:c>
      <x:c r="AH799" s="35" t="n">
        <x:v>7</x:v>
      </x:c>
      <x:c r="AI799" s="37" t="n">
        <x:v>99.2</x:v>
      </x:c>
      <x:c r="AJ799" s="37" t="n">
        <x:v>100</x:v>
      </x:c>
      <x:c r="AK799" s="35" t="str">
        <x:v>No</x:v>
      </x:c>
      <x:c r="AL799" s="38" t="n">
        <x:f>IF(AA799=0,0,AB799/AA799)</x:f>
        <x:v>1</x:v>
      </x:c>
      <x:c r="AM799" s="38" t="n">
        <x:f>IF(AB799=0,0,AC799/AB799)</x:f>
        <x:v>1</x:v>
      </x:c>
      <x:c r="AN799" s="37" t="n">
        <x:f>ROUND((AD799*0.20+AE799*0.20+AF799*0.25+AG799*0.15+MIN(100,AC799*12)*0.20),1)</x:f>
        <x:v>68.2</x:v>
      </x:c>
      <x:c r="AO799" s="37" t="n">
        <x:f>ROUND(MAX(0,MIN(100,(X799*0.35)+(W799/45*100*0.20)+((5-O799)/4*100*0.15)+((5-P799)/4*100*0.10)+((6-Y799)/5*100*0.10)+((100-Z799)*0.10))),1)</x:f>
        <x:v>63.2</x:v>
      </x:c>
      <x:c r="AP799" s="37" t="str">
        <x:f>IF(AO799&gt;=70,"High",IF(AO799&gt;=40,"Moderate","Low"))</x:f>
        <x:v>Moderate</x:v>
      </x:c>
      <x:c r="AQ799" s="37" t="n">
        <x:f>ROUND(MAX(0,MIN(100,(O799/4*100*0.25)+(P799/4*100*0.20)+(Q799/4*100*0.15)+(Y799/5*100*0.20)+(100-AO799)*0.20)),1)</x:f>
        <x:v>59.4</x:v>
      </x:c>
      <x:c r="AR799" s="37" t="n">
        <x:f>ROUND((AI799*0.20+AJ799*0.15+AN799*0.18+AG799*0.12+Z799*0.15+AQ799*0.20),1)</x:f>
        <x:v>84.5</x:v>
      </x:c>
      <x:c r="AS799" s="39" t="n">
        <x:f>ROUND((AC799*AF799*120)+(AH799*350)+(MAX(0,AI799-75)*220)+(MAX(0,AQ799-60)*100),0)</x:f>
        <x:v>22894</x:v>
      </x:c>
    </x:row>
    <x:row r="800">
      <x:c r="A800" s="35" t="n">
        <x:v>799</x:v>
      </x:c>
      <x:c r="B800" s="35" t="n">
        <x:v>37</x:v>
      </x:c>
      <x:c r="C800" s="35" t="str">
        <x:v>Female</x:v>
      </x:c>
      <x:c r="D800" s="35" t="str">
        <x:v>Research &amp; Development</x:v>
      </x:c>
      <x:c r="E800" s="35" t="str">
        <x:v>Research Scientist</x:v>
      </x:c>
      <x:c r="F800" s="35" t="str">
        <x:v>Business</x:v>
      </x:c>
      <x:c r="G800" s="35" t="str">
        <x:v>Single</x:v>
      </x:c>
      <x:c r="H800" s="35" t="n">
        <x:v>2</x:v>
      </x:c>
      <x:c r="I800" s="36" t="n">
        <x:v>9690</x:v>
      </x:c>
      <x:c r="J800" s="35" t="n">
        <x:v>11</x:v>
      </x:c>
      <x:c r="K800" s="35" t="n">
        <x:v>6</x:v>
      </x:c>
      <x:c r="L800" s="35" t="n">
        <x:v>2</x:v>
      </x:c>
      <x:c r="M800" s="35" t="n">
        <x:v>26</x:v>
      </x:c>
      <x:c r="N800" s="35" t="str">
        <x:v>No</x:v>
      </x:c>
      <x:c r="O800" s="35" t="n">
        <x:v>3</x:v>
      </x:c>
      <x:c r="P800" s="35" t="n">
        <x:v>3</x:v>
      </x:c>
      <x:c r="Q800" s="35" t="n">
        <x:v>4</x:v>
      </x:c>
      <x:c r="R800" s="35" t="n">
        <x:v>2</x:v>
      </x:c>
      <x:c r="S800" s="35" t="n">
        <x:v>3</x:v>
      </x:c>
      <x:c r="T800" s="35" t="n">
        <x:v>2</x:v>
      </x:c>
      <x:c r="U800" s="35" t="n">
        <x:v>0</x:v>
      </x:c>
      <x:c r="V800" s="35" t="n">
        <x:v>10</x:v>
      </x:c>
      <x:c r="W800" s="35" t="n">
        <x:v>5</x:v>
      </x:c>
      <x:c r="X800" s="35" t="n">
        <x:v>83</x:v>
      </x:c>
      <x:c r="Y800" s="35" t="n">
        <x:v>4</x:v>
      </x:c>
      <x:c r="Z800" s="35" t="n">
        <x:v>91</x:v>
      </x:c>
      <x:c r="AA800" s="35" t="n">
        <x:v>6</x:v>
      </x:c>
      <x:c r="AB800" s="35" t="n">
        <x:v>6</x:v>
      </x:c>
      <x:c r="AC800" s="35" t="n">
        <x:v>4</x:v>
      </x:c>
      <x:c r="AD800" s="35" t="n">
        <x:v>75</x:v>
      </x:c>
      <x:c r="AE800" s="35" t="n">
        <x:v>81</x:v>
      </x:c>
      <x:c r="AF800" s="35" t="n">
        <x:v>87</x:v>
      </x:c>
      <x:c r="AG800" s="35" t="n">
        <x:v>65</x:v>
      </x:c>
      <x:c r="AH800" s="35" t="n">
        <x:v>5</x:v>
      </x:c>
      <x:c r="AI800" s="37" t="n">
        <x:v>100</x:v>
      </x:c>
      <x:c r="AJ800" s="37" t="n">
        <x:v>87.1</x:v>
      </x:c>
      <x:c r="AK800" s="35" t="str">
        <x:v>No</x:v>
      </x:c>
      <x:c r="AL800" s="38" t="n">
        <x:f>IF(AA800=0,0,AB800/AA800)</x:f>
        <x:v>1</x:v>
      </x:c>
      <x:c r="AM800" s="38" t="n">
        <x:f>IF(AB800=0,0,AC800/AB800)</x:f>
        <x:v>0.6666666666666666</x:v>
      </x:c>
      <x:c r="AN800" s="37" t="n">
        <x:f>ROUND((AD800*0.20+AE800*0.20+AF800*0.25+AG800*0.15+MIN(100,AC800*12)*0.20),1)</x:f>
        <x:v>72.3</x:v>
      </x:c>
      <x:c r="AO800" s="37" t="n">
        <x:f>ROUND(MAX(0,MIN(100,(X800*0.35)+(W800/45*100*0.20)+((5-O800)/4*100*0.15)+((5-P800)/4*100*0.10)+((6-Y800)/5*100*0.10)+((100-Z800)*0.10))),1)</x:f>
        <x:v>48.7</x:v>
      </x:c>
      <x:c r="AP800" s="37" t="str">
        <x:f>IF(AO800&gt;=70,"High",IF(AO800&gt;=40,"Moderate","Low"))</x:f>
        <x:v>Moderate</x:v>
      </x:c>
      <x:c r="AQ800" s="37" t="n">
        <x:f>ROUND(MAX(0,MIN(100,(O800/4*100*0.25)+(P800/4*100*0.20)+(Q800/4*100*0.15)+(Y800/5*100*0.20)+(100-AO800)*0.20)),1)</x:f>
        <x:v>75</x:v>
      </x:c>
      <x:c r="AR800" s="37" t="n">
        <x:f>ROUND((AI800*0.20+AJ800*0.15+AN800*0.18+AG800*0.12+Z800*0.15+AQ800*0.20),1)</x:f>
        <x:v>82.5</x:v>
      </x:c>
      <x:c r="AS800" s="39" t="n">
        <x:f>ROUND((AC800*AF800*120)+(AH800*350)+(MAX(0,AI800-75)*220)+(MAX(0,AQ800-60)*100),0)</x:f>
        <x:v>50510</x:v>
      </x:c>
    </x:row>
    <x:row r="801">
      <x:c r="A801" s="35" t="n">
        <x:v>800</x:v>
      </x:c>
      <x:c r="B801" s="35" t="n">
        <x:v>28</x:v>
      </x:c>
      <x:c r="C801" s="35" t="str">
        <x:v>Female</x:v>
      </x:c>
      <x:c r="D801" s="35" t="str">
        <x:v>Sales</x:v>
      </x:c>
      <x:c r="E801" s="35" t="str">
        <x:v>Account Manager</x:v>
      </x:c>
      <x:c r="F801" s="35" t="str">
        <x:v>Technical Degree</x:v>
      </x:c>
      <x:c r="G801" s="35" t="str">
        <x:v>Single</x:v>
      </x:c>
      <x:c r="H801" s="35" t="n">
        <x:v>1</x:v>
      </x:c>
      <x:c r="I801" s="36" t="n">
        <x:v>4950</x:v>
      </x:c>
      <x:c r="J801" s="35" t="n">
        <x:v>5</x:v>
      </x:c>
      <x:c r="K801" s="35" t="n">
        <x:v>4</x:v>
      </x:c>
      <x:c r="L801" s="35" t="n">
        <x:v>3</x:v>
      </x:c>
      <x:c r="M801" s="35" t="n">
        <x:v>15</x:v>
      </x:c>
      <x:c r="N801" s="35" t="str">
        <x:v>No</x:v>
      </x:c>
      <x:c r="O801" s="35" t="n">
        <x:v>2</x:v>
      </x:c>
      <x:c r="P801" s="35" t="n">
        <x:v>2</x:v>
      </x:c>
      <x:c r="Q801" s="35" t="n">
        <x:v>3</x:v>
      </x:c>
      <x:c r="R801" s="35" t="n">
        <x:v>3</x:v>
      </x:c>
      <x:c r="S801" s="35" t="n">
        <x:v>3</x:v>
      </x:c>
      <x:c r="T801" s="35" t="n">
        <x:v>2</x:v>
      </x:c>
      <x:c r="U801" s="35" t="n">
        <x:v>0</x:v>
      </x:c>
      <x:c r="V801" s="35" t="n">
        <x:v>10</x:v>
      </x:c>
      <x:c r="W801" s="35" t="n">
        <x:v>11</x:v>
      </x:c>
      <x:c r="X801" s="35" t="n">
        <x:v>91</x:v>
      </x:c>
      <x:c r="Y801" s="35" t="n">
        <x:v>3</x:v>
      </x:c>
      <x:c r="Z801" s="35" t="n">
        <x:v>97</x:v>
      </x:c>
      <x:c r="AA801" s="35" t="n">
        <x:v>6</x:v>
      </x:c>
      <x:c r="AB801" s="35" t="n">
        <x:v>6</x:v>
      </x:c>
      <x:c r="AC801" s="35" t="n">
        <x:v>4</x:v>
      </x:c>
      <x:c r="AD801" s="35" t="n">
        <x:v>72</x:v>
      </x:c>
      <x:c r="AE801" s="35" t="n">
        <x:v>88</x:v>
      </x:c>
      <x:c r="AF801" s="35" t="n">
        <x:v>54</x:v>
      </x:c>
      <x:c r="AG801" s="35" t="n">
        <x:v>100</x:v>
      </x:c>
      <x:c r="AH801" s="35" t="n">
        <x:v>10</x:v>
      </x:c>
      <x:c r="AI801" s="37" t="n">
        <x:v>92.7</x:v>
      </x:c>
      <x:c r="AJ801" s="37" t="n">
        <x:v>97.4</x:v>
      </x:c>
      <x:c r="AK801" s="35" t="str">
        <x:v>No</x:v>
      </x:c>
      <x:c r="AL801" s="38" t="n">
        <x:f>IF(AA801=0,0,AB801/AA801)</x:f>
        <x:v>1</x:v>
      </x:c>
      <x:c r="AM801" s="38" t="n">
        <x:f>IF(AB801=0,0,AC801/AB801)</x:f>
        <x:v>0.6666666666666666</x:v>
      </x:c>
      <x:c r="AN801" s="37" t="n">
        <x:f>ROUND((AD801*0.20+AE801*0.20+AF801*0.25+AG801*0.15+MIN(100,AC801*12)*0.20),1)</x:f>
        <x:v>70.1</x:v>
      </x:c>
      <x:c r="AO801" s="37" t="n">
        <x:f>ROUND(MAX(0,MIN(100,(X801*0.35)+(W801/45*100*0.20)+((5-O801)/4*100*0.15)+((5-P801)/4*100*0.10)+((6-Y801)/5*100*0.10)+((100-Z801)*0.10))),1)</x:f>
        <x:v>61.8</x:v>
      </x:c>
      <x:c r="AP801" s="37" t="str">
        <x:f>IF(AO801&gt;=70,"High",IF(AO801&gt;=40,"Moderate","Low"))</x:f>
        <x:v>Moderate</x:v>
      </x:c>
      <x:c r="AQ801" s="37" t="n">
        <x:f>ROUND(MAX(0,MIN(100,(O801/4*100*0.25)+(P801/4*100*0.20)+(Q801/4*100*0.15)+(Y801/5*100*0.20)+(100-AO801)*0.20)),1)</x:f>
        <x:v>53.4</x:v>
      </x:c>
      <x:c r="AR801" s="37" t="n">
        <x:f>ROUND((AI801*0.20+AJ801*0.15+AN801*0.18+AG801*0.12+Z801*0.15+AQ801*0.20),1)</x:f>
        <x:v>83</x:v>
      </x:c>
      <x:c r="AS801" s="39" t="n">
        <x:f>ROUND((AC801*AF801*120)+(AH801*350)+(MAX(0,AI801-75)*220)+(MAX(0,AQ801-60)*100),0)</x:f>
        <x:v>33314</x:v>
      </x:c>
    </x:row>
    <x:row r="802">
      <x:c r="A802" s="35" t="n">
        <x:v>801</x:v>
      </x:c>
      <x:c r="B802" s="35" t="n">
        <x:v>48</x:v>
      </x:c>
      <x:c r="C802" s="35" t="str">
        <x:v>Female</x:v>
      </x:c>
      <x:c r="D802" s="35" t="str">
        <x:v>Research &amp; Development</x:v>
      </x:c>
      <x:c r="E802" s="35" t="str">
        <x:v>Data Scientist</x:v>
      </x:c>
      <x:c r="F802" s="35" t="str">
        <x:v>Marketing</x:v>
      </x:c>
      <x:c r="G802" s="35" t="str">
        <x:v>Divorced</x:v>
      </x:c>
      <x:c r="H802" s="35" t="n">
        <x:v>4</x:v>
      </x:c>
      <x:c r="I802" s="36" t="n">
        <x:v>26540</x:v>
      </x:c>
      <x:c r="J802" s="35" t="n">
        <x:v>15</x:v>
      </x:c>
      <x:c r="K802" s="35" t="n">
        <x:v>7</x:v>
      </x:c>
      <x:c r="L802" s="35" t="n">
        <x:v>4</x:v>
      </x:c>
      <x:c r="M802" s="35" t="n">
        <x:v>9</x:v>
      </x:c>
      <x:c r="N802" s="35" t="str">
        <x:v>No</x:v>
      </x:c>
      <x:c r="O802" s="35" t="n">
        <x:v>3</x:v>
      </x:c>
      <x:c r="P802" s="35" t="n">
        <x:v>3</x:v>
      </x:c>
      <x:c r="Q802" s="35" t="n">
        <x:v>4</x:v>
      </x:c>
      <x:c r="R802" s="35" t="n">
        <x:v>3</x:v>
      </x:c>
      <x:c r="S802" s="35" t="n">
        <x:v>3</x:v>
      </x:c>
      <x:c r="T802" s="35" t="n">
        <x:v>2</x:v>
      </x:c>
      <x:c r="U802" s="35" t="n">
        <x:v>1</x:v>
      </x:c>
      <x:c r="V802" s="35" t="n">
        <x:v>4</x:v>
      </x:c>
      <x:c r="W802" s="35" t="n">
        <x:v>3</x:v>
      </x:c>
      <x:c r="X802" s="35" t="n">
        <x:v>61</x:v>
      </x:c>
      <x:c r="Y802" s="35" t="n">
        <x:v>5</x:v>
      </x:c>
      <x:c r="Z802" s="35" t="n">
        <x:v>100</x:v>
      </x:c>
      <x:c r="AA802" s="35" t="n">
        <x:v>4</x:v>
      </x:c>
      <x:c r="AB802" s="35" t="n">
        <x:v>3</x:v>
      </x:c>
      <x:c r="AC802" s="35" t="n">
        <x:v>2</x:v>
      </x:c>
      <x:c r="AD802" s="35" t="n">
        <x:v>68</x:v>
      </x:c>
      <x:c r="AE802" s="35" t="n">
        <x:v>75</x:v>
      </x:c>
      <x:c r="AF802" s="35" t="n">
        <x:v>86</x:v>
      </x:c>
      <x:c r="AG802" s="35" t="n">
        <x:v>96</x:v>
      </x:c>
      <x:c r="AH802" s="35" t="n">
        <x:v>8</x:v>
      </x:c>
      <x:c r="AI802" s="37" t="n">
        <x:v>100</x:v>
      </x:c>
      <x:c r="AJ802" s="37" t="n">
        <x:v>79.3</x:v>
      </x:c>
      <x:c r="AK802" s="35" t="str">
        <x:v>No</x:v>
      </x:c>
      <x:c r="AL802" s="38" t="n">
        <x:f>IF(AA802=0,0,AB802/AA802)</x:f>
        <x:v>0.75</x:v>
      </x:c>
      <x:c r="AM802" s="38" t="n">
        <x:f>IF(AB802=0,0,AC802/AB802)</x:f>
        <x:v>0.6666666666666666</x:v>
      </x:c>
      <x:c r="AN802" s="37" t="n">
        <x:f>ROUND((AD802*0.20+AE802*0.20+AF802*0.25+AG802*0.15+MIN(100,AC802*12)*0.20),1)</x:f>
        <x:v>69.3</x:v>
      </x:c>
      <x:c r="AO802" s="37" t="n">
        <x:f>ROUND(MAX(0,MIN(100,(X802*0.35)+(W802/45*100*0.20)+((5-O802)/4*100*0.15)+((5-P802)/4*100*0.10)+((6-Y802)/5*100*0.10)+((100-Z802)*0.10))),1)</x:f>
        <x:v>37.2</x:v>
      </x:c>
      <x:c r="AP802" s="37" t="str">
        <x:f>IF(AO802&gt;=70,"High",IF(AO802&gt;=40,"Moderate","Low"))</x:f>
        <x:v>Low</x:v>
      </x:c>
      <x:c r="AQ802" s="37" t="n">
        <x:f>ROUND(MAX(0,MIN(100,(O802/4*100*0.25)+(P802/4*100*0.20)+(Q802/4*100*0.15)+(Y802/5*100*0.20)+(100-AO802)*0.20)),1)</x:f>
        <x:v>81.3</x:v>
      </x:c>
      <x:c r="AR802" s="37" t="n">
        <x:f>ROUND((AI802*0.20+AJ802*0.15+AN802*0.18+AG802*0.12+Z802*0.15+AQ802*0.20),1)</x:f>
        <x:v>87.1</x:v>
      </x:c>
      <x:c r="AS802" s="39" t="n">
        <x:f>ROUND((AC802*AF802*120)+(AH802*350)+(MAX(0,AI802-75)*220)+(MAX(0,AQ802-60)*100),0)</x:f>
        <x:v>31070</x:v>
      </x:c>
    </x:row>
    <x:row r="803">
      <x:c r="A803" s="35" t="n">
        <x:v>802</x:v>
      </x:c>
      <x:c r="B803" s="35" t="n">
        <x:v>27</x:v>
      </x:c>
      <x:c r="C803" s="35" t="str">
        <x:v>Male</x:v>
      </x:c>
      <x:c r="D803" s="35" t="str">
        <x:v>Finance</x:v>
      </x:c>
      <x:c r="E803" s="35" t="str">
        <x:v>Financial Analyst</x:v>
      </x:c>
      <x:c r="F803" s="35" t="str">
        <x:v>Life Sciences</x:v>
      </x:c>
      <x:c r="G803" s="35" t="str">
        <x:v>Married</x:v>
      </x:c>
      <x:c r="H803" s="35" t="n">
        <x:v>1</x:v>
      </x:c>
      <x:c r="I803" s="36" t="n">
        <x:v>4840</x:v>
      </x:c>
      <x:c r="J803" s="35" t="n">
        <x:v>3</x:v>
      </x:c>
      <x:c r="K803" s="35" t="n">
        <x:v>1</x:v>
      </x:c>
      <x:c r="L803" s="35" t="n">
        <x:v>0</x:v>
      </x:c>
      <x:c r="M803" s="35" t="n">
        <x:v>12</x:v>
      </x:c>
      <x:c r="N803" s="35" t="str">
        <x:v>Yes</x:v>
      </x:c>
      <x:c r="O803" s="35" t="n">
        <x:v>3</x:v>
      </x:c>
      <x:c r="P803" s="35" t="n">
        <x:v>3</x:v>
      </x:c>
      <x:c r="Q803" s="35" t="n">
        <x:v>3</x:v>
      </x:c>
      <x:c r="R803" s="35" t="n">
        <x:v>3</x:v>
      </x:c>
      <x:c r="S803" s="35" t="n">
        <x:v>3</x:v>
      </x:c>
      <x:c r="T803" s="35" t="n">
        <x:v>1</x:v>
      </x:c>
      <x:c r="U803" s="35" t="n">
        <x:v>1</x:v>
      </x:c>
      <x:c r="V803" s="35" t="n">
        <x:v>9</x:v>
      </x:c>
      <x:c r="W803" s="35" t="n">
        <x:v>20</x:v>
      </x:c>
      <x:c r="X803" s="35" t="n">
        <x:v>80</x:v>
      </x:c>
      <x:c r="Y803" s="35" t="n">
        <x:v>4</x:v>
      </x:c>
      <x:c r="Z803" s="35" t="n">
        <x:v>86</x:v>
      </x:c>
      <x:c r="AA803" s="35" t="n">
        <x:v>2</x:v>
      </x:c>
      <x:c r="AB803" s="35" t="n">
        <x:v>2</x:v>
      </x:c>
      <x:c r="AC803" s="35" t="n">
        <x:v>2</x:v>
      </x:c>
      <x:c r="AD803" s="35" t="n">
        <x:v>62</x:v>
      </x:c>
      <x:c r="AE803" s="35" t="n">
        <x:v>73</x:v>
      </x:c>
      <x:c r="AF803" s="35" t="n">
        <x:v>72</x:v>
      </x:c>
      <x:c r="AG803" s="35" t="n">
        <x:v>89</x:v>
      </x:c>
      <x:c r="AH803" s="35" t="n">
        <x:v>5</x:v>
      </x:c>
      <x:c r="AI803" s="37" t="n">
        <x:v>99.5</x:v>
      </x:c>
      <x:c r="AJ803" s="37" t="n">
        <x:v>92.6</x:v>
      </x:c>
      <x:c r="AK803" s="35" t="str">
        <x:v>Yes</x:v>
      </x:c>
      <x:c r="AL803" s="38" t="n">
        <x:f>IF(AA803=0,0,AB803/AA803)</x:f>
        <x:v>1</x:v>
      </x:c>
      <x:c r="AM803" s="38" t="n">
        <x:f>IF(AB803=0,0,AC803/AB803)</x:f>
        <x:v>1</x:v>
      </x:c>
      <x:c r="AN803" s="37" t="n">
        <x:f>ROUND((AD803*0.20+AE803*0.20+AF803*0.25+AG803*0.15+MIN(100,AC803*12)*0.20),1)</x:f>
        <x:v>63.2</x:v>
      </x:c>
      <x:c r="AO803" s="37" t="n">
        <x:f>ROUND(MAX(0,MIN(100,(X803*0.35)+(W803/45*100*0.20)+((5-O803)/4*100*0.15)+((5-P803)/4*100*0.10)+((6-Y803)/5*100*0.10)+((100-Z803)*0.10))),1)</x:f>
        <x:v>54.8</x:v>
      </x:c>
      <x:c r="AP803" s="37" t="str">
        <x:f>IF(AO803&gt;=70,"High",IF(AO803&gt;=40,"Moderate","Low"))</x:f>
        <x:v>Moderate</x:v>
      </x:c>
      <x:c r="AQ803" s="37" t="n">
        <x:f>ROUND(MAX(0,MIN(100,(O803/4*100*0.25)+(P803/4*100*0.20)+(Q803/4*100*0.15)+(Y803/5*100*0.20)+(100-AO803)*0.20)),1)</x:f>
        <x:v>70</x:v>
      </x:c>
      <x:c r="AR803" s="37" t="n">
        <x:f>ROUND((AI803*0.20+AJ803*0.15+AN803*0.18+AG803*0.12+Z803*0.15+AQ803*0.20),1)</x:f>
        <x:v>82.7</x:v>
      </x:c>
      <x:c r="AS803" s="39" t="n">
        <x:f>ROUND((AC803*AF803*120)+(AH803*350)+(MAX(0,AI803-75)*220)+(MAX(0,AQ803-60)*100),0)</x:f>
        <x:v>25420</x:v>
      </x:c>
    </x:row>
    <x:row r="804">
      <x:c r="A804" s="35" t="n">
        <x:v>803</x:v>
      </x:c>
      <x:c r="B804" s="35" t="n">
        <x:v>30</x:v>
      </x:c>
      <x:c r="C804" s="35" t="str">
        <x:v>Female</x:v>
      </x:c>
      <x:c r="D804" s="35" t="str">
        <x:v>Research &amp; Development</x:v>
      </x:c>
      <x:c r="E804" s="35" t="str">
        <x:v>Research Scientist</x:v>
      </x:c>
      <x:c r="F804" s="35" t="str">
        <x:v>Medical</x:v>
      </x:c>
      <x:c r="G804" s="35" t="str">
        <x:v>Single</x:v>
      </x:c>
      <x:c r="H804" s="35" t="n">
        <x:v>2</x:v>
      </x:c>
      <x:c r="I804" s="36" t="n">
        <x:v>8810</x:v>
      </x:c>
      <x:c r="J804" s="35" t="n">
        <x:v>7</x:v>
      </x:c>
      <x:c r="K804" s="35" t="n">
        <x:v>5</x:v>
      </x:c>
      <x:c r="L804" s="35" t="n">
        <x:v>3</x:v>
      </x:c>
      <x:c r="M804" s="35" t="n">
        <x:v>16</x:v>
      </x:c>
      <x:c r="N804" s="35" t="str">
        <x:v>No</x:v>
      </x:c>
      <x:c r="O804" s="35" t="n">
        <x:v>4</x:v>
      </x:c>
      <x:c r="P804" s="35" t="n">
        <x:v>2</x:v>
      </x:c>
      <x:c r="Q804" s="35" t="n">
        <x:v>4</x:v>
      </x:c>
      <x:c r="R804" s="35" t="n">
        <x:v>3</x:v>
      </x:c>
      <x:c r="S804" s="35" t="n">
        <x:v>3</x:v>
      </x:c>
      <x:c r="T804" s="35" t="n">
        <x:v>3</x:v>
      </x:c>
      <x:c r="U804" s="35" t="n">
        <x:v>3</x:v>
      </x:c>
      <x:c r="V804" s="35" t="n">
        <x:v>5</x:v>
      </x:c>
      <x:c r="W804" s="35" t="n">
        <x:v>4</x:v>
      </x:c>
      <x:c r="X804" s="35" t="n">
        <x:v>53</x:v>
      </x:c>
      <x:c r="Y804" s="35" t="n">
        <x:v>5</x:v>
      </x:c>
      <x:c r="Z804" s="35" t="n">
        <x:v>100</x:v>
      </x:c>
      <x:c r="AA804" s="35" t="n">
        <x:v>9</x:v>
      </x:c>
      <x:c r="AB804" s="35" t="n">
        <x:v>7</x:v>
      </x:c>
      <x:c r="AC804" s="35" t="n">
        <x:v>5</x:v>
      </x:c>
      <x:c r="AD804" s="35" t="n">
        <x:v>100</x:v>
      </x:c>
      <x:c r="AE804" s="35" t="n">
        <x:v>80</x:v>
      </x:c>
      <x:c r="AF804" s="35" t="n">
        <x:v>70</x:v>
      </x:c>
      <x:c r="AG804" s="35" t="n">
        <x:v>84</x:v>
      </x:c>
      <x:c r="AH804" s="35" t="n">
        <x:v>9</x:v>
      </x:c>
      <x:c r="AI804" s="37" t="n">
        <x:v>100</x:v>
      </x:c>
      <x:c r="AJ804" s="37" t="n">
        <x:v>90.4</x:v>
      </x:c>
      <x:c r="AK804" s="35" t="str">
        <x:v>No</x:v>
      </x:c>
      <x:c r="AL804" s="38" t="n">
        <x:f>IF(AA804=0,0,AB804/AA804)</x:f>
        <x:v>0.7777777777777778</x:v>
      </x:c>
      <x:c r="AM804" s="38" t="n">
        <x:f>IF(AB804=0,0,AC804/AB804)</x:f>
        <x:v>0.7142857142857143</x:v>
      </x:c>
      <x:c r="AN804" s="37" t="n">
        <x:f>ROUND((AD804*0.20+AE804*0.20+AF804*0.25+AG804*0.15+MIN(100,AC804*12)*0.20),1)</x:f>
        <x:v>78.1</x:v>
      </x:c>
      <x:c r="AO804" s="37" t="n">
        <x:f>ROUND(MAX(0,MIN(100,(X804*0.35)+(W804/45*100*0.20)+((5-O804)/4*100*0.15)+((5-P804)/4*100*0.10)+((6-Y804)/5*100*0.10)+((100-Z804)*0.10))),1)</x:f>
        <x:v>33.6</x:v>
      </x:c>
      <x:c r="AP804" s="37" t="str">
        <x:f>IF(AO804&gt;=70,"High",IF(AO804&gt;=40,"Moderate","Low"))</x:f>
        <x:v>Low</x:v>
      </x:c>
      <x:c r="AQ804" s="37" t="n">
        <x:f>ROUND(MAX(0,MIN(100,(O804/4*100*0.25)+(P804/4*100*0.20)+(Q804/4*100*0.15)+(Y804/5*100*0.20)+(100-AO804)*0.20)),1)</x:f>
        <x:v>83.3</x:v>
      </x:c>
      <x:c r="AR804" s="37" t="n">
        <x:f>ROUND((AI804*0.20+AJ804*0.15+AN804*0.18+AG804*0.12+Z804*0.15+AQ804*0.20),1)</x:f>
        <x:v>89.4</x:v>
      </x:c>
      <x:c r="AS804" s="39" t="n">
        <x:f>ROUND((AC804*AF804*120)+(AH804*350)+(MAX(0,AI804-75)*220)+(MAX(0,AQ804-60)*100),0)</x:f>
        <x:v>52980</x:v>
      </x:c>
    </x:row>
    <x:row r="805">
      <x:c r="A805" s="35" t="n">
        <x:v>804</x:v>
      </x:c>
      <x:c r="B805" s="35" t="n">
        <x:v>21</x:v>
      </x:c>
      <x:c r="C805" s="35" t="str">
        <x:v>Male</x:v>
      </x:c>
      <x:c r="D805" s="35" t="str">
        <x:v>Research &amp; Development</x:v>
      </x:c>
      <x:c r="E805" s="35" t="str">
        <x:v>Laboratory Technician</x:v>
      </x:c>
      <x:c r="F805" s="35" t="str">
        <x:v>Computer Science</x:v>
      </x:c>
      <x:c r="G805" s="35" t="str">
        <x:v>Single</x:v>
      </x:c>
      <x:c r="H805" s="35" t="n">
        <x:v>2</x:v>
      </x:c>
      <x:c r="I805" s="36" t="n">
        <x:v>8290</x:v>
      </x:c>
      <x:c r="J805" s="35" t="n">
        <x:v>0</x:v>
      </x:c>
      <x:c r="K805" s="35" t="n">
        <x:v>0</x:v>
      </x:c>
      <x:c r="L805" s="35" t="n">
        <x:v>0</x:v>
      </x:c>
      <x:c r="M805" s="35" t="n">
        <x:v>13</x:v>
      </x:c>
      <x:c r="N805" s="35" t="str">
        <x:v>No</x:v>
      </x:c>
      <x:c r="O805" s="35" t="n">
        <x:v>3</x:v>
      </x:c>
      <x:c r="P805" s="35" t="n">
        <x:v>3</x:v>
      </x:c>
      <x:c r="Q805" s="35" t="n">
        <x:v>2</x:v>
      </x:c>
      <x:c r="R805" s="35" t="n">
        <x:v>3</x:v>
      </x:c>
      <x:c r="S805" s="35" t="n">
        <x:v>3</x:v>
      </x:c>
      <x:c r="T805" s="35" t="n">
        <x:v>2</x:v>
      </x:c>
      <x:c r="U805" s="35" t="n">
        <x:v>0</x:v>
      </x:c>
      <x:c r="V805" s="35" t="n">
        <x:v>2</x:v>
      </x:c>
      <x:c r="W805" s="35" t="n">
        <x:v>16</x:v>
      </x:c>
      <x:c r="X805" s="35" t="n">
        <x:v>75</x:v>
      </x:c>
      <x:c r="Y805" s="35" t="n">
        <x:v>4</x:v>
      </x:c>
      <x:c r="Z805" s="35" t="n">
        <x:v>96</x:v>
      </x:c>
      <x:c r="AA805" s="35" t="n">
        <x:v>6</x:v>
      </x:c>
      <x:c r="AB805" s="35" t="n">
        <x:v>5</x:v>
      </x:c>
      <x:c r="AC805" s="35" t="n">
        <x:v>4</x:v>
      </x:c>
      <x:c r="AD805" s="35" t="n">
        <x:v>81</x:v>
      </x:c>
      <x:c r="AE805" s="35" t="n">
        <x:v>92</x:v>
      </x:c>
      <x:c r="AF805" s="35" t="n">
        <x:v>61</x:v>
      </x:c>
      <x:c r="AG805" s="35" t="n">
        <x:v>100</x:v>
      </x:c>
      <x:c r="AH805" s="35" t="n">
        <x:v>9</x:v>
      </x:c>
      <x:c r="AI805" s="37" t="n">
        <x:v>100</x:v>
      </x:c>
      <x:c r="AJ805" s="37" t="n">
        <x:v>100</x:v>
      </x:c>
      <x:c r="AK805" s="35" t="str">
        <x:v>No</x:v>
      </x:c>
      <x:c r="AL805" s="38" t="n">
        <x:f>IF(AA805=0,0,AB805/AA805)</x:f>
        <x:v>0.8333333333333334</x:v>
      </x:c>
      <x:c r="AM805" s="38" t="n">
        <x:f>IF(AB805=0,0,AC805/AB805)</x:f>
        <x:v>0.8</x:v>
      </x:c>
      <x:c r="AN805" s="37" t="n">
        <x:f>ROUND((AD805*0.20+AE805*0.20+AF805*0.25+AG805*0.15+MIN(100,AC805*12)*0.20),1)</x:f>
        <x:v>74.4</x:v>
      </x:c>
      <x:c r="AO805" s="37" t="n">
        <x:f>ROUND(MAX(0,MIN(100,(X805*0.35)+(W805/45*100*0.20)+((5-O805)/4*100*0.15)+((5-P805)/4*100*0.10)+((6-Y805)/5*100*0.10)+((100-Z805)*0.10))),1)</x:f>
        <x:v>50.3</x:v>
      </x:c>
      <x:c r="AP805" s="37" t="str">
        <x:f>IF(AO805&gt;=70,"High",IF(AO805&gt;=40,"Moderate","Low"))</x:f>
        <x:v>Moderate</x:v>
      </x:c>
      <x:c r="AQ805" s="37" t="n">
        <x:f>ROUND(MAX(0,MIN(100,(O805/4*100*0.25)+(P805/4*100*0.20)+(Q805/4*100*0.15)+(Y805/5*100*0.20)+(100-AO805)*0.20)),1)</x:f>
        <x:v>67.2</x:v>
      </x:c>
      <x:c r="AR805" s="37" t="n">
        <x:f>ROUND((AI805*0.20+AJ805*0.15+AN805*0.18+AG805*0.12+Z805*0.15+AQ805*0.20),1)</x:f>
        <x:v>88.2</x:v>
      </x:c>
      <x:c r="AS805" s="39" t="n">
        <x:f>ROUND((AC805*AF805*120)+(AH805*350)+(MAX(0,AI805-75)*220)+(MAX(0,AQ805-60)*100),0)</x:f>
        <x:v>38650</x:v>
      </x:c>
    </x:row>
    <x:row r="806">
      <x:c r="A806" s="35" t="n">
        <x:v>805</x:v>
      </x:c>
      <x:c r="B806" s="35" t="n">
        <x:v>50</x:v>
      </x:c>
      <x:c r="C806" s="35" t="str">
        <x:v>Female</x:v>
      </x:c>
      <x:c r="D806" s="35" t="str">
        <x:v>Sales</x:v>
      </x:c>
      <x:c r="E806" s="35" t="str">
        <x:v>Sales Executive</x:v>
      </x:c>
      <x:c r="F806" s="35" t="str">
        <x:v>Human Resources</x:v>
      </x:c>
      <x:c r="G806" s="35" t="str">
        <x:v>Single</x:v>
      </x:c>
      <x:c r="H806" s="35" t="n">
        <x:v>4</x:v>
      </x:c>
      <x:c r="I806" s="36" t="n">
        <x:v>24720</x:v>
      </x:c>
      <x:c r="J806" s="35" t="n">
        <x:v>25</x:v>
      </x:c>
      <x:c r="K806" s="35" t="n">
        <x:v>7</x:v>
      </x:c>
      <x:c r="L806" s="35" t="n">
        <x:v>5</x:v>
      </x:c>
      <x:c r="M806" s="35" t="n">
        <x:v>4</x:v>
      </x:c>
      <x:c r="N806" s="35" t="str">
        <x:v>Yes</x:v>
      </x:c>
      <x:c r="O806" s="35" t="n">
        <x:v>2</x:v>
      </x:c>
      <x:c r="P806" s="35" t="n">
        <x:v>3</x:v>
      </x:c>
      <x:c r="Q806" s="35" t="n">
        <x:v>3</x:v>
      </x:c>
      <x:c r="R806" s="35" t="n">
        <x:v>4</x:v>
      </x:c>
      <x:c r="S806" s="35" t="n">
        <x:v>3</x:v>
      </x:c>
      <x:c r="T806" s="35" t="n">
        <x:v>2</x:v>
      </x:c>
      <x:c r="U806" s="35" t="n">
        <x:v>0</x:v>
      </x:c>
      <x:c r="V806" s="35" t="n">
        <x:v>5</x:v>
      </x:c>
      <x:c r="W806" s="35" t="n">
        <x:v>19</x:v>
      </x:c>
      <x:c r="X806" s="35" t="n">
        <x:v>58</x:v>
      </x:c>
      <x:c r="Y806" s="35" t="n">
        <x:v>5</x:v>
      </x:c>
      <x:c r="Z806" s="35" t="n">
        <x:v>100</x:v>
      </x:c>
      <x:c r="AA806" s="35" t="n">
        <x:v>2</x:v>
      </x:c>
      <x:c r="AB806" s="35" t="n">
        <x:v>1</x:v>
      </x:c>
      <x:c r="AC806" s="35" t="n">
        <x:v>1</x:v>
      </x:c>
      <x:c r="AD806" s="35" t="n">
        <x:v>46</x:v>
      </x:c>
      <x:c r="AE806" s="35" t="n">
        <x:v>73</x:v>
      </x:c>
      <x:c r="AF806" s="35" t="n">
        <x:v>70</x:v>
      </x:c>
      <x:c r="AG806" s="35" t="n">
        <x:v>98</x:v>
      </x:c>
      <x:c r="AH806" s="35" t="n">
        <x:v>4</x:v>
      </x:c>
      <x:c r="AI806" s="37" t="n">
        <x:v>100</x:v>
      </x:c>
      <x:c r="AJ806" s="37" t="n">
        <x:v>95.6</x:v>
      </x:c>
      <x:c r="AK806" s="35" t="str">
        <x:v>No</x:v>
      </x:c>
      <x:c r="AL806" s="38" t="n">
        <x:f>IF(AA806=0,0,AB806/AA806)</x:f>
        <x:v>0.5</x:v>
      </x:c>
      <x:c r="AM806" s="38" t="n">
        <x:f>IF(AB806=0,0,AC806/AB806)</x:f>
        <x:v>1</x:v>
      </x:c>
      <x:c r="AN806" s="37" t="n">
        <x:f>ROUND((AD806*0.20+AE806*0.20+AF806*0.25+AG806*0.15+MIN(100,AC806*12)*0.20),1)</x:f>
        <x:v>58.4</x:v>
      </x:c>
      <x:c r="AO806" s="37" t="n">
        <x:f>ROUND(MAX(0,MIN(100,(X806*0.35)+(W806/45*100*0.20)+((5-O806)/4*100*0.15)+((5-P806)/4*100*0.10)+((6-Y806)/5*100*0.10)+((100-Z806)*0.10))),1)</x:f>
        <x:v>47</x:v>
      </x:c>
      <x:c r="AP806" s="37" t="str">
        <x:f>IF(AO806&gt;=70,"High",IF(AO806&gt;=40,"Moderate","Low"))</x:f>
        <x:v>Moderate</x:v>
      </x:c>
      <x:c r="AQ806" s="37" t="n">
        <x:f>ROUND(MAX(0,MIN(100,(O806/4*100*0.25)+(P806/4*100*0.20)+(Q806/4*100*0.15)+(Y806/5*100*0.20)+(100-AO806)*0.20)),1)</x:f>
        <x:v>69.4</x:v>
      </x:c>
      <x:c r="AR806" s="37" t="n">
        <x:f>ROUND((AI806*0.20+AJ806*0.15+AN806*0.18+AG806*0.12+Z806*0.15+AQ806*0.20),1)</x:f>
        <x:v>85.5</x:v>
      </x:c>
      <x:c r="AS806" s="39" t="n">
        <x:f>ROUND((AC806*AF806*120)+(AH806*350)+(MAX(0,AI806-75)*220)+(MAX(0,AQ806-60)*100),0)</x:f>
        <x:v>16240</x:v>
      </x:c>
    </x:row>
    <x:row r="807">
      <x:c r="A807" s="35" t="n">
        <x:v>806</x:v>
      </x:c>
      <x:c r="B807" s="35" t="n">
        <x:v>32</x:v>
      </x:c>
      <x:c r="C807" s="35" t="str">
        <x:v>Female</x:v>
      </x:c>
      <x:c r="D807" s="35" t="str">
        <x:v>Research &amp; Development</x:v>
      </x:c>
      <x:c r="E807" s="35" t="str">
        <x:v>Laboratory Technician</x:v>
      </x:c>
      <x:c r="F807" s="35" t="str">
        <x:v>Computer Science</x:v>
      </x:c>
      <x:c r="G807" s="35" t="str">
        <x:v>Divorced</x:v>
      </x:c>
      <x:c r="H807" s="35" t="n">
        <x:v>2</x:v>
      </x:c>
      <x:c r="I807" s="36" t="n">
        <x:v>7990</x:v>
      </x:c>
      <x:c r="J807" s="35" t="n">
        <x:v>7</x:v>
      </x:c>
      <x:c r="K807" s="35" t="n">
        <x:v>4</x:v>
      </x:c>
      <x:c r="L807" s="35" t="n">
        <x:v>3</x:v>
      </x:c>
      <x:c r="M807" s="35" t="n">
        <x:v>5</x:v>
      </x:c>
      <x:c r="N807" s="35" t="str">
        <x:v>No</x:v>
      </x:c>
      <x:c r="O807" s="35" t="n">
        <x:v>3</x:v>
      </x:c>
      <x:c r="P807" s="35" t="n">
        <x:v>3</x:v>
      </x:c>
      <x:c r="Q807" s="35" t="n">
        <x:v>2</x:v>
      </x:c>
      <x:c r="R807" s="35" t="n">
        <x:v>2</x:v>
      </x:c>
      <x:c r="S807" s="35" t="n">
        <x:v>3</x:v>
      </x:c>
      <x:c r="T807" s="35" t="n">
        <x:v>3</x:v>
      </x:c>
      <x:c r="U807" s="35" t="n">
        <x:v>1</x:v>
      </x:c>
      <x:c r="V807" s="35" t="n">
        <x:v>6</x:v>
      </x:c>
      <x:c r="W807" s="35" t="n">
        <x:v>12</x:v>
      </x:c>
      <x:c r="X807" s="35" t="n">
        <x:v>58</x:v>
      </x:c>
      <x:c r="Y807" s="35" t="n">
        <x:v>5</x:v>
      </x:c>
      <x:c r="Z807" s="35" t="n">
        <x:v>100</x:v>
      </x:c>
      <x:c r="AA807" s="35" t="n">
        <x:v>8</x:v>
      </x:c>
      <x:c r="AB807" s="35" t="n">
        <x:v>5</x:v>
      </x:c>
      <x:c r="AC807" s="35" t="n">
        <x:v>4</x:v>
      </x:c>
      <x:c r="AD807" s="35" t="n">
        <x:v>90</x:v>
      </x:c>
      <x:c r="AE807" s="35" t="n">
        <x:v>100</x:v>
      </x:c>
      <x:c r="AF807" s="35" t="n">
        <x:v>75</x:v>
      </x:c>
      <x:c r="AG807" s="35" t="n">
        <x:v>87</x:v>
      </x:c>
      <x:c r="AH807" s="35" t="n">
        <x:v>7</x:v>
      </x:c>
      <x:c r="AI807" s="37" t="n">
        <x:v>91</x:v>
      </x:c>
      <x:c r="AJ807" s="37" t="n">
        <x:v>98.3</x:v>
      </x:c>
      <x:c r="AK807" s="35" t="str">
        <x:v>Yes</x:v>
      </x:c>
      <x:c r="AL807" s="38" t="n">
        <x:f>IF(AA807=0,0,AB807/AA807)</x:f>
        <x:v>0.625</x:v>
      </x:c>
      <x:c r="AM807" s="38" t="n">
        <x:f>IF(AB807=0,0,AC807/AB807)</x:f>
        <x:v>0.8</x:v>
      </x:c>
      <x:c r="AN807" s="37" t="n">
        <x:f>ROUND((AD807*0.20+AE807*0.20+AF807*0.25+AG807*0.15+MIN(100,AC807*12)*0.20),1)</x:f>
        <x:v>79.4</x:v>
      </x:c>
      <x:c r="AO807" s="37" t="n">
        <x:f>ROUND(MAX(0,MIN(100,(X807*0.35)+(W807/45*100*0.20)+((5-O807)/4*100*0.15)+((5-P807)/4*100*0.10)+((6-Y807)/5*100*0.10)+((100-Z807)*0.10))),1)</x:f>
        <x:v>40.1</x:v>
      </x:c>
      <x:c r="AP807" s="37" t="str">
        <x:f>IF(AO807&gt;=70,"High",IF(AO807&gt;=40,"Moderate","Low"))</x:f>
        <x:v>Moderate</x:v>
      </x:c>
      <x:c r="AQ807" s="37" t="n">
        <x:f>ROUND(MAX(0,MIN(100,(O807/4*100*0.25)+(P807/4*100*0.20)+(Q807/4*100*0.15)+(Y807/5*100*0.20)+(100-AO807)*0.20)),1)</x:f>
        <x:v>73.2</x:v>
      </x:c>
      <x:c r="AR807" s="37" t="n">
        <x:f>ROUND((AI807*0.20+AJ807*0.15+AN807*0.18+AG807*0.12+Z807*0.15+AQ807*0.20),1)</x:f>
        <x:v>87.3</x:v>
      </x:c>
      <x:c r="AS807" s="39" t="n">
        <x:f>ROUND((AC807*AF807*120)+(AH807*350)+(MAX(0,AI807-75)*220)+(MAX(0,AQ807-60)*100),0)</x:f>
        <x:v>43290</x:v>
      </x:c>
    </x:row>
    <x:row r="808">
      <x:c r="A808" s="35" t="n">
        <x:v>807</x:v>
      </x:c>
      <x:c r="B808" s="35" t="n">
        <x:v>34</x:v>
      </x:c>
      <x:c r="C808" s="35" t="str">
        <x:v>Male</x:v>
      </x:c>
      <x:c r="D808" s="35" t="str">
        <x:v>Research &amp; Development</x:v>
      </x:c>
      <x:c r="E808" s="35" t="str">
        <x:v>R&amp;D Manager</x:v>
      </x:c>
      <x:c r="F808" s="35" t="str">
        <x:v>Computer Science</x:v>
      </x:c>
      <x:c r="G808" s="35" t="str">
        <x:v>Married</x:v>
      </x:c>
      <x:c r="H808" s="35" t="n">
        <x:v>2</x:v>
      </x:c>
      <x:c r="I808" s="36" t="n">
        <x:v>7120</x:v>
      </x:c>
      <x:c r="J808" s="35" t="n">
        <x:v>7</x:v>
      </x:c>
      <x:c r="K808" s="35" t="n">
        <x:v>3</x:v>
      </x:c>
      <x:c r="L808" s="35" t="n">
        <x:v>1</x:v>
      </x:c>
      <x:c r="M808" s="35" t="n">
        <x:v>10</x:v>
      </x:c>
      <x:c r="N808" s="35" t="str">
        <x:v>No</x:v>
      </x:c>
      <x:c r="O808" s="35" t="n">
        <x:v>3</x:v>
      </x:c>
      <x:c r="P808" s="35" t="n">
        <x:v>3</x:v>
      </x:c>
      <x:c r="Q808" s="35" t="n">
        <x:v>3</x:v>
      </x:c>
      <x:c r="R808" s="35" t="n">
        <x:v>3</x:v>
      </x:c>
      <x:c r="S808" s="35" t="n">
        <x:v>3</x:v>
      </x:c>
      <x:c r="T808" s="35" t="n">
        <x:v>3</x:v>
      </x:c>
      <x:c r="U808" s="35" t="n">
        <x:v>1</x:v>
      </x:c>
      <x:c r="V808" s="35" t="n">
        <x:v>9</x:v>
      </x:c>
      <x:c r="W808" s="35" t="n">
        <x:v>11</x:v>
      </x:c>
      <x:c r="X808" s="35" t="n">
        <x:v>37</x:v>
      </x:c>
      <x:c r="Y808" s="35" t="n">
        <x:v>5</x:v>
      </x:c>
      <x:c r="Z808" s="35" t="n">
        <x:v>100</x:v>
      </x:c>
      <x:c r="AA808" s="35" t="n">
        <x:v>4</x:v>
      </x:c>
      <x:c r="AB808" s="35" t="n">
        <x:v>3</x:v>
      </x:c>
      <x:c r="AC808" s="35" t="n">
        <x:v>3</x:v>
      </x:c>
      <x:c r="AD808" s="35" t="n">
        <x:v>64</x:v>
      </x:c>
      <x:c r="AE808" s="35" t="n">
        <x:v>69</x:v>
      </x:c>
      <x:c r="AF808" s="35" t="n">
        <x:v>99</x:v>
      </x:c>
      <x:c r="AG808" s="35" t="n">
        <x:v>77</x:v>
      </x:c>
      <x:c r="AH808" s="35" t="n">
        <x:v>8</x:v>
      </x:c>
      <x:c r="AI808" s="37" t="n">
        <x:v>100</x:v>
      </x:c>
      <x:c r="AJ808" s="37" t="n">
        <x:v>92</x:v>
      </x:c>
      <x:c r="AK808" s="35" t="str">
        <x:v>No</x:v>
      </x:c>
      <x:c r="AL808" s="38" t="n">
        <x:f>IF(AA808=0,0,AB808/AA808)</x:f>
        <x:v>0.75</x:v>
      </x:c>
      <x:c r="AM808" s="38" t="n">
        <x:f>IF(AB808=0,0,AC808/AB808)</x:f>
        <x:v>1</x:v>
      </x:c>
      <x:c r="AN808" s="37" t="n">
        <x:f>ROUND((AD808*0.20+AE808*0.20+AF808*0.25+AG808*0.15+MIN(100,AC808*12)*0.20),1)</x:f>
        <x:v>70.1</x:v>
      </x:c>
      <x:c r="AO808" s="37" t="n">
        <x:f>ROUND(MAX(0,MIN(100,(X808*0.35)+(W808/45*100*0.20)+((5-O808)/4*100*0.15)+((5-P808)/4*100*0.10)+((6-Y808)/5*100*0.10)+((100-Z808)*0.10))),1)</x:f>
        <x:v>32.3</x:v>
      </x:c>
      <x:c r="AP808" s="37" t="str">
        <x:f>IF(AO808&gt;=70,"High",IF(AO808&gt;=40,"Moderate","Low"))</x:f>
        <x:v>Low</x:v>
      </x:c>
      <x:c r="AQ808" s="37" t="n">
        <x:f>ROUND(MAX(0,MIN(100,(O808/4*100*0.25)+(P808/4*100*0.20)+(Q808/4*100*0.15)+(Y808/5*100*0.20)+(100-AO808)*0.20)),1)</x:f>
        <x:v>78.5</x:v>
      </x:c>
      <x:c r="AR808" s="37" t="n">
        <x:f>ROUND((AI808*0.20+AJ808*0.15+AN808*0.18+AG808*0.12+Z808*0.15+AQ808*0.20),1)</x:f>
        <x:v>86.4</x:v>
      </x:c>
      <x:c r="AS808" s="39" t="n">
        <x:f>ROUND((AC808*AF808*120)+(AH808*350)+(MAX(0,AI808-75)*220)+(MAX(0,AQ808-60)*100),0)</x:f>
        <x:v>45790</x:v>
      </x:c>
    </x:row>
    <x:row r="809">
      <x:c r="A809" s="35" t="n">
        <x:v>808</x:v>
      </x:c>
      <x:c r="B809" s="35" t="n">
        <x:v>45</x:v>
      </x:c>
      <x:c r="C809" s="35" t="str">
        <x:v>Female</x:v>
      </x:c>
      <x:c r="D809" s="35" t="str">
        <x:v>Sales</x:v>
      </x:c>
      <x:c r="E809" s="35" t="str">
        <x:v>Account Manager</x:v>
      </x:c>
      <x:c r="F809" s="35" t="str">
        <x:v>Life Sciences</x:v>
      </x:c>
      <x:c r="G809" s="35" t="str">
        <x:v>Married</x:v>
      </x:c>
      <x:c r="H809" s="35" t="n">
        <x:v>3</x:v>
      </x:c>
      <x:c r="I809" s="36" t="n">
        <x:v>12640</x:v>
      </x:c>
      <x:c r="J809" s="35" t="n">
        <x:v>19</x:v>
      </x:c>
      <x:c r="K809" s="35" t="n">
        <x:v>6</x:v>
      </x:c>
      <x:c r="L809" s="35" t="n">
        <x:v>2</x:v>
      </x:c>
      <x:c r="M809" s="35" t="n">
        <x:v>12</x:v>
      </x:c>
      <x:c r="N809" s="35" t="str">
        <x:v>No</x:v>
      </x:c>
      <x:c r="O809" s="35" t="n">
        <x:v>2</x:v>
      </x:c>
      <x:c r="P809" s="35" t="n">
        <x:v>4</x:v>
      </x:c>
      <x:c r="Q809" s="35" t="n">
        <x:v>2</x:v>
      </x:c>
      <x:c r="R809" s="35" t="n">
        <x:v>2</x:v>
      </x:c>
      <x:c r="S809" s="35" t="n">
        <x:v>3</x:v>
      </x:c>
      <x:c r="T809" s="35" t="n">
        <x:v>0</x:v>
      </x:c>
      <x:c r="U809" s="35" t="n">
        <x:v>0</x:v>
      </x:c>
      <x:c r="V809" s="35" t="n">
        <x:v>9</x:v>
      </x:c>
      <x:c r="W809" s="35" t="n">
        <x:v>7</x:v>
      </x:c>
      <x:c r="X809" s="35" t="n">
        <x:v>55</x:v>
      </x:c>
      <x:c r="Y809" s="35" t="n">
        <x:v>5</x:v>
      </x:c>
      <x:c r="Z809" s="35" t="n">
        <x:v>94</x:v>
      </x:c>
      <x:c r="AA809" s="35" t="n">
        <x:v>6</x:v>
      </x:c>
      <x:c r="AB809" s="35" t="n">
        <x:v>5</x:v>
      </x:c>
      <x:c r="AC809" s="35" t="n">
        <x:v>4</x:v>
      </x:c>
      <x:c r="AD809" s="35" t="n">
        <x:v>80</x:v>
      </x:c>
      <x:c r="AE809" s="35" t="n">
        <x:v>75</x:v>
      </x:c>
      <x:c r="AF809" s="35" t="n">
        <x:v>98</x:v>
      </x:c>
      <x:c r="AG809" s="35" t="n">
        <x:v>86</x:v>
      </x:c>
      <x:c r="AH809" s="35" t="n">
        <x:v>10</x:v>
      </x:c>
      <x:c r="AI809" s="37" t="n">
        <x:v>93.3</x:v>
      </x:c>
      <x:c r="AJ809" s="37" t="n">
        <x:v>89.5</x:v>
      </x:c>
      <x:c r="AK809" s="35" t="str">
        <x:v>No</x:v>
      </x:c>
      <x:c r="AL809" s="38" t="n">
        <x:f>IF(AA809=0,0,AB809/AA809)</x:f>
        <x:v>0.8333333333333334</x:v>
      </x:c>
      <x:c r="AM809" s="38" t="n">
        <x:f>IF(AB809=0,0,AC809/AB809)</x:f>
        <x:v>0.8</x:v>
      </x:c>
      <x:c r="AN809" s="37" t="n">
        <x:f>ROUND((AD809*0.20+AE809*0.20+AF809*0.25+AG809*0.15+MIN(100,AC809*12)*0.20),1)</x:f>
        <x:v>78</x:v>
      </x:c>
      <x:c r="AO809" s="37" t="n">
        <x:f>ROUND(MAX(0,MIN(100,(X809*0.35)+(W809/45*100*0.20)+((5-O809)/4*100*0.15)+((5-P809)/4*100*0.10)+((6-Y809)/5*100*0.10)+((100-Z809)*0.10))),1)</x:f>
        <x:v>38.7</x:v>
      </x:c>
      <x:c r="AP809" s="37" t="str">
        <x:f>IF(AO809&gt;=70,"High",IF(AO809&gt;=40,"Moderate","Low"))</x:f>
        <x:v>Low</x:v>
      </x:c>
      <x:c r="AQ809" s="37" t="n">
        <x:f>ROUND(MAX(0,MIN(100,(O809/4*100*0.25)+(P809/4*100*0.20)+(Q809/4*100*0.15)+(Y809/5*100*0.20)+(100-AO809)*0.20)),1)</x:f>
        <x:v>72.3</x:v>
      </x:c>
      <x:c r="AR809" s="37" t="n">
        <x:f>ROUND((AI809*0.20+AJ809*0.15+AN809*0.18+AG809*0.12+Z809*0.15+AQ809*0.20),1)</x:f>
        <x:v>85</x:v>
      </x:c>
      <x:c r="AS809" s="39" t="n">
        <x:f>ROUND((AC809*AF809*120)+(AH809*350)+(MAX(0,AI809-75)*220)+(MAX(0,AQ809-60)*100),0)</x:f>
        <x:v>55796</x:v>
      </x:c>
    </x:row>
    <x:row r="810">
      <x:c r="A810" s="35" t="n">
        <x:v>809</x:v>
      </x:c>
      <x:c r="B810" s="35" t="n">
        <x:v>25</x:v>
      </x:c>
      <x:c r="C810" s="35" t="str">
        <x:v>Female</x:v>
      </x:c>
      <x:c r="D810" s="35" t="str">
        <x:v>Information Technology</x:v>
      </x:c>
      <x:c r="E810" s="35" t="str">
        <x:v>Software Engineer</x:v>
      </x:c>
      <x:c r="F810" s="35" t="str">
        <x:v>Business</x:v>
      </x:c>
      <x:c r="G810" s="35" t="str">
        <x:v>Married</x:v>
      </x:c>
      <x:c r="H810" s="35" t="n">
        <x:v>1</x:v>
      </x:c>
      <x:c r="I810" s="36" t="n">
        <x:v>4650</x:v>
      </x:c>
      <x:c r="J810" s="35" t="n">
        <x:v>2</x:v>
      </x:c>
      <x:c r="K810" s="35" t="n">
        <x:v>1</x:v>
      </x:c>
      <x:c r="L810" s="35" t="n">
        <x:v>1</x:v>
      </x:c>
      <x:c r="M810" s="35" t="n">
        <x:v>11</x:v>
      </x:c>
      <x:c r="N810" s="35" t="str">
        <x:v>No</x:v>
      </x:c>
      <x:c r="O810" s="35" t="n">
        <x:v>2</x:v>
      </x:c>
      <x:c r="P810" s="35" t="n">
        <x:v>3</x:v>
      </x:c>
      <x:c r="Q810" s="35" t="n">
        <x:v>3</x:v>
      </x:c>
      <x:c r="R810" s="35" t="n">
        <x:v>3</x:v>
      </x:c>
      <x:c r="S810" s="35" t="n">
        <x:v>3</x:v>
      </x:c>
      <x:c r="T810" s="35" t="n">
        <x:v>2</x:v>
      </x:c>
      <x:c r="U810" s="35" t="n">
        <x:v>0</x:v>
      </x:c>
      <x:c r="V810" s="35" t="n">
        <x:v>4</x:v>
      </x:c>
      <x:c r="W810" s="35" t="n">
        <x:v>9</x:v>
      </x:c>
      <x:c r="X810" s="35" t="n">
        <x:v>67</x:v>
      </x:c>
      <x:c r="Y810" s="35" t="n">
        <x:v>4</x:v>
      </x:c>
      <x:c r="Z810" s="35" t="n">
        <x:v>100</x:v>
      </x:c>
      <x:c r="AA810" s="35" t="n">
        <x:v>7</x:v>
      </x:c>
      <x:c r="AB810" s="35" t="n">
        <x:v>4</x:v>
      </x:c>
      <x:c r="AC810" s="35" t="n">
        <x:v>4</x:v>
      </x:c>
      <x:c r="AD810" s="35" t="n">
        <x:v>78</x:v>
      </x:c>
      <x:c r="AE810" s="35" t="n">
        <x:v>70</x:v>
      </x:c>
      <x:c r="AF810" s="35" t="n">
        <x:v>91</x:v>
      </x:c>
      <x:c r="AG810" s="35" t="n">
        <x:v>93</x:v>
      </x:c>
      <x:c r="AH810" s="35" t="n">
        <x:v>5</x:v>
      </x:c>
      <x:c r="AI810" s="37" t="n">
        <x:v>94.4</x:v>
      </x:c>
      <x:c r="AJ810" s="37" t="n">
        <x:v>95.4</x:v>
      </x:c>
      <x:c r="AK810" s="35" t="str">
        <x:v>No</x:v>
      </x:c>
      <x:c r="AL810" s="38" t="n">
        <x:f>IF(AA810=0,0,AB810/AA810)</x:f>
        <x:v>0.5714285714285714</x:v>
      </x:c>
      <x:c r="AM810" s="38" t="n">
        <x:f>IF(AB810=0,0,AC810/AB810)</x:f>
        <x:v>1</x:v>
      </x:c>
      <x:c r="AN810" s="37" t="n">
        <x:f>ROUND((AD810*0.20+AE810*0.20+AF810*0.25+AG810*0.15+MIN(100,AC810*12)*0.20),1)</x:f>
        <x:v>75.9</x:v>
      </x:c>
      <x:c r="AO810" s="37" t="n">
        <x:f>ROUND(MAX(0,MIN(100,(X810*0.35)+(W810/45*100*0.20)+((5-O810)/4*100*0.15)+((5-P810)/4*100*0.10)+((6-Y810)/5*100*0.10)+((100-Z810)*0.10))),1)</x:f>
        <x:v>47.7</x:v>
      </x:c>
      <x:c r="AP810" s="37" t="str">
        <x:f>IF(AO810&gt;=70,"High",IF(AO810&gt;=40,"Moderate","Low"))</x:f>
        <x:v>Moderate</x:v>
      </x:c>
      <x:c r="AQ810" s="37" t="n">
        <x:f>ROUND(MAX(0,MIN(100,(O810/4*100*0.25)+(P810/4*100*0.20)+(Q810/4*100*0.15)+(Y810/5*100*0.20)+(100-AO810)*0.20)),1)</x:f>
        <x:v>65.2</x:v>
      </x:c>
      <x:c r="AR810" s="37" t="n">
        <x:f>ROUND((AI810*0.20+AJ810*0.15+AN810*0.18+AG810*0.12+Z810*0.15+AQ810*0.20),1)</x:f>
        <x:v>86.1</x:v>
      </x:c>
      <x:c r="AS810" s="39" t="n">
        <x:f>ROUND((AC810*AF810*120)+(AH810*350)+(MAX(0,AI810-75)*220)+(MAX(0,AQ810-60)*100),0)</x:f>
        <x:v>50218</x:v>
      </x:c>
    </x:row>
    <x:row r="811">
      <x:c r="A811" s="35" t="n">
        <x:v>810</x:v>
      </x:c>
      <x:c r="B811" s="35" t="n">
        <x:v>47</x:v>
      </x:c>
      <x:c r="C811" s="35" t="str">
        <x:v>Female</x:v>
      </x:c>
      <x:c r="D811" s="35" t="str">
        <x:v>Research &amp; Development</x:v>
      </x:c>
      <x:c r="E811" s="35" t="str">
        <x:v>Laboratory Technician</x:v>
      </x:c>
      <x:c r="F811" s="35" t="str">
        <x:v>Life Sciences</x:v>
      </x:c>
      <x:c r="G811" s="35" t="str">
        <x:v>Married</x:v>
      </x:c>
      <x:c r="H811" s="35" t="n">
        <x:v>3</x:v>
      </x:c>
      <x:c r="I811" s="36" t="n">
        <x:v>12140</x:v>
      </x:c>
      <x:c r="J811" s="35" t="n">
        <x:v>18</x:v>
      </x:c>
      <x:c r="K811" s="35" t="n">
        <x:v>5</x:v>
      </x:c>
      <x:c r="L811" s="35" t="n">
        <x:v>4</x:v>
      </x:c>
      <x:c r="M811" s="35" t="n">
        <x:v>1</x:v>
      </x:c>
      <x:c r="N811" s="35" t="str">
        <x:v>No</x:v>
      </x:c>
      <x:c r="O811" s="35" t="n">
        <x:v>2</x:v>
      </x:c>
      <x:c r="P811" s="35" t="n">
        <x:v>3</x:v>
      </x:c>
      <x:c r="Q811" s="35" t="n">
        <x:v>2</x:v>
      </x:c>
      <x:c r="R811" s="35" t="n">
        <x:v>4</x:v>
      </x:c>
      <x:c r="S811" s="35" t="n">
        <x:v>3</x:v>
      </x:c>
      <x:c r="T811" s="35" t="n">
        <x:v>6</x:v>
      </x:c>
      <x:c r="U811" s="35" t="n">
        <x:v>0</x:v>
      </x:c>
      <x:c r="V811" s="35" t="n">
        <x:v>9</x:v>
      </x:c>
      <x:c r="W811" s="35" t="n">
        <x:v>12</x:v>
      </x:c>
      <x:c r="X811" s="35" t="n">
        <x:v>54</x:v>
      </x:c>
      <x:c r="Y811" s="35" t="n">
        <x:v>4</x:v>
      </x:c>
      <x:c r="Z811" s="35" t="n">
        <x:v>100</x:v>
      </x:c>
      <x:c r="AA811" s="35" t="n">
        <x:v>1</x:v>
      </x:c>
      <x:c r="AB811" s="35" t="n">
        <x:v>0</x:v>
      </x:c>
      <x:c r="AC811" s="35" t="n">
        <x:v>0</x:v>
      </x:c>
      <x:c r="AD811" s="35" t="n">
        <x:v>83</x:v>
      </x:c>
      <x:c r="AE811" s="35" t="n">
        <x:v>66</x:v>
      </x:c>
      <x:c r="AF811" s="35" t="n">
        <x:v>54</x:v>
      </x:c>
      <x:c r="AG811" s="35" t="n">
        <x:v>95</x:v>
      </x:c>
      <x:c r="AH811" s="35" t="n">
        <x:v>2</x:v>
      </x:c>
      <x:c r="AI811" s="37" t="n">
        <x:v>93</x:v>
      </x:c>
      <x:c r="AJ811" s="37" t="n">
        <x:v>94.7</x:v>
      </x:c>
      <x:c r="AK811" s="35" t="str">
        <x:v>No</x:v>
      </x:c>
      <x:c r="AL811" s="38" t="n">
        <x:f>IF(AA811=0,0,AB811/AA811)</x:f>
        <x:v>0</x:v>
      </x:c>
      <x:c r="AM811" s="38" t="n">
        <x:f>IF(AB811=0,0,AC811/AB811)</x:f>
        <x:v>0</x:v>
      </x:c>
      <x:c r="AN811" s="37" t="n">
        <x:f>ROUND((AD811*0.20+AE811*0.20+AF811*0.25+AG811*0.15+MIN(100,AC811*12)*0.20),1)</x:f>
        <x:v>57.6</x:v>
      </x:c>
      <x:c r="AO811" s="37" t="n">
        <x:f>ROUND(MAX(0,MIN(100,(X811*0.35)+(W811/45*100*0.20)+((5-O811)/4*100*0.15)+((5-P811)/4*100*0.10)+((6-Y811)/5*100*0.10)+((100-Z811)*0.10))),1)</x:f>
        <x:v>44.5</x:v>
      </x:c>
      <x:c r="AP811" s="37" t="str">
        <x:f>IF(AO811&gt;=70,"High",IF(AO811&gt;=40,"Moderate","Low"))</x:f>
        <x:v>Moderate</x:v>
      </x:c>
      <x:c r="AQ811" s="37" t="n">
        <x:f>ROUND(MAX(0,MIN(100,(O811/4*100*0.25)+(P811/4*100*0.20)+(Q811/4*100*0.15)+(Y811/5*100*0.20)+(100-AO811)*0.20)),1)</x:f>
        <x:v>62.1</x:v>
      </x:c>
      <x:c r="AR811" s="37" t="n">
        <x:f>ROUND((AI811*0.20+AJ811*0.15+AN811*0.18+AG811*0.12+Z811*0.15+AQ811*0.20),1)</x:f>
        <x:v>82</x:v>
      </x:c>
      <x:c r="AS811" s="39" t="n">
        <x:f>ROUND((AC811*AF811*120)+(AH811*350)+(MAX(0,AI811-75)*220)+(MAX(0,AQ811-60)*100),0)</x:f>
        <x:v>4870</x:v>
      </x:c>
    </x:row>
    <x:row r="812">
      <x:c r="A812" s="35" t="n">
        <x:v>811</x:v>
      </x:c>
      <x:c r="B812" s="35" t="n">
        <x:v>22</x:v>
      </x:c>
      <x:c r="C812" s="35" t="str">
        <x:v>Female</x:v>
      </x:c>
      <x:c r="D812" s="35" t="str">
        <x:v>Information Technology</x:v>
      </x:c>
      <x:c r="E812" s="35" t="str">
        <x:v>IT Support</x:v>
      </x:c>
      <x:c r="F812" s="35" t="str">
        <x:v>Computer Science</x:v>
      </x:c>
      <x:c r="G812" s="35" t="str">
        <x:v>Married</x:v>
      </x:c>
      <x:c r="H812" s="35" t="n">
        <x:v>2</x:v>
      </x:c>
      <x:c r="I812" s="36" t="n">
        <x:v>9510</x:v>
      </x:c>
      <x:c r="J812" s="35" t="n">
        <x:v>1</x:v>
      </x:c>
      <x:c r="K812" s="35" t="n">
        <x:v>1</x:v>
      </x:c>
      <x:c r="L812" s="35" t="n">
        <x:v>0</x:v>
      </x:c>
      <x:c r="M812" s="35" t="n">
        <x:v>2</x:v>
      </x:c>
      <x:c r="N812" s="35" t="str">
        <x:v>No</x:v>
      </x:c>
      <x:c r="O812" s="35" t="n">
        <x:v>2</x:v>
      </x:c>
      <x:c r="P812" s="35" t="n">
        <x:v>4</x:v>
      </x:c>
      <x:c r="Q812" s="35" t="n">
        <x:v>3</x:v>
      </x:c>
      <x:c r="R812" s="35" t="n">
        <x:v>4</x:v>
      </x:c>
      <x:c r="S812" s="35" t="n">
        <x:v>3</x:v>
      </x:c>
      <x:c r="T812" s="35" t="n">
        <x:v>5</x:v>
      </x:c>
      <x:c r="U812" s="35" t="n">
        <x:v>0</x:v>
      </x:c>
      <x:c r="V812" s="35" t="n">
        <x:v>13</x:v>
      </x:c>
      <x:c r="W812" s="35" t="n">
        <x:v>0</x:v>
      </x:c>
      <x:c r="X812" s="35" t="n">
        <x:v>73</x:v>
      </x:c>
      <x:c r="Y812" s="35" t="n">
        <x:v>5</x:v>
      </x:c>
      <x:c r="Z812" s="35" t="n">
        <x:v>100</x:v>
      </x:c>
      <x:c r="AA812" s="35" t="n">
        <x:v>6</x:v>
      </x:c>
      <x:c r="AB812" s="35" t="n">
        <x:v>3</x:v>
      </x:c>
      <x:c r="AC812" s="35" t="n">
        <x:v>3</x:v>
      </x:c>
      <x:c r="AD812" s="35" t="n">
        <x:v>83</x:v>
      </x:c>
      <x:c r="AE812" s="35" t="n">
        <x:v>73</x:v>
      </x:c>
      <x:c r="AF812" s="35" t="n">
        <x:v>82</x:v>
      </x:c>
      <x:c r="AG812" s="35" t="n">
        <x:v>98</x:v>
      </x:c>
      <x:c r="AH812" s="35" t="n">
        <x:v>7</x:v>
      </x:c>
      <x:c r="AI812" s="37" t="n">
        <x:v>100</x:v>
      </x:c>
      <x:c r="AJ812" s="37" t="n">
        <x:v>99.5</x:v>
      </x:c>
      <x:c r="AK812" s="35" t="str">
        <x:v>No</x:v>
      </x:c>
      <x:c r="AL812" s="38" t="n">
        <x:f>IF(AA812=0,0,AB812/AA812)</x:f>
        <x:v>0.5</x:v>
      </x:c>
      <x:c r="AM812" s="38" t="n">
        <x:f>IF(AB812=0,0,AC812/AB812)</x:f>
        <x:v>1</x:v>
      </x:c>
      <x:c r="AN812" s="37" t="n">
        <x:f>ROUND((AD812*0.20+AE812*0.20+AF812*0.25+AG812*0.15+MIN(100,AC812*12)*0.20),1)</x:f>
        <x:v>73.6</x:v>
      </x:c>
      <x:c r="AO812" s="37" t="n">
        <x:f>ROUND(MAX(0,MIN(100,(X812*0.35)+(W812/45*100*0.20)+((5-O812)/4*100*0.15)+((5-P812)/4*100*0.10)+((6-Y812)/5*100*0.10)+((100-Z812)*0.10))),1)</x:f>
        <x:v>41.3</x:v>
      </x:c>
      <x:c r="AP812" s="37" t="str">
        <x:f>IF(AO812&gt;=70,"High",IF(AO812&gt;=40,"Moderate","Low"))</x:f>
        <x:v>Moderate</x:v>
      </x:c>
      <x:c r="AQ812" s="37" t="n">
        <x:f>ROUND(MAX(0,MIN(100,(O812/4*100*0.25)+(P812/4*100*0.20)+(Q812/4*100*0.15)+(Y812/5*100*0.20)+(100-AO812)*0.20)),1)</x:f>
        <x:v>75.5</x:v>
      </x:c>
      <x:c r="AR812" s="37" t="n">
        <x:f>ROUND((AI812*0.20+AJ812*0.15+AN812*0.18+AG812*0.12+Z812*0.15+AQ812*0.20),1)</x:f>
        <x:v>90</x:v>
      </x:c>
      <x:c r="AS812" s="39" t="n">
        <x:f>ROUND((AC812*AF812*120)+(AH812*350)+(MAX(0,AI812-75)*220)+(MAX(0,AQ812-60)*100),0)</x:f>
        <x:v>39020</x:v>
      </x:c>
    </x:row>
    <x:row r="813">
      <x:c r="A813" s="35" t="n">
        <x:v>812</x:v>
      </x:c>
      <x:c r="B813" s="35" t="n">
        <x:v>29</x:v>
      </x:c>
      <x:c r="C813" s="35" t="str">
        <x:v>Male</x:v>
      </x:c>
      <x:c r="D813" s="35" t="str">
        <x:v>Information Technology</x:v>
      </x:c>
      <x:c r="E813" s="35" t="str">
        <x:v>IT Support</x:v>
      </x:c>
      <x:c r="F813" s="35" t="str">
        <x:v>Human Resources</x:v>
      </x:c>
      <x:c r="G813" s="35" t="str">
        <x:v>Married</x:v>
      </x:c>
      <x:c r="H813" s="35" t="n">
        <x:v>1</x:v>
      </x:c>
      <x:c r="I813" s="36" t="n">
        <x:v>5130</x:v>
      </x:c>
      <x:c r="J813" s="35" t="n">
        <x:v>4</x:v>
      </x:c>
      <x:c r="K813" s="35" t="n">
        <x:v>2</x:v>
      </x:c>
      <x:c r="L813" s="35" t="n">
        <x:v>2</x:v>
      </x:c>
      <x:c r="M813" s="35" t="n">
        <x:v>16</x:v>
      </x:c>
      <x:c r="N813" s="35" t="str">
        <x:v>No</x:v>
      </x:c>
      <x:c r="O813" s="35" t="n">
        <x:v>4</x:v>
      </x:c>
      <x:c r="P813" s="35" t="n">
        <x:v>2</x:v>
      </x:c>
      <x:c r="Q813" s="35" t="n">
        <x:v>4</x:v>
      </x:c>
      <x:c r="R813" s="35" t="n">
        <x:v>4</x:v>
      </x:c>
      <x:c r="S813" s="35" t="n">
        <x:v>3</x:v>
      </x:c>
      <x:c r="T813" s="35" t="n">
        <x:v>3</x:v>
      </x:c>
      <x:c r="U813" s="35" t="n">
        <x:v>0</x:v>
      </x:c>
      <x:c r="V813" s="35" t="n">
        <x:v>6</x:v>
      </x:c>
      <x:c r="W813" s="35" t="n">
        <x:v>17</x:v>
      </x:c>
      <x:c r="X813" s="35" t="n">
        <x:v>48</x:v>
      </x:c>
      <x:c r="Y813" s="35" t="n">
        <x:v>5</x:v>
      </x:c>
      <x:c r="Z813" s="35" t="n">
        <x:v>100</x:v>
      </x:c>
      <x:c r="AA813" s="35" t="n">
        <x:v>8</x:v>
      </x:c>
      <x:c r="AB813" s="35" t="n">
        <x:v>8</x:v>
      </x:c>
      <x:c r="AC813" s="35" t="n">
        <x:v>7</x:v>
      </x:c>
      <x:c r="AD813" s="35" t="n">
        <x:v>82</x:v>
      </x:c>
      <x:c r="AE813" s="35" t="n">
        <x:v>72</x:v>
      </x:c>
      <x:c r="AF813" s="35" t="n">
        <x:v>80</x:v>
      </x:c>
      <x:c r="AG813" s="35" t="n">
        <x:v>99</x:v>
      </x:c>
      <x:c r="AH813" s="35" t="n">
        <x:v>9</x:v>
      </x:c>
      <x:c r="AI813" s="37" t="n">
        <x:v>100</x:v>
      </x:c>
      <x:c r="AJ813" s="37" t="n">
        <x:v>88.8</x:v>
      </x:c>
      <x:c r="AK813" s="35" t="str">
        <x:v>No</x:v>
      </x:c>
      <x:c r="AL813" s="38" t="n">
        <x:f>IF(AA813=0,0,AB813/AA813)</x:f>
        <x:v>1</x:v>
      </x:c>
      <x:c r="AM813" s="38" t="n">
        <x:f>IF(AB813=0,0,AC813/AB813)</x:f>
        <x:v>0.875</x:v>
      </x:c>
      <x:c r="AN813" s="37" t="n">
        <x:f>ROUND((AD813*0.20+AE813*0.20+AF813*0.25+AG813*0.15+MIN(100,AC813*12)*0.20),1)</x:f>
        <x:v>82.5</x:v>
      </x:c>
      <x:c r="AO813" s="37" t="n">
        <x:f>ROUND(MAX(0,MIN(100,(X813*0.35)+(W813/45*100*0.20)+((5-O813)/4*100*0.15)+((5-P813)/4*100*0.10)+((6-Y813)/5*100*0.10)+((100-Z813)*0.10))),1)</x:f>
        <x:v>37.6</x:v>
      </x:c>
      <x:c r="AP813" s="37" t="str">
        <x:f>IF(AO813&gt;=70,"High",IF(AO813&gt;=40,"Moderate","Low"))</x:f>
        <x:v>Low</x:v>
      </x:c>
      <x:c r="AQ813" s="37" t="n">
        <x:f>ROUND(MAX(0,MIN(100,(O813/4*100*0.25)+(P813/4*100*0.20)+(Q813/4*100*0.15)+(Y813/5*100*0.20)+(100-AO813)*0.20)),1)</x:f>
        <x:v>82.5</x:v>
      </x:c>
      <x:c r="AR813" s="37" t="n">
        <x:f>ROUND((AI813*0.20+AJ813*0.15+AN813*0.18+AG813*0.12+Z813*0.15+AQ813*0.20),1)</x:f>
        <x:v>91.6</x:v>
      </x:c>
      <x:c r="AS813" s="39" t="n">
        <x:f>ROUND((AC813*AF813*120)+(AH813*350)+(MAX(0,AI813-75)*220)+(MAX(0,AQ813-60)*100),0)</x:f>
        <x:v>78100</x:v>
      </x:c>
    </x:row>
    <x:row r="814">
      <x:c r="A814" s="35" t="n">
        <x:v>813</x:v>
      </x:c>
      <x:c r="B814" s="35" t="n">
        <x:v>23</x:v>
      </x:c>
      <x:c r="C814" s="35" t="str">
        <x:v>Male</x:v>
      </x:c>
      <x:c r="D814" s="35" t="str">
        <x:v>Finance</x:v>
      </x:c>
      <x:c r="E814" s="35" t="str">
        <x:v>Finance Manager</x:v>
      </x:c>
      <x:c r="F814" s="35" t="str">
        <x:v>Computer Science</x:v>
      </x:c>
      <x:c r="G814" s="35" t="str">
        <x:v>Divorced</x:v>
      </x:c>
      <x:c r="H814" s="35" t="n">
        <x:v>1</x:v>
      </x:c>
      <x:c r="I814" s="36" t="n">
        <x:v>4480</x:v>
      </x:c>
      <x:c r="J814" s="35" t="n">
        <x:v>1</x:v>
      </x:c>
      <x:c r="K814" s="35" t="n">
        <x:v>1</x:v>
      </x:c>
      <x:c r="L814" s="35" t="n">
        <x:v>1</x:v>
      </x:c>
      <x:c r="M814" s="35" t="n">
        <x:v>11</x:v>
      </x:c>
      <x:c r="N814" s="35" t="str">
        <x:v>No</x:v>
      </x:c>
      <x:c r="O814" s="35" t="n">
        <x:v>3</x:v>
      </x:c>
      <x:c r="P814" s="35" t="n">
        <x:v>4</x:v>
      </x:c>
      <x:c r="Q814" s="35" t="n">
        <x:v>4</x:v>
      </x:c>
      <x:c r="R814" s="35" t="n">
        <x:v>3</x:v>
      </x:c>
      <x:c r="S814" s="35" t="n">
        <x:v>3</x:v>
      </x:c>
      <x:c r="T814" s="35" t="n">
        <x:v>2</x:v>
      </x:c>
      <x:c r="U814" s="35" t="n">
        <x:v>1</x:v>
      </x:c>
      <x:c r="V814" s="35" t="n">
        <x:v>5</x:v>
      </x:c>
      <x:c r="W814" s="35" t="n">
        <x:v>5</x:v>
      </x:c>
      <x:c r="X814" s="35" t="n">
        <x:v>65</x:v>
      </x:c>
      <x:c r="Y814" s="35" t="n">
        <x:v>5</x:v>
      </x:c>
      <x:c r="Z814" s="35" t="n">
        <x:v>97</x:v>
      </x:c>
      <x:c r="AA814" s="35" t="n">
        <x:v>1</x:v>
      </x:c>
      <x:c r="AB814" s="35" t="n">
        <x:v>1</x:v>
      </x:c>
      <x:c r="AC814" s="35" t="n">
        <x:v>0</x:v>
      </x:c>
      <x:c r="AD814" s="35" t="n">
        <x:v>38</x:v>
      </x:c>
      <x:c r="AE814" s="35" t="n">
        <x:v>76</x:v>
      </x:c>
      <x:c r="AF814" s="35" t="n">
        <x:v>72</x:v>
      </x:c>
      <x:c r="AG814" s="35" t="n">
        <x:v>89</x:v>
      </x:c>
      <x:c r="AH814" s="35" t="n">
        <x:v>6</x:v>
      </x:c>
      <x:c r="AI814" s="37" t="n">
        <x:v>89</x:v>
      </x:c>
      <x:c r="AJ814" s="37" t="n">
        <x:v>100</x:v>
      </x:c>
      <x:c r="AK814" s="35" t="str">
        <x:v>Yes</x:v>
      </x:c>
      <x:c r="AL814" s="38" t="n">
        <x:f>IF(AA814=0,0,AB814/AA814)</x:f>
        <x:v>1</x:v>
      </x:c>
      <x:c r="AM814" s="38" t="n">
        <x:f>IF(AB814=0,0,AC814/AB814)</x:f>
        <x:v>0</x:v>
      </x:c>
      <x:c r="AN814" s="37" t="n">
        <x:f>ROUND((AD814*0.20+AE814*0.20+AF814*0.25+AG814*0.15+MIN(100,AC814*12)*0.20),1)</x:f>
        <x:v>54.2</x:v>
      </x:c>
      <x:c r="AO814" s="37" t="n">
        <x:f>ROUND(MAX(0,MIN(100,(X814*0.35)+(W814/45*100*0.20)+((5-O814)/4*100*0.15)+((5-P814)/4*100*0.10)+((6-Y814)/5*100*0.10)+((100-Z814)*0.10))),1)</x:f>
        <x:v>37.3</x:v>
      </x:c>
      <x:c r="AP814" s="37" t="str">
        <x:f>IF(AO814&gt;=70,"High",IF(AO814&gt;=40,"Moderate","Low"))</x:f>
        <x:v>Low</x:v>
      </x:c>
      <x:c r="AQ814" s="37" t="n">
        <x:f>ROUND(MAX(0,MIN(100,(O814/4*100*0.25)+(P814/4*100*0.20)+(Q814/4*100*0.15)+(Y814/5*100*0.20)+(100-AO814)*0.20)),1)</x:f>
        <x:v>86.3</x:v>
      </x:c>
      <x:c r="AR814" s="37" t="n">
        <x:f>ROUND((AI814*0.20+AJ814*0.15+AN814*0.18+AG814*0.12+Z814*0.15+AQ814*0.20),1)</x:f>
        <x:v>85</x:v>
      </x:c>
      <x:c r="AS814" s="39" t="n">
        <x:f>ROUND((AC814*AF814*120)+(AH814*350)+(MAX(0,AI814-75)*220)+(MAX(0,AQ814-60)*100),0)</x:f>
        <x:v>7810</x:v>
      </x:c>
    </x:row>
    <x:row r="815">
      <x:c r="A815" s="35" t="n">
        <x:v>814</x:v>
      </x:c>
      <x:c r="B815" s="35" t="n">
        <x:v>26</x:v>
      </x:c>
      <x:c r="C815" s="35" t="str">
        <x:v>Female</x:v>
      </x:c>
      <x:c r="D815" s="35" t="str">
        <x:v>Finance</x:v>
      </x:c>
      <x:c r="E815" s="35" t="str">
        <x:v>Finance Manager</x:v>
      </x:c>
      <x:c r="F815" s="35" t="str">
        <x:v>Computer Science</x:v>
      </x:c>
      <x:c r="G815" s="35" t="str">
        <x:v>Married</x:v>
      </x:c>
      <x:c r="H815" s="35" t="n">
        <x:v>1</x:v>
      </x:c>
      <x:c r="I815" s="36" t="n">
        <x:v>5070</x:v>
      </x:c>
      <x:c r="J815" s="35" t="n">
        <x:v>4</x:v>
      </x:c>
      <x:c r="K815" s="35" t="n">
        <x:v>3</x:v>
      </x:c>
      <x:c r="L815" s="35" t="n">
        <x:v>2</x:v>
      </x:c>
      <x:c r="M815" s="35" t="n">
        <x:v>19</x:v>
      </x:c>
      <x:c r="N815" s="35" t="str">
        <x:v>Yes</x:v>
      </x:c>
      <x:c r="O815" s="35" t="n">
        <x:v>3</x:v>
      </x:c>
      <x:c r="P815" s="35" t="n">
        <x:v>2</x:v>
      </x:c>
      <x:c r="Q815" s="35" t="n">
        <x:v>2</x:v>
      </x:c>
      <x:c r="R815" s="35" t="n">
        <x:v>4</x:v>
      </x:c>
      <x:c r="S815" s="35" t="n">
        <x:v>3</x:v>
      </x:c>
      <x:c r="T815" s="35" t="n">
        <x:v>3</x:v>
      </x:c>
      <x:c r="U815" s="35" t="n">
        <x:v>2</x:v>
      </x:c>
      <x:c r="V815" s="35" t="n">
        <x:v>4</x:v>
      </x:c>
      <x:c r="W815" s="35" t="n">
        <x:v>8</x:v>
      </x:c>
      <x:c r="X815" s="35" t="n">
        <x:v>83</x:v>
      </x:c>
      <x:c r="Y815" s="35" t="n">
        <x:v>4</x:v>
      </x:c>
      <x:c r="Z815" s="35" t="n">
        <x:v>100</x:v>
      </x:c>
      <x:c r="AA815" s="35" t="n">
        <x:v>9</x:v>
      </x:c>
      <x:c r="AB815" s="35" t="n">
        <x:v>7</x:v>
      </x:c>
      <x:c r="AC815" s="35" t="n">
        <x:v>6</x:v>
      </x:c>
      <x:c r="AD815" s="35" t="n">
        <x:v>72</x:v>
      </x:c>
      <x:c r="AE815" s="35" t="n">
        <x:v>100</x:v>
      </x:c>
      <x:c r="AF815" s="35" t="n">
        <x:v>93</x:v>
      </x:c>
      <x:c r="AG815" s="35" t="n">
        <x:v>100</x:v>
      </x:c>
      <x:c r="AH815" s="35" t="n">
        <x:v>11</x:v>
      </x:c>
      <x:c r="AI815" s="37" t="n">
        <x:v>91</x:v>
      </x:c>
      <x:c r="AJ815" s="37" t="n">
        <x:v>85.9</x:v>
      </x:c>
      <x:c r="AK815" s="35" t="str">
        <x:v>No</x:v>
      </x:c>
      <x:c r="AL815" s="38" t="n">
        <x:f>IF(AA815=0,0,AB815/AA815)</x:f>
        <x:v>0.7777777777777778</x:v>
      </x:c>
      <x:c r="AM815" s="38" t="n">
        <x:f>IF(AB815=0,0,AC815/AB815)</x:f>
        <x:v>0.8571428571428571</x:v>
      </x:c>
      <x:c r="AN815" s="37" t="n">
        <x:f>ROUND((AD815*0.20+AE815*0.20+AF815*0.25+AG815*0.15+MIN(100,AC815*12)*0.20),1)</x:f>
        <x:v>87.1</x:v>
      </x:c>
      <x:c r="AO815" s="37" t="n">
        <x:f>ROUND(MAX(0,MIN(100,(X815*0.35)+(W815/45*100*0.20)+((5-O815)/4*100*0.15)+((5-P815)/4*100*0.10)+((6-Y815)/5*100*0.10)+((100-Z815)*0.10))),1)</x:f>
        <x:v>51.6</x:v>
      </x:c>
      <x:c r="AP815" s="37" t="str">
        <x:f>IF(AO815&gt;=70,"High",IF(AO815&gt;=40,"Moderate","Low"))</x:f>
        <x:v>Moderate</x:v>
      </x:c>
      <x:c r="AQ815" s="37" t="n">
        <x:f>ROUND(MAX(0,MIN(100,(O815/4*100*0.25)+(P815/4*100*0.20)+(Q815/4*100*0.15)+(Y815/5*100*0.20)+(100-AO815)*0.20)),1)</x:f>
        <x:v>61.9</x:v>
      </x:c>
      <x:c r="AR815" s="37" t="n">
        <x:f>ROUND((AI815*0.20+AJ815*0.15+AN815*0.18+AG815*0.12+Z815*0.15+AQ815*0.20),1)</x:f>
        <x:v>86.1</x:v>
      </x:c>
      <x:c r="AS815" s="39" t="n">
        <x:f>ROUND((AC815*AF815*120)+(AH815*350)+(MAX(0,AI815-75)*220)+(MAX(0,AQ815-60)*100),0)</x:f>
        <x:v>74520</x:v>
      </x:c>
    </x:row>
    <x:row r="816">
      <x:c r="A816" s="35" t="n">
        <x:v>815</x:v>
      </x:c>
      <x:c r="B816" s="35" t="n">
        <x:v>48</x:v>
      </x:c>
      <x:c r="C816" s="35" t="str">
        <x:v>Male</x:v>
      </x:c>
      <x:c r="D816" s="35" t="str">
        <x:v>Research &amp; Development</x:v>
      </x:c>
      <x:c r="E816" s="35" t="str">
        <x:v>R&amp;D Manager</x:v>
      </x:c>
      <x:c r="F816" s="35" t="str">
        <x:v>Human Resources</x:v>
      </x:c>
      <x:c r="G816" s="35" t="str">
        <x:v>Married</x:v>
      </x:c>
      <x:c r="H816" s="35" t="n">
        <x:v>4</x:v>
      </x:c>
      <x:c r="I816" s="36" t="n">
        <x:v>16810</x:v>
      </x:c>
      <x:c r="J816" s="35" t="n">
        <x:v>18</x:v>
      </x:c>
      <x:c r="K816" s="35" t="n">
        <x:v>5</x:v>
      </x:c>
      <x:c r="L816" s="35" t="n">
        <x:v>3</x:v>
      </x:c>
      <x:c r="M816" s="35" t="n">
        <x:v>2</x:v>
      </x:c>
      <x:c r="N816" s="35" t="str">
        <x:v>No</x:v>
      </x:c>
      <x:c r="O816" s="35" t="n">
        <x:v>3</x:v>
      </x:c>
      <x:c r="P816" s="35" t="n">
        <x:v>3</x:v>
      </x:c>
      <x:c r="Q816" s="35" t="n">
        <x:v>2</x:v>
      </x:c>
      <x:c r="R816" s="35" t="n">
        <x:v>4</x:v>
      </x:c>
      <x:c r="S816" s="35" t="n">
        <x:v>3</x:v>
      </x:c>
      <x:c r="T816" s="35" t="n">
        <x:v>6</x:v>
      </x:c>
      <x:c r="U816" s="35" t="n">
        <x:v>1</x:v>
      </x:c>
      <x:c r="V816" s="35" t="n">
        <x:v>5</x:v>
      </x:c>
      <x:c r="W816" s="35" t="n">
        <x:v>8</x:v>
      </x:c>
      <x:c r="X816" s="35" t="n">
        <x:v>48</x:v>
      </x:c>
      <x:c r="Y816" s="35" t="n">
        <x:v>5</x:v>
      </x:c>
      <x:c r="Z816" s="35" t="n">
        <x:v>100</x:v>
      </x:c>
      <x:c r="AA816" s="35" t="n">
        <x:v>6</x:v>
      </x:c>
      <x:c r="AB816" s="35" t="n">
        <x:v>4</x:v>
      </x:c>
      <x:c r="AC816" s="35" t="n">
        <x:v>2</x:v>
      </x:c>
      <x:c r="AD816" s="35" t="n">
        <x:v>70</x:v>
      </x:c>
      <x:c r="AE816" s="35" t="n">
        <x:v>97</x:v>
      </x:c>
      <x:c r="AF816" s="35" t="n">
        <x:v>78</x:v>
      </x:c>
      <x:c r="AG816" s="35" t="n">
        <x:v>98</x:v>
      </x:c>
      <x:c r="AH816" s="35" t="n">
        <x:v>5</x:v>
      </x:c>
      <x:c r="AI816" s="37" t="n">
        <x:v>100</x:v>
      </x:c>
      <x:c r="AJ816" s="37" t="n">
        <x:v>87.9</x:v>
      </x:c>
      <x:c r="AK816" s="35" t="str">
        <x:v>No</x:v>
      </x:c>
      <x:c r="AL816" s="38" t="n">
        <x:f>IF(AA816=0,0,AB816/AA816)</x:f>
        <x:v>0.6666666666666666</x:v>
      </x:c>
      <x:c r="AM816" s="38" t="n">
        <x:f>IF(AB816=0,0,AC816/AB816)</x:f>
        <x:v>0.5</x:v>
      </x:c>
      <x:c r="AN816" s="37" t="n">
        <x:f>ROUND((AD816*0.20+AE816*0.20+AF816*0.25+AG816*0.15+MIN(100,AC816*12)*0.20),1)</x:f>
        <x:v>72.4</x:v>
      </x:c>
      <x:c r="AO816" s="37" t="n">
        <x:f>ROUND(MAX(0,MIN(100,(X816*0.35)+(W816/45*100*0.20)+((5-O816)/4*100*0.15)+((5-P816)/4*100*0.10)+((6-Y816)/5*100*0.10)+((100-Z816)*0.10))),1)</x:f>
        <x:v>34.9</x:v>
      </x:c>
      <x:c r="AP816" s="37" t="str">
        <x:f>IF(AO816&gt;=70,"High",IF(AO816&gt;=40,"Moderate","Low"))</x:f>
        <x:v>Low</x:v>
      </x:c>
      <x:c r="AQ816" s="37" t="n">
        <x:f>ROUND(MAX(0,MIN(100,(O816/4*100*0.25)+(P816/4*100*0.20)+(Q816/4*100*0.15)+(Y816/5*100*0.20)+(100-AO816)*0.20)),1)</x:f>
        <x:v>74.3</x:v>
      </x:c>
      <x:c r="AR816" s="37" t="n">
        <x:f>ROUND((AI816*0.20+AJ816*0.15+AN816*0.18+AG816*0.12+Z816*0.15+AQ816*0.20),1)</x:f>
        <x:v>87.8</x:v>
      </x:c>
      <x:c r="AS816" s="39" t="n">
        <x:f>ROUND((AC816*AF816*120)+(AH816*350)+(MAX(0,AI816-75)*220)+(MAX(0,AQ816-60)*100),0)</x:f>
        <x:v>27400</x:v>
      </x:c>
    </x:row>
    <x:row r="817">
      <x:c r="A817" s="35" t="n">
        <x:v>816</x:v>
      </x:c>
      <x:c r="B817" s="35" t="n">
        <x:v>38</x:v>
      </x:c>
      <x:c r="C817" s="35" t="str">
        <x:v>Female</x:v>
      </x:c>
      <x:c r="D817" s="35" t="str">
        <x:v>Research &amp; Development</x:v>
      </x:c>
      <x:c r="E817" s="35" t="str">
        <x:v>Research Scientist</x:v>
      </x:c>
      <x:c r="F817" s="35" t="str">
        <x:v>Computer Science</x:v>
      </x:c>
      <x:c r="G817" s="35" t="str">
        <x:v>Married</x:v>
      </x:c>
      <x:c r="H817" s="35" t="n">
        <x:v>2</x:v>
      </x:c>
      <x:c r="I817" s="36" t="n">
        <x:v>7970</x:v>
      </x:c>
      <x:c r="J817" s="35" t="n">
        <x:v>11</x:v>
      </x:c>
      <x:c r="K817" s="35" t="n">
        <x:v>5</x:v>
      </x:c>
      <x:c r="L817" s="35" t="n">
        <x:v>3</x:v>
      </x:c>
      <x:c r="M817" s="35" t="n">
        <x:v>7</x:v>
      </x:c>
      <x:c r="N817" s="35" t="str">
        <x:v>No</x:v>
      </x:c>
      <x:c r="O817" s="35" t="n">
        <x:v>2</x:v>
      </x:c>
      <x:c r="P817" s="35" t="n">
        <x:v>3</x:v>
      </x:c>
      <x:c r="Q817" s="35" t="n">
        <x:v>2</x:v>
      </x:c>
      <x:c r="R817" s="35" t="n">
        <x:v>4</x:v>
      </x:c>
      <x:c r="S817" s="35" t="n">
        <x:v>4</x:v>
      </x:c>
      <x:c r="T817" s="35" t="n">
        <x:v>6</x:v>
      </x:c>
      <x:c r="U817" s="35" t="n">
        <x:v>3</x:v>
      </x:c>
      <x:c r="V817" s="35" t="n">
        <x:v>6</x:v>
      </x:c>
      <x:c r="W817" s="35" t="n">
        <x:v>10</x:v>
      </x:c>
      <x:c r="X817" s="35" t="n">
        <x:v>70</x:v>
      </x:c>
      <x:c r="Y817" s="35" t="n">
        <x:v>4</x:v>
      </x:c>
      <x:c r="Z817" s="35" t="n">
        <x:v>100</x:v>
      </x:c>
      <x:c r="AA817" s="35" t="n">
        <x:v>15</x:v>
      </x:c>
      <x:c r="AB817" s="35" t="n">
        <x:v>12</x:v>
      </x:c>
      <x:c r="AC817" s="35" t="n">
        <x:v>10</x:v>
      </x:c>
      <x:c r="AD817" s="35" t="n">
        <x:v>87</x:v>
      </x:c>
      <x:c r="AE817" s="35" t="n">
        <x:v>94</x:v>
      </x:c>
      <x:c r="AF817" s="35" t="n">
        <x:v>100</x:v>
      </x:c>
      <x:c r="AG817" s="35" t="n">
        <x:v>100</x:v>
      </x:c>
      <x:c r="AH817" s="35" t="n">
        <x:v>12</x:v>
      </x:c>
      <x:c r="AI817" s="37" t="n">
        <x:v>100</x:v>
      </x:c>
      <x:c r="AJ817" s="37" t="n">
        <x:v>97.7</x:v>
      </x:c>
      <x:c r="AK817" s="35" t="str">
        <x:v>No</x:v>
      </x:c>
      <x:c r="AL817" s="38" t="n">
        <x:f>IF(AA817=0,0,AB817/AA817)</x:f>
        <x:v>0.8</x:v>
      </x:c>
      <x:c r="AM817" s="38" t="n">
        <x:f>IF(AB817=0,0,AC817/AB817)</x:f>
        <x:v>0.8333333333333334</x:v>
      </x:c>
      <x:c r="AN817" s="37" t="n">
        <x:f>ROUND((AD817*0.20+AE817*0.20+AF817*0.25+AG817*0.15+MIN(100,AC817*12)*0.20),1)</x:f>
        <x:v>96.2</x:v>
      </x:c>
      <x:c r="AO817" s="37" t="n">
        <x:f>ROUND(MAX(0,MIN(100,(X817*0.35)+(W817/45*100*0.20)+((5-O817)/4*100*0.15)+((5-P817)/4*100*0.10)+((6-Y817)/5*100*0.10)+((100-Z817)*0.10))),1)</x:f>
        <x:v>49.2</x:v>
      </x:c>
      <x:c r="AP817" s="37" t="str">
        <x:f>IF(AO817&gt;=70,"High",IF(AO817&gt;=40,"Moderate","Low"))</x:f>
        <x:v>Moderate</x:v>
      </x:c>
      <x:c r="AQ817" s="37" t="n">
        <x:f>ROUND(MAX(0,MIN(100,(O817/4*100*0.25)+(P817/4*100*0.20)+(Q817/4*100*0.15)+(Y817/5*100*0.20)+(100-AO817)*0.20)),1)</x:f>
        <x:v>61.2</x:v>
      </x:c>
      <x:c r="AR817" s="37" t="n">
        <x:f>ROUND((AI817*0.20+AJ817*0.15+AN817*0.18+AG817*0.12+Z817*0.15+AQ817*0.20),1)</x:f>
        <x:v>91.2</x:v>
      </x:c>
      <x:c r="AS817" s="39" t="n">
        <x:f>ROUND((AC817*AF817*120)+(AH817*350)+(MAX(0,AI817-75)*220)+(MAX(0,AQ817-60)*100),0)</x:f>
        <x:v>129820</x:v>
      </x:c>
    </x:row>
    <x:row r="818">
      <x:c r="A818" s="35" t="n">
        <x:v>817</x:v>
      </x:c>
      <x:c r="B818" s="35" t="n">
        <x:v>25</x:v>
      </x:c>
      <x:c r="C818" s="35" t="str">
        <x:v>Male</x:v>
      </x:c>
      <x:c r="D818" s="35" t="str">
        <x:v>Information Technology</x:v>
      </x:c>
      <x:c r="E818" s="35" t="str">
        <x:v>Software Engineer</x:v>
      </x:c>
      <x:c r="F818" s="35" t="str">
        <x:v>Medical</x:v>
      </x:c>
      <x:c r="G818" s="35" t="str">
        <x:v>Divorced</x:v>
      </x:c>
      <x:c r="H818" s="35" t="n">
        <x:v>2</x:v>
      </x:c>
      <x:c r="I818" s="36" t="n">
        <x:v>10130</x:v>
      </x:c>
      <x:c r="J818" s="35" t="n">
        <x:v>3</x:v>
      </x:c>
      <x:c r="K818" s="35" t="n">
        <x:v>2</x:v>
      </x:c>
      <x:c r="L818" s="35" t="n">
        <x:v>1</x:v>
      </x:c>
      <x:c r="M818" s="35" t="n">
        <x:v>14</x:v>
      </x:c>
      <x:c r="N818" s="35" t="str">
        <x:v>No</x:v>
      </x:c>
      <x:c r="O818" s="35" t="n">
        <x:v>3</x:v>
      </x:c>
      <x:c r="P818" s="35" t="n">
        <x:v>3</x:v>
      </x:c>
      <x:c r="Q818" s="35" t="n">
        <x:v>4</x:v>
      </x:c>
      <x:c r="R818" s="35" t="n">
        <x:v>3</x:v>
      </x:c>
      <x:c r="S818" s="35" t="n">
        <x:v>3</x:v>
      </x:c>
      <x:c r="T818" s="35" t="n">
        <x:v>3</x:v>
      </x:c>
      <x:c r="U818" s="35" t="n">
        <x:v>2</x:v>
      </x:c>
      <x:c r="V818" s="35" t="n">
        <x:v>11</x:v>
      </x:c>
      <x:c r="W818" s="35" t="n">
        <x:v>8</x:v>
      </x:c>
      <x:c r="X818" s="35" t="n">
        <x:v>88</x:v>
      </x:c>
      <x:c r="Y818" s="35" t="n">
        <x:v>4</x:v>
      </x:c>
      <x:c r="Z818" s="35" t="n">
        <x:v>100</x:v>
      </x:c>
      <x:c r="AA818" s="35" t="n">
        <x:v>9</x:v>
      </x:c>
      <x:c r="AB818" s="35" t="n">
        <x:v>6</x:v>
      </x:c>
      <x:c r="AC818" s="35" t="n">
        <x:v>6</x:v>
      </x:c>
      <x:c r="AD818" s="35" t="n">
        <x:v>98</x:v>
      </x:c>
      <x:c r="AE818" s="35" t="n">
        <x:v>89</x:v>
      </x:c>
      <x:c r="AF818" s="35" t="n">
        <x:v>84</x:v>
      </x:c>
      <x:c r="AG818" s="35" t="n">
        <x:v>78</x:v>
      </x:c>
      <x:c r="AH818" s="35" t="n">
        <x:v>9</x:v>
      </x:c>
      <x:c r="AI818" s="37" t="n">
        <x:v>97.7</x:v>
      </x:c>
      <x:c r="AJ818" s="37" t="n">
        <x:v>95.2</x:v>
      </x:c>
      <x:c r="AK818" s="35" t="str">
        <x:v>No</x:v>
      </x:c>
      <x:c r="AL818" s="38" t="n">
        <x:f>IF(AA818=0,0,AB818/AA818)</x:f>
        <x:v>0.6666666666666666</x:v>
      </x:c>
      <x:c r="AM818" s="38" t="n">
        <x:f>IF(AB818=0,0,AC818/AB818)</x:f>
        <x:v>1</x:v>
      </x:c>
      <x:c r="AN818" s="37" t="n">
        <x:f>ROUND((AD818*0.20+AE818*0.20+AF818*0.25+AG818*0.15+MIN(100,AC818*12)*0.20),1)</x:f>
        <x:v>84.5</x:v>
      </x:c>
      <x:c r="AO818" s="37" t="n">
        <x:f>ROUND(MAX(0,MIN(100,(X818*0.35)+(W818/45*100*0.20)+((5-O818)/4*100*0.15)+((5-P818)/4*100*0.10)+((6-Y818)/5*100*0.10)+((100-Z818)*0.10))),1)</x:f>
        <x:v>50.9</x:v>
      </x:c>
      <x:c r="AP818" s="37" t="str">
        <x:f>IF(AO818&gt;=70,"High",IF(AO818&gt;=40,"Moderate","Low"))</x:f>
        <x:v>Moderate</x:v>
      </x:c>
      <x:c r="AQ818" s="37" t="n">
        <x:f>ROUND(MAX(0,MIN(100,(O818/4*100*0.25)+(P818/4*100*0.20)+(Q818/4*100*0.15)+(Y818/5*100*0.20)+(100-AO818)*0.20)),1)</x:f>
        <x:v>74.6</x:v>
      </x:c>
      <x:c r="AR818" s="37" t="n">
        <x:f>ROUND((AI818*0.20+AJ818*0.15+AN818*0.18+AG818*0.12+Z818*0.15+AQ818*0.20),1)</x:f>
        <x:v>88.3</x:v>
      </x:c>
      <x:c r="AS818" s="39" t="n">
        <x:f>ROUND((AC818*AF818*120)+(AH818*350)+(MAX(0,AI818-75)*220)+(MAX(0,AQ818-60)*100),0)</x:f>
        <x:v>70084</x:v>
      </x:c>
    </x:row>
    <x:row r="819">
      <x:c r="A819" s="35" t="n">
        <x:v>818</x:v>
      </x:c>
      <x:c r="B819" s="35" t="n">
        <x:v>40</x:v>
      </x:c>
      <x:c r="C819" s="35" t="str">
        <x:v>Female</x:v>
      </x:c>
      <x:c r="D819" s="35" t="str">
        <x:v>Marketing</x:v>
      </x:c>
      <x:c r="E819" s="35" t="str">
        <x:v>Digital Marketing Analyst</x:v>
      </x:c>
      <x:c r="F819" s="35" t="str">
        <x:v>Medical</x:v>
      </x:c>
      <x:c r="G819" s="35" t="str">
        <x:v>Single</x:v>
      </x:c>
      <x:c r="H819" s="35" t="n">
        <x:v>3</x:v>
      </x:c>
      <x:c r="I819" s="36" t="n">
        <x:v>9840</x:v>
      </x:c>
      <x:c r="J819" s="35" t="n">
        <x:v>12</x:v>
      </x:c>
      <x:c r="K819" s="35" t="n">
        <x:v>9</x:v>
      </x:c>
      <x:c r="L819" s="35" t="n">
        <x:v>6</x:v>
      </x:c>
      <x:c r="M819" s="35" t="n">
        <x:v>4</x:v>
      </x:c>
      <x:c r="N819" s="35" t="str">
        <x:v>Yes</x:v>
      </x:c>
      <x:c r="O819" s="35" t="n">
        <x:v>3</x:v>
      </x:c>
      <x:c r="P819" s="35" t="n">
        <x:v>3</x:v>
      </x:c>
      <x:c r="Q819" s="35" t="n">
        <x:v>2</x:v>
      </x:c>
      <x:c r="R819" s="35" t="n">
        <x:v>3</x:v>
      </x:c>
      <x:c r="S819" s="35" t="n">
        <x:v>3</x:v>
      </x:c>
      <x:c r="T819" s="35" t="n">
        <x:v>4</x:v>
      </x:c>
      <x:c r="U819" s="35" t="n">
        <x:v>2</x:v>
      </x:c>
      <x:c r="V819" s="35" t="n">
        <x:v>8</x:v>
      </x:c>
      <x:c r="W819" s="35" t="n">
        <x:v>20</x:v>
      </x:c>
      <x:c r="X819" s="35" t="n">
        <x:v>68</x:v>
      </x:c>
      <x:c r="Y819" s="35" t="n">
        <x:v>4</x:v>
      </x:c>
      <x:c r="Z819" s="35" t="n">
        <x:v>100</x:v>
      </x:c>
      <x:c r="AA819" s="35" t="n">
        <x:v>9</x:v>
      </x:c>
      <x:c r="AB819" s="35" t="n">
        <x:v>9</x:v>
      </x:c>
      <x:c r="AC819" s="35" t="n">
        <x:v>9</x:v>
      </x:c>
      <x:c r="AD819" s="35" t="n">
        <x:v>64</x:v>
      </x:c>
      <x:c r="AE819" s="35" t="n">
        <x:v>100</x:v>
      </x:c>
      <x:c r="AF819" s="35" t="n">
        <x:v>100</x:v>
      </x:c>
      <x:c r="AG819" s="35" t="n">
        <x:v>84</x:v>
      </x:c>
      <x:c r="AH819" s="35" t="n">
        <x:v>12</x:v>
      </x:c>
      <x:c r="AI819" s="37" t="n">
        <x:v>100</x:v>
      </x:c>
      <x:c r="AJ819" s="37" t="n">
        <x:v>88</x:v>
      </x:c>
      <x:c r="AK819" s="35" t="str">
        <x:v>Yes</x:v>
      </x:c>
      <x:c r="AL819" s="38" t="n">
        <x:f>IF(AA819=0,0,AB819/AA819)</x:f>
        <x:v>1</x:v>
      </x:c>
      <x:c r="AM819" s="38" t="n">
        <x:f>IF(AB819=0,0,AC819/AB819)</x:f>
        <x:v>1</x:v>
      </x:c>
      <x:c r="AN819" s="37" t="n">
        <x:f>ROUND((AD819*0.20+AE819*0.20+AF819*0.25+AG819*0.15+MIN(100,AC819*12)*0.20),1)</x:f>
        <x:v>90.4</x:v>
      </x:c>
      <x:c r="AO819" s="37" t="n">
        <x:f>ROUND(MAX(0,MIN(100,(X819*0.35)+(W819/45*100*0.20)+((5-O819)/4*100*0.15)+((5-P819)/4*100*0.10)+((6-Y819)/5*100*0.10)+((100-Z819)*0.10))),1)</x:f>
        <x:v>49.2</x:v>
      </x:c>
      <x:c r="AP819" s="37" t="str">
        <x:f>IF(AO819&gt;=70,"High",IF(AO819&gt;=40,"Moderate","Low"))</x:f>
        <x:v>Moderate</x:v>
      </x:c>
      <x:c r="AQ819" s="37" t="n">
        <x:f>ROUND(MAX(0,MIN(100,(O819/4*100*0.25)+(P819/4*100*0.20)+(Q819/4*100*0.15)+(Y819/5*100*0.20)+(100-AO819)*0.20)),1)</x:f>
        <x:v>67.4</x:v>
      </x:c>
      <x:c r="AR819" s="37" t="n">
        <x:f>ROUND((AI819*0.20+AJ819*0.15+AN819*0.18+AG819*0.12+Z819*0.15+AQ819*0.20),1)</x:f>
        <x:v>88</x:v>
      </x:c>
      <x:c r="AS819" s="39" t="n">
        <x:f>ROUND((AC819*AF819*120)+(AH819*350)+(MAX(0,AI819-75)*220)+(MAX(0,AQ819-60)*100),0)</x:f>
        <x:v>118440</x:v>
      </x:c>
    </x:row>
    <x:row r="820">
      <x:c r="A820" s="35" t="n">
        <x:v>819</x:v>
      </x:c>
      <x:c r="B820" s="35" t="n">
        <x:v>48</x:v>
      </x:c>
      <x:c r="C820" s="35" t="str">
        <x:v>Female</x:v>
      </x:c>
      <x:c r="D820" s="35" t="str">
        <x:v>Sales</x:v>
      </x:c>
      <x:c r="E820" s="35" t="str">
        <x:v>Account Manager</x:v>
      </x:c>
      <x:c r="F820" s="35" t="str">
        <x:v>Marketing</x:v>
      </x:c>
      <x:c r="G820" s="35" t="str">
        <x:v>Married</x:v>
      </x:c>
      <x:c r="H820" s="35" t="n">
        <x:v>3</x:v>
      </x:c>
      <x:c r="I820" s="36" t="n">
        <x:v>12450</x:v>
      </x:c>
      <x:c r="J820" s="35" t="n">
        <x:v>18</x:v>
      </x:c>
      <x:c r="K820" s="35" t="n">
        <x:v>5</x:v>
      </x:c>
      <x:c r="L820" s="35" t="n">
        <x:v>3</x:v>
      </x:c>
      <x:c r="M820" s="35" t="n">
        <x:v>6</x:v>
      </x:c>
      <x:c r="N820" s="35" t="str">
        <x:v>Yes</x:v>
      </x:c>
      <x:c r="O820" s="35" t="n">
        <x:v>3</x:v>
      </x:c>
      <x:c r="P820" s="35" t="n">
        <x:v>4</x:v>
      </x:c>
      <x:c r="Q820" s="35" t="n">
        <x:v>4</x:v>
      </x:c>
      <x:c r="R820" s="35" t="n">
        <x:v>2</x:v>
      </x:c>
      <x:c r="S820" s="35" t="n">
        <x:v>3</x:v>
      </x:c>
      <x:c r="T820" s="35" t="n">
        <x:v>1</x:v>
      </x:c>
      <x:c r="U820" s="35" t="n">
        <x:v>1</x:v>
      </x:c>
      <x:c r="V820" s="35" t="n">
        <x:v>9</x:v>
      </x:c>
      <x:c r="W820" s="35" t="n">
        <x:v>22</x:v>
      </x:c>
      <x:c r="X820" s="35" t="n">
        <x:v>77</x:v>
      </x:c>
      <x:c r="Y820" s="35" t="n">
        <x:v>4</x:v>
      </x:c>
      <x:c r="Z820" s="35" t="n">
        <x:v>97</x:v>
      </x:c>
      <x:c r="AA820" s="35" t="n">
        <x:v>6</x:v>
      </x:c>
      <x:c r="AB820" s="35" t="n">
        <x:v>6</x:v>
      </x:c>
      <x:c r="AC820" s="35" t="n">
        <x:v>6</x:v>
      </x:c>
      <x:c r="AD820" s="35" t="n">
        <x:v>61</x:v>
      </x:c>
      <x:c r="AE820" s="35" t="n">
        <x:v>94</x:v>
      </x:c>
      <x:c r="AF820" s="35" t="n">
        <x:v>60</x:v>
      </x:c>
      <x:c r="AG820" s="35" t="n">
        <x:v>82</x:v>
      </x:c>
      <x:c r="AH820" s="35" t="n">
        <x:v>7</x:v>
      </x:c>
      <x:c r="AI820" s="37" t="n">
        <x:v>100</x:v>
      </x:c>
      <x:c r="AJ820" s="37" t="n">
        <x:v>100</x:v>
      </x:c>
      <x:c r="AK820" s="35" t="str">
        <x:v>No</x:v>
      </x:c>
      <x:c r="AL820" s="38" t="n">
        <x:f>IF(AA820=0,0,AB820/AA820)</x:f>
        <x:v>1</x:v>
      </x:c>
      <x:c r="AM820" s="38" t="n">
        <x:f>IF(AB820=0,0,AC820/AB820)</x:f>
        <x:v>1</x:v>
      </x:c>
      <x:c r="AN820" s="37" t="n">
        <x:f>ROUND((AD820*0.20+AE820*0.20+AF820*0.25+AG820*0.15+MIN(100,AC820*12)*0.20),1)</x:f>
        <x:v>72.7</x:v>
      </x:c>
      <x:c r="AO820" s="37" t="n">
        <x:f>ROUND(MAX(0,MIN(100,(X820*0.35)+(W820/45*100*0.20)+((5-O820)/4*100*0.15)+((5-P820)/4*100*0.10)+((6-Y820)/5*100*0.10)+((100-Z820)*0.10))),1)</x:f>
        <x:v>51</x:v>
      </x:c>
      <x:c r="AP820" s="37" t="str">
        <x:f>IF(AO820&gt;=70,"High",IF(AO820&gt;=40,"Moderate","Low"))</x:f>
        <x:v>Moderate</x:v>
      </x:c>
      <x:c r="AQ820" s="37" t="n">
        <x:f>ROUND(MAX(0,MIN(100,(O820/4*100*0.25)+(P820/4*100*0.20)+(Q820/4*100*0.15)+(Y820/5*100*0.20)+(100-AO820)*0.20)),1)</x:f>
        <x:v>79.6</x:v>
      </x:c>
      <x:c r="AR820" s="37" t="n">
        <x:f>ROUND((AI820*0.20+AJ820*0.15+AN820*0.18+AG820*0.12+Z820*0.15+AQ820*0.20),1)</x:f>
        <x:v>88.4</x:v>
      </x:c>
      <x:c r="AS820" s="39" t="n">
        <x:f>ROUND((AC820*AF820*120)+(AH820*350)+(MAX(0,AI820-75)*220)+(MAX(0,AQ820-60)*100),0)</x:f>
        <x:v>53110</x:v>
      </x:c>
    </x:row>
    <x:row r="821">
      <x:c r="A821" s="35" t="n">
        <x:v>820</x:v>
      </x:c>
      <x:c r="B821" s="35" t="n">
        <x:v>28</x:v>
      </x:c>
      <x:c r="C821" s="35" t="str">
        <x:v>Female</x:v>
      </x:c>
      <x:c r="D821" s="35" t="str">
        <x:v>Sales</x:v>
      </x:c>
      <x:c r="E821" s="35" t="str">
        <x:v>Account Manager</x:v>
      </x:c>
      <x:c r="F821" s="35" t="str">
        <x:v>Human Resources</x:v>
      </x:c>
      <x:c r="G821" s="35" t="str">
        <x:v>Single</x:v>
      </x:c>
      <x:c r="H821" s="35" t="n">
        <x:v>1</x:v>
      </x:c>
      <x:c r="I821" s="36" t="n">
        <x:v>4810</x:v>
      </x:c>
      <x:c r="J821" s="35" t="n">
        <x:v>4</x:v>
      </x:c>
      <x:c r="K821" s="35" t="n">
        <x:v>3</x:v>
      </x:c>
      <x:c r="L821" s="35" t="n">
        <x:v>2</x:v>
      </x:c>
      <x:c r="M821" s="35" t="n">
        <x:v>11</x:v>
      </x:c>
      <x:c r="N821" s="35" t="str">
        <x:v>Yes</x:v>
      </x:c>
      <x:c r="O821" s="35" t="n">
        <x:v>3</x:v>
      </x:c>
      <x:c r="P821" s="35" t="n">
        <x:v>3</x:v>
      </x:c>
      <x:c r="Q821" s="35" t="n">
        <x:v>3</x:v>
      </x:c>
      <x:c r="R821" s="35" t="n">
        <x:v>4</x:v>
      </x:c>
      <x:c r="S821" s="35" t="n">
        <x:v>4</x:v>
      </x:c>
      <x:c r="T821" s="35" t="n">
        <x:v>5</x:v>
      </x:c>
      <x:c r="U821" s="35" t="n">
        <x:v>0</x:v>
      </x:c>
      <x:c r="V821" s="35" t="n">
        <x:v>7</x:v>
      </x:c>
      <x:c r="W821" s="35" t="n">
        <x:v>23</x:v>
      </x:c>
      <x:c r="X821" s="35" t="n">
        <x:v>76</x:v>
      </x:c>
      <x:c r="Y821" s="35" t="n">
        <x:v>5</x:v>
      </x:c>
      <x:c r="Z821" s="35" t="n">
        <x:v>100</x:v>
      </x:c>
      <x:c r="AA821" s="35" t="n">
        <x:v>11</x:v>
      </x:c>
      <x:c r="AB821" s="35" t="n">
        <x:v>6</x:v>
      </x:c>
      <x:c r="AC821" s="35" t="n">
        <x:v>5</x:v>
      </x:c>
      <x:c r="AD821" s="35" t="n">
        <x:v>100</x:v>
      </x:c>
      <x:c r="AE821" s="35" t="n">
        <x:v>90</x:v>
      </x:c>
      <x:c r="AF821" s="35" t="n">
        <x:v>97</x:v>
      </x:c>
      <x:c r="AG821" s="35" t="n">
        <x:v>100</x:v>
      </x:c>
      <x:c r="AH821" s="35" t="n">
        <x:v>12</x:v>
      </x:c>
      <x:c r="AI821" s="37" t="n">
        <x:v>100</x:v>
      </x:c>
      <x:c r="AJ821" s="37" t="n">
        <x:v>99.4</x:v>
      </x:c>
      <x:c r="AK821" s="35" t="str">
        <x:v>No</x:v>
      </x:c>
      <x:c r="AL821" s="38" t="n">
        <x:f>IF(AA821=0,0,AB821/AA821)</x:f>
        <x:v>0.5454545454545454</x:v>
      </x:c>
      <x:c r="AM821" s="38" t="n">
        <x:f>IF(AB821=0,0,AC821/AB821)</x:f>
        <x:v>0.8333333333333334</x:v>
      </x:c>
      <x:c r="AN821" s="37" t="n">
        <x:f>ROUND((AD821*0.20+AE821*0.20+AF821*0.25+AG821*0.15+MIN(100,AC821*12)*0.20),1)</x:f>
        <x:v>89.3</x:v>
      </x:c>
      <x:c r="AO821" s="37" t="n">
        <x:f>ROUND(MAX(0,MIN(100,(X821*0.35)+(W821/45*100*0.20)+((5-O821)/4*100*0.15)+((5-P821)/4*100*0.10)+((6-Y821)/5*100*0.10)+((100-Z821)*0.10))),1)</x:f>
        <x:v>51.3</x:v>
      </x:c>
      <x:c r="AP821" s="37" t="str">
        <x:f>IF(AO821&gt;=70,"High",IF(AO821&gt;=40,"Moderate","Low"))</x:f>
        <x:v>Moderate</x:v>
      </x:c>
      <x:c r="AQ821" s="37" t="n">
        <x:f>ROUND(MAX(0,MIN(100,(O821/4*100*0.25)+(P821/4*100*0.20)+(Q821/4*100*0.15)+(Y821/5*100*0.20)+(100-AO821)*0.20)),1)</x:f>
        <x:v>74.7</x:v>
      </x:c>
      <x:c r="AR821" s="37" t="n">
        <x:f>ROUND((AI821*0.20+AJ821*0.15+AN821*0.18+AG821*0.12+Z821*0.15+AQ821*0.20),1)</x:f>
        <x:v>92.9</x:v>
      </x:c>
      <x:c r="AS821" s="39" t="n">
        <x:f>ROUND((AC821*AF821*120)+(AH821*350)+(MAX(0,AI821-75)*220)+(MAX(0,AQ821-60)*100),0)</x:f>
        <x:v>69370</x:v>
      </x:c>
    </x:row>
    <x:row r="822">
      <x:c r="A822" s="35" t="n">
        <x:v>821</x:v>
      </x:c>
      <x:c r="B822" s="35" t="n">
        <x:v>47</x:v>
      </x:c>
      <x:c r="C822" s="35" t="str">
        <x:v>Female</x:v>
      </x:c>
      <x:c r="D822" s="35" t="str">
        <x:v>Sales</x:v>
      </x:c>
      <x:c r="E822" s="35" t="str">
        <x:v>Sales Representative</x:v>
      </x:c>
      <x:c r="F822" s="35" t="str">
        <x:v>Medical</x:v>
      </x:c>
      <x:c r="G822" s="35" t="str">
        <x:v>Single</x:v>
      </x:c>
      <x:c r="H822" s="35" t="n">
        <x:v>4</x:v>
      </x:c>
      <x:c r="I822" s="36" t="n">
        <x:v>15100</x:v>
      </x:c>
      <x:c r="J822" s="35" t="n">
        <x:v>17</x:v>
      </x:c>
      <x:c r="K822" s="35" t="n">
        <x:v>10</x:v>
      </x:c>
      <x:c r="L822" s="35" t="n">
        <x:v>7</x:v>
      </x:c>
      <x:c r="M822" s="35" t="n">
        <x:v>1</x:v>
      </x:c>
      <x:c r="N822" s="35" t="str">
        <x:v>No</x:v>
      </x:c>
      <x:c r="O822" s="35" t="n">
        <x:v>1</x:v>
      </x:c>
      <x:c r="P822" s="35" t="n">
        <x:v>4</x:v>
      </x:c>
      <x:c r="Q822" s="35" t="n">
        <x:v>2</x:v>
      </x:c>
      <x:c r="R822" s="35" t="n">
        <x:v>3</x:v>
      </x:c>
      <x:c r="S822" s="35" t="n">
        <x:v>3</x:v>
      </x:c>
      <x:c r="T822" s="35" t="n">
        <x:v>3</x:v>
      </x:c>
      <x:c r="U822" s="35" t="n">
        <x:v>0</x:v>
      </x:c>
      <x:c r="V822" s="35" t="n">
        <x:v>5</x:v>
      </x:c>
      <x:c r="W822" s="35" t="n">
        <x:v>0</x:v>
      </x:c>
      <x:c r="X822" s="35" t="n">
        <x:v>65</x:v>
      </x:c>
      <x:c r="Y822" s="35" t="n">
        <x:v>5</x:v>
      </x:c>
      <x:c r="Z822" s="35" t="n">
        <x:v>100</x:v>
      </x:c>
      <x:c r="AA822" s="35" t="n">
        <x:v>4</x:v>
      </x:c>
      <x:c r="AB822" s="35" t="n">
        <x:v>3</x:v>
      </x:c>
      <x:c r="AC822" s="35" t="n">
        <x:v>2</x:v>
      </x:c>
      <x:c r="AD822" s="35" t="n">
        <x:v>76</x:v>
      </x:c>
      <x:c r="AE822" s="35" t="n">
        <x:v>75</x:v>
      </x:c>
      <x:c r="AF822" s="35" t="n">
        <x:v>96</x:v>
      </x:c>
      <x:c r="AG822" s="35" t="n">
        <x:v>82</x:v>
      </x:c>
      <x:c r="AH822" s="35" t="n">
        <x:v>6</x:v>
      </x:c>
      <x:c r="AI822" s="37" t="n">
        <x:v>98.1</x:v>
      </x:c>
      <x:c r="AJ822" s="37" t="n">
        <x:v>96.6</x:v>
      </x:c>
      <x:c r="AK822" s="35" t="str">
        <x:v>No</x:v>
      </x:c>
      <x:c r="AL822" s="38" t="n">
        <x:f>IF(AA822=0,0,AB822/AA822)</x:f>
        <x:v>0.75</x:v>
      </x:c>
      <x:c r="AM822" s="38" t="n">
        <x:f>IF(AB822=0,0,AC822/AB822)</x:f>
        <x:v>0.6666666666666666</x:v>
      </x:c>
      <x:c r="AN822" s="37" t="n">
        <x:f>ROUND((AD822*0.20+AE822*0.20+AF822*0.25+AG822*0.15+MIN(100,AC822*12)*0.20),1)</x:f>
        <x:v>71.3</x:v>
      </x:c>
      <x:c r="AO822" s="37" t="n">
        <x:f>ROUND(MAX(0,MIN(100,(X822*0.35)+(W822/45*100*0.20)+((5-O822)/4*100*0.15)+((5-P822)/4*100*0.10)+((6-Y822)/5*100*0.10)+((100-Z822)*0.10))),1)</x:f>
        <x:v>42.3</x:v>
      </x:c>
      <x:c r="AP822" s="37" t="str">
        <x:f>IF(AO822&gt;=70,"High",IF(AO822&gt;=40,"Moderate","Low"))</x:f>
        <x:v>Moderate</x:v>
      </x:c>
      <x:c r="AQ822" s="37" t="n">
        <x:f>ROUND(MAX(0,MIN(100,(O822/4*100*0.25)+(P822/4*100*0.20)+(Q822/4*100*0.15)+(Y822/5*100*0.20)+(100-AO822)*0.20)),1)</x:f>
        <x:v>65.3</x:v>
      </x:c>
      <x:c r="AR822" s="37" t="n">
        <x:f>ROUND((AI822*0.20+AJ822*0.15+AN822*0.18+AG822*0.12+Z822*0.15+AQ822*0.20),1)</x:f>
        <x:v>84.8</x:v>
      </x:c>
      <x:c r="AS822" s="39" t="n">
        <x:f>ROUND((AC822*AF822*120)+(AH822*350)+(MAX(0,AI822-75)*220)+(MAX(0,AQ822-60)*100),0)</x:f>
        <x:v>30752</x:v>
      </x:c>
    </x:row>
    <x:row r="823">
      <x:c r="A823" s="35" t="n">
        <x:v>822</x:v>
      </x:c>
      <x:c r="B823" s="35" t="n">
        <x:v>31</x:v>
      </x:c>
      <x:c r="C823" s="35" t="str">
        <x:v>Female</x:v>
      </x:c>
      <x:c r="D823" s="35" t="str">
        <x:v>Operations</x:v>
      </x:c>
      <x:c r="E823" s="35" t="str">
        <x:v>Operations Specialist</x:v>
      </x:c>
      <x:c r="F823" s="35" t="str">
        <x:v>Technical Degree</x:v>
      </x:c>
      <x:c r="G823" s="35" t="str">
        <x:v>Married</x:v>
      </x:c>
      <x:c r="H823" s="35" t="n">
        <x:v>2</x:v>
      </x:c>
      <x:c r="I823" s="36" t="n">
        <x:v>12700</x:v>
      </x:c>
      <x:c r="J823" s="35" t="n">
        <x:v>9</x:v>
      </x:c>
      <x:c r="K823" s="35" t="n">
        <x:v>3</x:v>
      </x:c>
      <x:c r="L823" s="35" t="n">
        <x:v>2</x:v>
      </x:c>
      <x:c r="M823" s="35" t="n">
        <x:v>6</x:v>
      </x:c>
      <x:c r="N823" s="35" t="str">
        <x:v>No</x:v>
      </x:c>
      <x:c r="O823" s="35" t="n">
        <x:v>3</x:v>
      </x:c>
      <x:c r="P823" s="35" t="n">
        <x:v>3</x:v>
      </x:c>
      <x:c r="Q823" s="35" t="n">
        <x:v>3</x:v>
      </x:c>
      <x:c r="R823" s="35" t="n">
        <x:v>4</x:v>
      </x:c>
      <x:c r="S823" s="35" t="n">
        <x:v>4</x:v>
      </x:c>
      <x:c r="T823" s="35" t="n">
        <x:v>2</x:v>
      </x:c>
      <x:c r="U823" s="35" t="n">
        <x:v>3</x:v>
      </x:c>
      <x:c r="V823" s="35" t="n">
        <x:v>5</x:v>
      </x:c>
      <x:c r="W823" s="35" t="n">
        <x:v>1</x:v>
      </x:c>
      <x:c r="X823" s="35" t="n">
        <x:v>69</x:v>
      </x:c>
      <x:c r="Y823" s="35" t="n">
        <x:v>5</x:v>
      </x:c>
      <x:c r="Z823" s="35" t="n">
        <x:v>100</x:v>
      </x:c>
      <x:c r="AA823" s="35" t="n">
        <x:v>7</x:v>
      </x:c>
      <x:c r="AB823" s="35" t="n">
        <x:v>5</x:v>
      </x:c>
      <x:c r="AC823" s="35" t="n">
        <x:v>3</x:v>
      </x:c>
      <x:c r="AD823" s="35" t="n">
        <x:v>54</x:v>
      </x:c>
      <x:c r="AE823" s="35" t="n">
        <x:v>100</x:v>
      </x:c>
      <x:c r="AF823" s="35" t="n">
        <x:v>96</x:v>
      </x:c>
      <x:c r="AG823" s="35" t="n">
        <x:v>86</x:v>
      </x:c>
      <x:c r="AH823" s="35" t="n">
        <x:v>10</x:v>
      </x:c>
      <x:c r="AI823" s="37" t="n">
        <x:v>97.4</x:v>
      </x:c>
      <x:c r="AJ823" s="37" t="n">
        <x:v>97</x:v>
      </x:c>
      <x:c r="AK823" s="35" t="str">
        <x:v>No</x:v>
      </x:c>
      <x:c r="AL823" s="38" t="n">
        <x:f>IF(AA823=0,0,AB823/AA823)</x:f>
        <x:v>0.7142857142857143</x:v>
      </x:c>
      <x:c r="AM823" s="38" t="n">
        <x:f>IF(AB823=0,0,AC823/AB823)</x:f>
        <x:v>0.6</x:v>
      </x:c>
      <x:c r="AN823" s="37" t="n">
        <x:f>ROUND((AD823*0.20+AE823*0.20+AF823*0.25+AG823*0.15+MIN(100,AC823*12)*0.20),1)</x:f>
        <x:v>74.9</x:v>
      </x:c>
      <x:c r="AO823" s="37" t="n">
        <x:f>ROUND(MAX(0,MIN(100,(X823*0.35)+(W823/45*100*0.20)+((5-O823)/4*100*0.15)+((5-P823)/4*100*0.10)+((6-Y823)/5*100*0.10)+((100-Z823)*0.10))),1)</x:f>
        <x:v>39.1</x:v>
      </x:c>
      <x:c r="AP823" s="37" t="str">
        <x:f>IF(AO823&gt;=70,"High",IF(AO823&gt;=40,"Moderate","Low"))</x:f>
        <x:v>Low</x:v>
      </x:c>
      <x:c r="AQ823" s="37" t="n">
        <x:f>ROUND(MAX(0,MIN(100,(O823/4*100*0.25)+(P823/4*100*0.20)+(Q823/4*100*0.15)+(Y823/5*100*0.20)+(100-AO823)*0.20)),1)</x:f>
        <x:v>77.2</x:v>
      </x:c>
      <x:c r="AR823" s="37" t="n">
        <x:f>ROUND((AI823*0.20+AJ823*0.15+AN823*0.18+AG823*0.12+Z823*0.15+AQ823*0.20),1)</x:f>
        <x:v>88.3</x:v>
      </x:c>
      <x:c r="AS823" s="39" t="n">
        <x:f>ROUND((AC823*AF823*120)+(AH823*350)+(MAX(0,AI823-75)*220)+(MAX(0,AQ823-60)*100),0)</x:f>
        <x:v>44708</x:v>
      </x:c>
    </x:row>
    <x:row r="824">
      <x:c r="A824" s="35" t="n">
        <x:v>823</x:v>
      </x:c>
      <x:c r="B824" s="35" t="n">
        <x:v>31</x:v>
      </x:c>
      <x:c r="C824" s="35" t="str">
        <x:v>Female</x:v>
      </x:c>
      <x:c r="D824" s="35" t="str">
        <x:v>Finance</x:v>
      </x:c>
      <x:c r="E824" s="35" t="str">
        <x:v>Financial Analyst</x:v>
      </x:c>
      <x:c r="F824" s="35" t="str">
        <x:v>Life Sciences</x:v>
      </x:c>
      <x:c r="G824" s="35" t="str">
        <x:v>Married</x:v>
      </x:c>
      <x:c r="H824" s="35" t="n">
        <x:v>1</x:v>
      </x:c>
      <x:c r="I824" s="36" t="n">
        <x:v>6250</x:v>
      </x:c>
      <x:c r="J824" s="35" t="n">
        <x:v>7</x:v>
      </x:c>
      <x:c r="K824" s="35" t="n">
        <x:v>3</x:v>
      </x:c>
      <x:c r="L824" s="35" t="n">
        <x:v>1</x:v>
      </x:c>
      <x:c r="M824" s="35" t="n">
        <x:v>9</x:v>
      </x:c>
      <x:c r="N824" s="35" t="str">
        <x:v>Yes</x:v>
      </x:c>
      <x:c r="O824" s="35" t="n">
        <x:v>3</x:v>
      </x:c>
      <x:c r="P824" s="35" t="n">
        <x:v>3</x:v>
      </x:c>
      <x:c r="Q824" s="35" t="n">
        <x:v>4</x:v>
      </x:c>
      <x:c r="R824" s="35" t="n">
        <x:v>2</x:v>
      </x:c>
      <x:c r="S824" s="35" t="n">
        <x:v>3</x:v>
      </x:c>
      <x:c r="T824" s="35" t="n">
        <x:v>0</x:v>
      </x:c>
      <x:c r="U824" s="35" t="n">
        <x:v>2</x:v>
      </x:c>
      <x:c r="V824" s="35" t="n">
        <x:v>8</x:v>
      </x:c>
      <x:c r="W824" s="35" t="n">
        <x:v>18</x:v>
      </x:c>
      <x:c r="X824" s="35" t="n">
        <x:v>92</x:v>
      </x:c>
      <x:c r="Y824" s="35" t="n">
        <x:v>3</x:v>
      </x:c>
      <x:c r="Z824" s="35" t="n">
        <x:v>77</x:v>
      </x:c>
      <x:c r="AA824" s="35" t="n">
        <x:v>4</x:v>
      </x:c>
      <x:c r="AB824" s="35" t="n">
        <x:v>3</x:v>
      </x:c>
      <x:c r="AC824" s="35" t="n">
        <x:v>3</x:v>
      </x:c>
      <x:c r="AD824" s="35" t="n">
        <x:v>81</x:v>
      </x:c>
      <x:c r="AE824" s="35" t="n">
        <x:v>93</x:v>
      </x:c>
      <x:c r="AF824" s="35" t="n">
        <x:v>86</x:v>
      </x:c>
      <x:c r="AG824" s="35" t="n">
        <x:v>66</x:v>
      </x:c>
      <x:c r="AH824" s="35" t="n">
        <x:v>5</x:v>
      </x:c>
      <x:c r="AI824" s="37" t="n">
        <x:v>86.5</x:v>
      </x:c>
      <x:c r="AJ824" s="37" t="n">
        <x:v>96.5</x:v>
      </x:c>
      <x:c r="AK824" s="35" t="str">
        <x:v>No</x:v>
      </x:c>
      <x:c r="AL824" s="38" t="n">
        <x:f>IF(AA824=0,0,AB824/AA824)</x:f>
        <x:v>0.75</x:v>
      </x:c>
      <x:c r="AM824" s="38" t="n">
        <x:f>IF(AB824=0,0,AC824/AB824)</x:f>
        <x:v>1</x:v>
      </x:c>
      <x:c r="AN824" s="37" t="n">
        <x:f>ROUND((AD824*0.20+AE824*0.20+AF824*0.25+AG824*0.15+MIN(100,AC824*12)*0.20),1)</x:f>
        <x:v>73.4</x:v>
      </x:c>
      <x:c r="AO824" s="37" t="n">
        <x:f>ROUND(MAX(0,MIN(100,(X824*0.35)+(W824/45*100*0.20)+((5-O824)/4*100*0.15)+((5-P824)/4*100*0.10)+((6-Y824)/5*100*0.10)+((100-Z824)*0.10))),1)</x:f>
        <x:v>61</x:v>
      </x:c>
      <x:c r="AP824" s="37" t="str">
        <x:f>IF(AO824&gt;=70,"High",IF(AO824&gt;=40,"Moderate","Low"))</x:f>
        <x:v>Moderate</x:v>
      </x:c>
      <x:c r="AQ824" s="37" t="n">
        <x:f>ROUND(MAX(0,MIN(100,(O824/4*100*0.25)+(P824/4*100*0.20)+(Q824/4*100*0.15)+(Y824/5*100*0.20)+(100-AO824)*0.20)),1)</x:f>
        <x:v>68.6</x:v>
      </x:c>
      <x:c r="AR824" s="37" t="n">
        <x:f>ROUND((AI824*0.20+AJ824*0.15+AN824*0.18+AG824*0.12+Z824*0.15+AQ824*0.20),1)</x:f>
        <x:v>78.2</x:v>
      </x:c>
      <x:c r="AS824" s="39" t="n">
        <x:f>ROUND((AC824*AF824*120)+(AH824*350)+(MAX(0,AI824-75)*220)+(MAX(0,AQ824-60)*100),0)</x:f>
        <x:v>36100</x:v>
      </x:c>
    </x:row>
    <x:row r="825">
      <x:c r="A825" s="35" t="n">
        <x:v>824</x:v>
      </x:c>
      <x:c r="B825" s="35" t="n">
        <x:v>41</x:v>
      </x:c>
      <x:c r="C825" s="35" t="str">
        <x:v>Female</x:v>
      </x:c>
      <x:c r="D825" s="35" t="str">
        <x:v>Research &amp; Development</x:v>
      </x:c>
      <x:c r="E825" s="35" t="str">
        <x:v>Data Scientist</x:v>
      </x:c>
      <x:c r="F825" s="35" t="str">
        <x:v>Computer Science</x:v>
      </x:c>
      <x:c r="G825" s="35" t="str">
        <x:v>Married</x:v>
      </x:c>
      <x:c r="H825" s="35" t="n">
        <x:v>3</x:v>
      </x:c>
      <x:c r="I825" s="36" t="n">
        <x:v>9840</x:v>
      </x:c>
      <x:c r="J825" s="35" t="n">
        <x:v>18</x:v>
      </x:c>
      <x:c r="K825" s="35" t="n">
        <x:v>9</x:v>
      </x:c>
      <x:c r="L825" s="35" t="n">
        <x:v>6</x:v>
      </x:c>
      <x:c r="M825" s="35" t="n">
        <x:v>8</x:v>
      </x:c>
      <x:c r="N825" s="35" t="str">
        <x:v>Yes</x:v>
      </x:c>
      <x:c r="O825" s="35" t="n">
        <x:v>3</x:v>
      </x:c>
      <x:c r="P825" s="35" t="n">
        <x:v>3</x:v>
      </x:c>
      <x:c r="Q825" s="35" t="n">
        <x:v>4</x:v>
      </x:c>
      <x:c r="R825" s="35" t="n">
        <x:v>2</x:v>
      </x:c>
      <x:c r="S825" s="35" t="n">
        <x:v>3</x:v>
      </x:c>
      <x:c r="T825" s="35" t="n">
        <x:v>3</x:v>
      </x:c>
      <x:c r="U825" s="35" t="n">
        <x:v>2</x:v>
      </x:c>
      <x:c r="V825" s="35" t="n">
        <x:v>13</x:v>
      </x:c>
      <x:c r="W825" s="35" t="n">
        <x:v>13</x:v>
      </x:c>
      <x:c r="X825" s="35" t="n">
        <x:v>92</x:v>
      </x:c>
      <x:c r="Y825" s="35" t="n">
        <x:v>4</x:v>
      </x:c>
      <x:c r="Z825" s="35" t="n">
        <x:v>95</x:v>
      </x:c>
      <x:c r="AA825" s="35" t="n">
        <x:v>6</x:v>
      </x:c>
      <x:c r="AB825" s="35" t="n">
        <x:v>6</x:v>
      </x:c>
      <x:c r="AC825" s="35" t="n">
        <x:v>5</x:v>
      </x:c>
      <x:c r="AD825" s="35" t="n">
        <x:v>65</x:v>
      </x:c>
      <x:c r="AE825" s="35" t="n">
        <x:v>93</x:v>
      </x:c>
      <x:c r="AF825" s="35" t="n">
        <x:v>91</x:v>
      </x:c>
      <x:c r="AG825" s="35" t="n">
        <x:v>82</x:v>
      </x:c>
      <x:c r="AH825" s="35" t="n">
        <x:v>9</x:v>
      </x:c>
      <x:c r="AI825" s="37" t="n">
        <x:v>88.2</x:v>
      </x:c>
      <x:c r="AJ825" s="37" t="n">
        <x:v>91.3</x:v>
      </x:c>
      <x:c r="AK825" s="35" t="str">
        <x:v>No</x:v>
      </x:c>
      <x:c r="AL825" s="38" t="n">
        <x:f>IF(AA825=0,0,AB825/AA825)</x:f>
        <x:v>1</x:v>
      </x:c>
      <x:c r="AM825" s="38" t="n">
        <x:f>IF(AB825=0,0,AC825/AB825)</x:f>
        <x:v>0.8333333333333334</x:v>
      </x:c>
      <x:c r="AN825" s="37" t="n">
        <x:f>ROUND((AD825*0.20+AE825*0.20+AF825*0.25+AG825*0.15+MIN(100,AC825*12)*0.20),1)</x:f>
        <x:v>78.7</x:v>
      </x:c>
      <x:c r="AO825" s="37" t="n">
        <x:f>ROUND(MAX(0,MIN(100,(X825*0.35)+(W825/45*100*0.20)+((5-O825)/4*100*0.15)+((5-P825)/4*100*0.10)+((6-Y825)/5*100*0.10)+((100-Z825)*0.10))),1)</x:f>
        <x:v>55</x:v>
      </x:c>
      <x:c r="AP825" s="37" t="str">
        <x:f>IF(AO825&gt;=70,"High",IF(AO825&gt;=40,"Moderate","Low"))</x:f>
        <x:v>Moderate</x:v>
      </x:c>
      <x:c r="AQ825" s="37" t="n">
        <x:f>ROUND(MAX(0,MIN(100,(O825/4*100*0.25)+(P825/4*100*0.20)+(Q825/4*100*0.15)+(Y825/5*100*0.20)+(100-AO825)*0.20)),1)</x:f>
        <x:v>73.8</x:v>
      </x:c>
      <x:c r="AR825" s="37" t="n">
        <x:f>ROUND((AI825*0.20+AJ825*0.15+AN825*0.18+AG825*0.12+Z825*0.15+AQ825*0.20),1)</x:f>
        <x:v>84.4</x:v>
      </x:c>
      <x:c r="AS825" s="39" t="n">
        <x:f>ROUND((AC825*AF825*120)+(AH825*350)+(MAX(0,AI825-75)*220)+(MAX(0,AQ825-60)*100),0)</x:f>
        <x:v>62034</x:v>
      </x:c>
    </x:row>
    <x:row r="826">
      <x:c r="A826" s="35" t="n">
        <x:v>825</x:v>
      </x:c>
      <x:c r="B826" s="35" t="n">
        <x:v>29</x:v>
      </x:c>
      <x:c r="C826" s="35" t="str">
        <x:v>Male</x:v>
      </x:c>
      <x:c r="D826" s="35" t="str">
        <x:v>Information Technology</x:v>
      </x:c>
      <x:c r="E826" s="35" t="str">
        <x:v>Software Engineer</x:v>
      </x:c>
      <x:c r="F826" s="35" t="str">
        <x:v>Life Sciences</x:v>
      </x:c>
      <x:c r="G826" s="35" t="str">
        <x:v>Married</x:v>
      </x:c>
      <x:c r="H826" s="35" t="n">
        <x:v>2</x:v>
      </x:c>
      <x:c r="I826" s="36" t="n">
        <x:v>6050</x:v>
      </x:c>
      <x:c r="J826" s="35" t="n">
        <x:v>4</x:v>
      </x:c>
      <x:c r="K826" s="35" t="n">
        <x:v>2</x:v>
      </x:c>
      <x:c r="L826" s="35" t="n">
        <x:v>1</x:v>
      </x:c>
      <x:c r="M826" s="35" t="n">
        <x:v>7</x:v>
      </x:c>
      <x:c r="N826" s="35" t="str">
        <x:v>Yes</x:v>
      </x:c>
      <x:c r="O826" s="35" t="n">
        <x:v>3</x:v>
      </x:c>
      <x:c r="P826" s="35" t="n">
        <x:v>4</x:v>
      </x:c>
      <x:c r="Q826" s="35" t="n">
        <x:v>4</x:v>
      </x:c>
      <x:c r="R826" s="35" t="n">
        <x:v>2</x:v>
      </x:c>
      <x:c r="S826" s="35" t="n">
        <x:v>3</x:v>
      </x:c>
      <x:c r="T826" s="35" t="n">
        <x:v>4</x:v>
      </x:c>
      <x:c r="U826" s="35" t="n">
        <x:v>0</x:v>
      </x:c>
      <x:c r="V826" s="35" t="n">
        <x:v>12</x:v>
      </x:c>
      <x:c r="W826" s="35" t="n">
        <x:v>11</x:v>
      </x:c>
      <x:c r="X826" s="35" t="n">
        <x:v>80</x:v>
      </x:c>
      <x:c r="Y826" s="35" t="n">
        <x:v>5</x:v>
      </x:c>
      <x:c r="Z826" s="35" t="n">
        <x:v>99</x:v>
      </x:c>
      <x:c r="AA826" s="35" t="n">
        <x:v>10</x:v>
      </x:c>
      <x:c r="AB826" s="35" t="n">
        <x:v>9</x:v>
      </x:c>
      <x:c r="AC826" s="35" t="n">
        <x:v>6</x:v>
      </x:c>
      <x:c r="AD826" s="35" t="n">
        <x:v>100</x:v>
      </x:c>
      <x:c r="AE826" s="35" t="n">
        <x:v>89</x:v>
      </x:c>
      <x:c r="AF826" s="35" t="n">
        <x:v>97</x:v>
      </x:c>
      <x:c r="AG826" s="35" t="n">
        <x:v>77</x:v>
      </x:c>
      <x:c r="AH826" s="35" t="n">
        <x:v>12</x:v>
      </x:c>
      <x:c r="AI826" s="37" t="n">
        <x:v>100</x:v>
      </x:c>
      <x:c r="AJ826" s="37" t="n">
        <x:v>95.5</x:v>
      </x:c>
      <x:c r="AK826" s="35" t="str">
        <x:v>No</x:v>
      </x:c>
      <x:c r="AL826" s="38" t="n">
        <x:f>IF(AA826=0,0,AB826/AA826)</x:f>
        <x:v>0.9</x:v>
      </x:c>
      <x:c r="AM826" s="38" t="n">
        <x:f>IF(AB826=0,0,AC826/AB826)</x:f>
        <x:v>0.6666666666666666</x:v>
      </x:c>
      <x:c r="AN826" s="37" t="n">
        <x:f>ROUND((AD826*0.20+AE826*0.20+AF826*0.25+AG826*0.15+MIN(100,AC826*12)*0.20),1)</x:f>
        <x:v>88</x:v>
      </x:c>
      <x:c r="AO826" s="37" t="n">
        <x:f>ROUND(MAX(0,MIN(100,(X826*0.35)+(W826/45*100*0.20)+((5-O826)/4*100*0.15)+((5-P826)/4*100*0.10)+((6-Y826)/5*100*0.10)+((100-Z826)*0.10))),1)</x:f>
        <x:v>45</x:v>
      </x:c>
      <x:c r="AP826" s="37" t="str">
        <x:f>IF(AO826&gt;=70,"High",IF(AO826&gt;=40,"Moderate","Low"))</x:f>
        <x:v>Moderate</x:v>
      </x:c>
      <x:c r="AQ826" s="37" t="n">
        <x:f>ROUND(MAX(0,MIN(100,(O826/4*100*0.25)+(P826/4*100*0.20)+(Q826/4*100*0.15)+(Y826/5*100*0.20)+(100-AO826)*0.20)),1)</x:f>
        <x:v>84.8</x:v>
      </x:c>
      <x:c r="AR826" s="37" t="n">
        <x:f>ROUND((AI826*0.20+AJ826*0.15+AN826*0.18+AG826*0.12+Z826*0.15+AQ826*0.20),1)</x:f>
        <x:v>91.2</x:v>
      </x:c>
      <x:c r="AS826" s="39" t="n">
        <x:f>ROUND((AC826*AF826*120)+(AH826*350)+(MAX(0,AI826-75)*220)+(MAX(0,AQ826-60)*100),0)</x:f>
        <x:v>82020</x:v>
      </x:c>
    </x:row>
    <x:row r="827">
      <x:c r="A827" s="35" t="n">
        <x:v>826</x:v>
      </x:c>
      <x:c r="B827" s="35" t="n">
        <x:v>29</x:v>
      </x:c>
      <x:c r="C827" s="35" t="str">
        <x:v>Male</x:v>
      </x:c>
      <x:c r="D827" s="35" t="str">
        <x:v>Operations</x:v>
      </x:c>
      <x:c r="E827" s="35" t="str">
        <x:v>Operations Manager</x:v>
      </x:c>
      <x:c r="F827" s="35" t="str">
        <x:v>Business</x:v>
      </x:c>
      <x:c r="G827" s="35" t="str">
        <x:v>Married</x:v>
      </x:c>
      <x:c r="H827" s="35" t="n">
        <x:v>1</x:v>
      </x:c>
      <x:c r="I827" s="36" t="n">
        <x:v>5250</x:v>
      </x:c>
      <x:c r="J827" s="35" t="n">
        <x:v>7</x:v>
      </x:c>
      <x:c r="K827" s="35" t="n">
        <x:v>5</x:v>
      </x:c>
      <x:c r="L827" s="35" t="n">
        <x:v>4</x:v>
      </x:c>
      <x:c r="M827" s="35" t="n">
        <x:v>21</x:v>
      </x:c>
      <x:c r="N827" s="35" t="str">
        <x:v>No</x:v>
      </x:c>
      <x:c r="O827" s="35" t="n">
        <x:v>3</x:v>
      </x:c>
      <x:c r="P827" s="35" t="n">
        <x:v>4</x:v>
      </x:c>
      <x:c r="Q827" s="35" t="n">
        <x:v>3</x:v>
      </x:c>
      <x:c r="R827" s="35" t="n">
        <x:v>3</x:v>
      </x:c>
      <x:c r="S827" s="35" t="n">
        <x:v>3</x:v>
      </x:c>
      <x:c r="T827" s="35" t="n">
        <x:v>3</x:v>
      </x:c>
      <x:c r="U827" s="35" t="n">
        <x:v>0</x:v>
      </x:c>
      <x:c r="V827" s="35" t="n">
        <x:v>6</x:v>
      </x:c>
      <x:c r="W827" s="35" t="n">
        <x:v>22</x:v>
      </x:c>
      <x:c r="X827" s="35" t="n">
        <x:v>76</x:v>
      </x:c>
      <x:c r="Y827" s="35" t="n">
        <x:v>4</x:v>
      </x:c>
      <x:c r="Z827" s="35" t="n">
        <x:v>100</x:v>
      </x:c>
      <x:c r="AA827" s="35" t="n">
        <x:v>5</x:v>
      </x:c>
      <x:c r="AB827" s="35" t="n">
        <x:v>5</x:v>
      </x:c>
      <x:c r="AC827" s="35" t="n">
        <x:v>4</x:v>
      </x:c>
      <x:c r="AD827" s="35" t="n">
        <x:v>79</x:v>
      </x:c>
      <x:c r="AE827" s="35" t="n">
        <x:v>78</x:v>
      </x:c>
      <x:c r="AF827" s="35" t="n">
        <x:v>81</x:v>
      </x:c>
      <x:c r="AG827" s="35" t="n">
        <x:v>89</x:v>
      </x:c>
      <x:c r="AH827" s="35" t="n">
        <x:v>6</x:v>
      </x:c>
      <x:c r="AI827" s="37" t="n">
        <x:v>98.8</x:v>
      </x:c>
      <x:c r="AJ827" s="37" t="n">
        <x:v>85.9</x:v>
      </x:c>
      <x:c r="AK827" s="35" t="str">
        <x:v>No</x:v>
      </x:c>
      <x:c r="AL827" s="38" t="n">
        <x:f>IF(AA827=0,0,AB827/AA827)</x:f>
        <x:v>1</x:v>
      </x:c>
      <x:c r="AM827" s="38" t="n">
        <x:f>IF(AB827=0,0,AC827/AB827)</x:f>
        <x:v>0.8</x:v>
      </x:c>
      <x:c r="AN827" s="37" t="n">
        <x:f>ROUND((AD827*0.20+AE827*0.20+AF827*0.25+AG827*0.15+MIN(100,AC827*12)*0.20),1)</x:f>
        <x:v>74.6</x:v>
      </x:c>
      <x:c r="AO827" s="37" t="n">
        <x:f>ROUND(MAX(0,MIN(100,(X827*0.35)+(W827/45*100*0.20)+((5-O827)/4*100*0.15)+((5-P827)/4*100*0.10)+((6-Y827)/5*100*0.10)+((100-Z827)*0.10))),1)</x:f>
        <x:v>50.4</x:v>
      </x:c>
      <x:c r="AP827" s="37" t="str">
        <x:f>IF(AO827&gt;=70,"High",IF(AO827&gt;=40,"Moderate","Low"))</x:f>
        <x:v>Moderate</x:v>
      </x:c>
      <x:c r="AQ827" s="37" t="n">
        <x:f>ROUND(MAX(0,MIN(100,(O827/4*100*0.25)+(P827/4*100*0.20)+(Q827/4*100*0.15)+(Y827/5*100*0.20)+(100-AO827)*0.20)),1)</x:f>
        <x:v>75.9</x:v>
      </x:c>
      <x:c r="AR827" s="37" t="n">
        <x:f>ROUND((AI827*0.20+AJ827*0.15+AN827*0.18+AG827*0.12+Z827*0.15+AQ827*0.20),1)</x:f>
        <x:v>86.9</x:v>
      </x:c>
      <x:c r="AS827" s="39" t="n">
        <x:f>ROUND((AC827*AF827*120)+(AH827*350)+(MAX(0,AI827-75)*220)+(MAX(0,AQ827-60)*100),0)</x:f>
        <x:v>47806</x:v>
      </x:c>
    </x:row>
    <x:row r="828">
      <x:c r="A828" s="35" t="n">
        <x:v>827</x:v>
      </x:c>
      <x:c r="B828" s="35" t="n">
        <x:v>37</x:v>
      </x:c>
      <x:c r="C828" s="35" t="str">
        <x:v>Female</x:v>
      </x:c>
      <x:c r="D828" s="35" t="str">
        <x:v>Operations</x:v>
      </x:c>
      <x:c r="E828" s="35" t="str">
        <x:v>Operations Manager</x:v>
      </x:c>
      <x:c r="F828" s="35" t="str">
        <x:v>Medical</x:v>
      </x:c>
      <x:c r="G828" s="35" t="str">
        <x:v>Married</x:v>
      </x:c>
      <x:c r="H828" s="35" t="n">
        <x:v>2</x:v>
      </x:c>
      <x:c r="I828" s="36" t="n">
        <x:v>8880</x:v>
      </x:c>
      <x:c r="J828" s="35" t="n">
        <x:v>12</x:v>
      </x:c>
      <x:c r="K828" s="35" t="n">
        <x:v>4</x:v>
      </x:c>
      <x:c r="L828" s="35" t="n">
        <x:v>2</x:v>
      </x:c>
      <x:c r="M828" s="35" t="n">
        <x:v>8</x:v>
      </x:c>
      <x:c r="N828" s="35" t="str">
        <x:v>No</x:v>
      </x:c>
      <x:c r="O828" s="35" t="n">
        <x:v>3</x:v>
      </x:c>
      <x:c r="P828" s="35" t="n">
        <x:v>2</x:v>
      </x:c>
      <x:c r="Q828" s="35" t="n">
        <x:v>2</x:v>
      </x:c>
      <x:c r="R828" s="35" t="n">
        <x:v>3</x:v>
      </x:c>
      <x:c r="S828" s="35" t="n">
        <x:v>3</x:v>
      </x:c>
      <x:c r="T828" s="35" t="n">
        <x:v>2</x:v>
      </x:c>
      <x:c r="U828" s="35" t="n">
        <x:v>1</x:v>
      </x:c>
      <x:c r="V828" s="35" t="n">
        <x:v>6</x:v>
      </x:c>
      <x:c r="W828" s="35" t="n">
        <x:v>12</x:v>
      </x:c>
      <x:c r="X828" s="35" t="n">
        <x:v>56</x:v>
      </x:c>
      <x:c r="Y828" s="35" t="n">
        <x:v>4</x:v>
      </x:c>
      <x:c r="Z828" s="35" t="n">
        <x:v>89</x:v>
      </x:c>
      <x:c r="AA828" s="35" t="n">
        <x:v>3</x:v>
      </x:c>
      <x:c r="AB828" s="35" t="n">
        <x:v>2</x:v>
      </x:c>
      <x:c r="AC828" s="35" t="n">
        <x:v>1</x:v>
      </x:c>
      <x:c r="AD828" s="35" t="n">
        <x:v>72</x:v>
      </x:c>
      <x:c r="AE828" s="35" t="n">
        <x:v>71</x:v>
      </x:c>
      <x:c r="AF828" s="35" t="n">
        <x:v>62</x:v>
      </x:c>
      <x:c r="AG828" s="35" t="n">
        <x:v>93</x:v>
      </x:c>
      <x:c r="AH828" s="35" t="n">
        <x:v>5</x:v>
      </x:c>
      <x:c r="AI828" s="37" t="n">
        <x:v>100</x:v>
      </x:c>
      <x:c r="AJ828" s="37" t="n">
        <x:v>92.5</x:v>
      </x:c>
      <x:c r="AK828" s="35" t="str">
        <x:v>No</x:v>
      </x:c>
      <x:c r="AL828" s="38" t="n">
        <x:f>IF(AA828=0,0,AB828/AA828)</x:f>
        <x:v>0.6666666666666666</x:v>
      </x:c>
      <x:c r="AM828" s="38" t="n">
        <x:f>IF(AB828=0,0,AC828/AB828)</x:f>
        <x:v>0.5</x:v>
      </x:c>
      <x:c r="AN828" s="37" t="n">
        <x:f>ROUND((AD828*0.20+AE828*0.20+AF828*0.25+AG828*0.15+MIN(100,AC828*12)*0.20),1)</x:f>
        <x:v>60.5</x:v>
      </x:c>
      <x:c r="AO828" s="37" t="n">
        <x:f>ROUND(MAX(0,MIN(100,(X828*0.35)+(W828/45*100*0.20)+((5-O828)/4*100*0.15)+((5-P828)/4*100*0.10)+((6-Y828)/5*100*0.10)+((100-Z828)*0.10))),1)</x:f>
        <x:v>45</x:v>
      </x:c>
      <x:c r="AP828" s="37" t="str">
        <x:f>IF(AO828&gt;=70,"High",IF(AO828&gt;=40,"Moderate","Low"))</x:f>
        <x:v>Moderate</x:v>
      </x:c>
      <x:c r="AQ828" s="37" t="n">
        <x:f>ROUND(MAX(0,MIN(100,(O828/4*100*0.25)+(P828/4*100*0.20)+(Q828/4*100*0.15)+(Y828/5*100*0.20)+(100-AO828)*0.20)),1)</x:f>
        <x:v>63.3</x:v>
      </x:c>
      <x:c r="AR828" s="37" t="n">
        <x:f>ROUND((AI828*0.20+AJ828*0.15+AN828*0.18+AG828*0.12+Z828*0.15+AQ828*0.20),1)</x:f>
        <x:v>81.9</x:v>
      </x:c>
      <x:c r="AS828" s="39" t="n">
        <x:f>ROUND((AC828*AF828*120)+(AH828*350)+(MAX(0,AI828-75)*220)+(MAX(0,AQ828-60)*100),0)</x:f>
        <x:v>15020</x:v>
      </x:c>
    </x:row>
    <x:row r="829">
      <x:c r="A829" s="35" t="n">
        <x:v>828</x:v>
      </x:c>
      <x:c r="B829" s="35" t="n">
        <x:v>49</x:v>
      </x:c>
      <x:c r="C829" s="35" t="str">
        <x:v>Female</x:v>
      </x:c>
      <x:c r="D829" s="35" t="str">
        <x:v>Human Resources</x:v>
      </x:c>
      <x:c r="E829" s="35" t="str">
        <x:v>HR Manager</x:v>
      </x:c>
      <x:c r="F829" s="35" t="str">
        <x:v>Medical</x:v>
      </x:c>
      <x:c r="G829" s="35" t="str">
        <x:v>Married</x:v>
      </x:c>
      <x:c r="H829" s="35" t="n">
        <x:v>4</x:v>
      </x:c>
      <x:c r="I829" s="36" t="n">
        <x:v>27850</x:v>
      </x:c>
      <x:c r="J829" s="35" t="n">
        <x:v>13</x:v>
      </x:c>
      <x:c r="K829" s="35" t="n">
        <x:v>10</x:v>
      </x:c>
      <x:c r="L829" s="35" t="n">
        <x:v>6</x:v>
      </x:c>
      <x:c r="M829" s="35" t="n">
        <x:v>5</x:v>
      </x:c>
      <x:c r="N829" s="35" t="str">
        <x:v>Yes</x:v>
      </x:c>
      <x:c r="O829" s="35" t="n">
        <x:v>3</x:v>
      </x:c>
      <x:c r="P829" s="35" t="n">
        <x:v>2</x:v>
      </x:c>
      <x:c r="Q829" s="35" t="n">
        <x:v>3</x:v>
      </x:c>
      <x:c r="R829" s="35" t="n">
        <x:v>3</x:v>
      </x:c>
      <x:c r="S829" s="35" t="n">
        <x:v>3</x:v>
      </x:c>
      <x:c r="T829" s="35" t="n">
        <x:v>3</x:v>
      </x:c>
      <x:c r="U829" s="35" t="n">
        <x:v>0</x:v>
      </x:c>
      <x:c r="V829" s="35" t="n">
        <x:v>9</x:v>
      </x:c>
      <x:c r="W829" s="35" t="n">
        <x:v>21</x:v>
      </x:c>
      <x:c r="X829" s="35" t="n">
        <x:v>74</x:v>
      </x:c>
      <x:c r="Y829" s="35" t="n">
        <x:v>5</x:v>
      </x:c>
      <x:c r="Z829" s="35" t="n">
        <x:v>95</x:v>
      </x:c>
      <x:c r="AA829" s="35" t="n">
        <x:v>5</x:v>
      </x:c>
      <x:c r="AB829" s="35" t="n">
        <x:v>4</x:v>
      </x:c>
      <x:c r="AC829" s="35" t="n">
        <x:v>4</x:v>
      </x:c>
      <x:c r="AD829" s="35" t="n">
        <x:v>69</x:v>
      </x:c>
      <x:c r="AE829" s="35" t="n">
        <x:v>83</x:v>
      </x:c>
      <x:c r="AF829" s="35" t="n">
        <x:v>77</x:v>
      </x:c>
      <x:c r="AG829" s="35" t="n">
        <x:v>98</x:v>
      </x:c>
      <x:c r="AH829" s="35" t="n">
        <x:v>10</x:v>
      </x:c>
      <x:c r="AI829" s="37" t="n">
        <x:v>100</x:v>
      </x:c>
      <x:c r="AJ829" s="37" t="n">
        <x:v>89.2</x:v>
      </x:c>
      <x:c r="AK829" s="35" t="str">
        <x:v>Yes</x:v>
      </x:c>
      <x:c r="AL829" s="38" t="n">
        <x:f>IF(AA829=0,0,AB829/AA829)</x:f>
        <x:v>0.8</x:v>
      </x:c>
      <x:c r="AM829" s="38" t="n">
        <x:f>IF(AB829=0,0,AC829/AB829)</x:f>
        <x:v>1</x:v>
      </x:c>
      <x:c r="AN829" s="37" t="n">
        <x:f>ROUND((AD829*0.20+AE829*0.20+AF829*0.25+AG829*0.15+MIN(100,AC829*12)*0.20),1)</x:f>
        <x:v>74</x:v>
      </x:c>
      <x:c r="AO829" s="37" t="n">
        <x:f>ROUND(MAX(0,MIN(100,(X829*0.35)+(W829/45*100*0.20)+((5-O829)/4*100*0.15)+((5-P829)/4*100*0.10)+((6-Y829)/5*100*0.10)+((100-Z829)*0.10))),1)</x:f>
        <x:v>52.7</x:v>
      </x:c>
      <x:c r="AP829" s="37" t="str">
        <x:f>IF(AO829&gt;=70,"High",IF(AO829&gt;=40,"Moderate","Low"))</x:f>
        <x:v>Moderate</x:v>
      </x:c>
      <x:c r="AQ829" s="37" t="n">
        <x:f>ROUND(MAX(0,MIN(100,(O829/4*100*0.25)+(P829/4*100*0.20)+(Q829/4*100*0.15)+(Y829/5*100*0.20)+(100-AO829)*0.20)),1)</x:f>
        <x:v>69.5</x:v>
      </x:c>
      <x:c r="AR829" s="37" t="n">
        <x:f>ROUND((AI829*0.20+AJ829*0.15+AN829*0.18+AG829*0.12+Z829*0.15+AQ829*0.20),1)</x:f>
        <x:v>86.6</x:v>
      </x:c>
      <x:c r="AS829" s="39" t="n">
        <x:f>ROUND((AC829*AF829*120)+(AH829*350)+(MAX(0,AI829-75)*220)+(MAX(0,AQ829-60)*100),0)</x:f>
        <x:v>46910</x:v>
      </x:c>
    </x:row>
    <x:row r="830">
      <x:c r="A830" s="35" t="n">
        <x:v>829</x:v>
      </x:c>
      <x:c r="B830" s="35" t="n">
        <x:v>31</x:v>
      </x:c>
      <x:c r="C830" s="35" t="str">
        <x:v>Male</x:v>
      </x:c>
      <x:c r="D830" s="35" t="str">
        <x:v>Research &amp; Development</x:v>
      </x:c>
      <x:c r="E830" s="35" t="str">
        <x:v>R&amp;D Manager</x:v>
      </x:c>
      <x:c r="F830" s="35" t="str">
        <x:v>Human Resources</x:v>
      </x:c>
      <x:c r="G830" s="35" t="str">
        <x:v>Married</x:v>
      </x:c>
      <x:c r="H830" s="35" t="n">
        <x:v>1</x:v>
      </x:c>
      <x:c r="I830" s="36" t="n">
        <x:v>6230</x:v>
      </x:c>
      <x:c r="J830" s="35" t="n">
        <x:v>5</x:v>
      </x:c>
      <x:c r="K830" s="35" t="n">
        <x:v>3</x:v>
      </x:c>
      <x:c r="L830" s="35" t="n">
        <x:v>2</x:v>
      </x:c>
      <x:c r="M830" s="35" t="n">
        <x:v>7</x:v>
      </x:c>
      <x:c r="N830" s="35" t="str">
        <x:v>No</x:v>
      </x:c>
      <x:c r="O830" s="35" t="n">
        <x:v>3</x:v>
      </x:c>
      <x:c r="P830" s="35" t="n">
        <x:v>2</x:v>
      </x:c>
      <x:c r="Q830" s="35" t="n">
        <x:v>3</x:v>
      </x:c>
      <x:c r="R830" s="35" t="n">
        <x:v>3</x:v>
      </x:c>
      <x:c r="S830" s="35" t="n">
        <x:v>3</x:v>
      </x:c>
      <x:c r="T830" s="35" t="n">
        <x:v>3</x:v>
      </x:c>
      <x:c r="U830" s="35" t="n">
        <x:v>2</x:v>
      </x:c>
      <x:c r="V830" s="35" t="n">
        <x:v>10</x:v>
      </x:c>
      <x:c r="W830" s="35" t="n">
        <x:v>3</x:v>
      </x:c>
      <x:c r="X830" s="35" t="n">
        <x:v>55</x:v>
      </x:c>
      <x:c r="Y830" s="35" t="n">
        <x:v>5</x:v>
      </x:c>
      <x:c r="Z830" s="35" t="n">
        <x:v>93</x:v>
      </x:c>
      <x:c r="AA830" s="35" t="n">
        <x:v>9</x:v>
      </x:c>
      <x:c r="AB830" s="35" t="n">
        <x:v>8</x:v>
      </x:c>
      <x:c r="AC830" s="35" t="n">
        <x:v>8</x:v>
      </x:c>
      <x:c r="AD830" s="35" t="n">
        <x:v>82</x:v>
      </x:c>
      <x:c r="AE830" s="35" t="n">
        <x:v>83</x:v>
      </x:c>
      <x:c r="AF830" s="35" t="n">
        <x:v>100</x:v>
      </x:c>
      <x:c r="AG830" s="35" t="n">
        <x:v>100</x:v>
      </x:c>
      <x:c r="AH830" s="35" t="n">
        <x:v>8</x:v>
      </x:c>
      <x:c r="AI830" s="37" t="n">
        <x:v>100</x:v>
      </x:c>
      <x:c r="AJ830" s="37" t="n">
        <x:v>93.5</x:v>
      </x:c>
      <x:c r="AK830" s="35" t="str">
        <x:v>No</x:v>
      </x:c>
      <x:c r="AL830" s="38" t="n">
        <x:f>IF(AA830=0,0,AB830/AA830)</x:f>
        <x:v>0.8888888888888888</x:v>
      </x:c>
      <x:c r="AM830" s="38" t="n">
        <x:f>IF(AB830=0,0,AC830/AB830)</x:f>
        <x:v>1</x:v>
      </x:c>
      <x:c r="AN830" s="37" t="n">
        <x:f>ROUND((AD830*0.20+AE830*0.20+AF830*0.25+AG830*0.15+MIN(100,AC830*12)*0.20),1)</x:f>
        <x:v>92.2</x:v>
      </x:c>
      <x:c r="AO830" s="37" t="n">
        <x:f>ROUND(MAX(0,MIN(100,(X830*0.35)+(W830/45*100*0.20)+((5-O830)/4*100*0.15)+((5-P830)/4*100*0.10)+((6-Y830)/5*100*0.10)+((100-Z830)*0.10))),1)</x:f>
        <x:v>38.3</x:v>
      </x:c>
      <x:c r="AP830" s="37" t="str">
        <x:f>IF(AO830&gt;=70,"High",IF(AO830&gt;=40,"Moderate","Low"))</x:f>
        <x:v>Low</x:v>
      </x:c>
      <x:c r="AQ830" s="37" t="n">
        <x:f>ROUND(MAX(0,MIN(100,(O830/4*100*0.25)+(P830/4*100*0.20)+(Q830/4*100*0.15)+(Y830/5*100*0.20)+(100-AO830)*0.20)),1)</x:f>
        <x:v>72.3</x:v>
      </x:c>
      <x:c r="AR830" s="37" t="n">
        <x:f>ROUND((AI830*0.20+AJ830*0.15+AN830*0.18+AG830*0.12+Z830*0.15+AQ830*0.20),1)</x:f>
        <x:v>91</x:v>
      </x:c>
      <x:c r="AS830" s="39" t="n">
        <x:f>ROUND((AC830*AF830*120)+(AH830*350)+(MAX(0,AI830-75)*220)+(MAX(0,AQ830-60)*100),0)</x:f>
        <x:v>105530</x:v>
      </x:c>
    </x:row>
    <x:row r="831">
      <x:c r="A831" s="35" t="n">
        <x:v>830</x:v>
      </x:c>
      <x:c r="B831" s="35" t="n">
        <x:v>31</x:v>
      </x:c>
      <x:c r="C831" s="35" t="str">
        <x:v>Male</x:v>
      </x:c>
      <x:c r="D831" s="35" t="str">
        <x:v>Sales</x:v>
      </x:c>
      <x:c r="E831" s="35" t="str">
        <x:v>Sales Executive</x:v>
      </x:c>
      <x:c r="F831" s="35" t="str">
        <x:v>Human Resources</x:v>
      </x:c>
      <x:c r="G831" s="35" t="str">
        <x:v>Married</x:v>
      </x:c>
      <x:c r="H831" s="35" t="n">
        <x:v>1</x:v>
      </x:c>
      <x:c r="I831" s="36" t="n">
        <x:v>5460</x:v>
      </x:c>
      <x:c r="J831" s="35" t="n">
        <x:v>6</x:v>
      </x:c>
      <x:c r="K831" s="35" t="n">
        <x:v>2</x:v>
      </x:c>
      <x:c r="L831" s="35" t="n">
        <x:v>2</x:v>
      </x:c>
      <x:c r="M831" s="35" t="n">
        <x:v>9</x:v>
      </x:c>
      <x:c r="N831" s="35" t="str">
        <x:v>No</x:v>
      </x:c>
      <x:c r="O831" s="35" t="n">
        <x:v>4</x:v>
      </x:c>
      <x:c r="P831" s="35" t="n">
        <x:v>2</x:v>
      </x:c>
      <x:c r="Q831" s="35" t="n">
        <x:v>4</x:v>
      </x:c>
      <x:c r="R831" s="35" t="n">
        <x:v>3</x:v>
      </x:c>
      <x:c r="S831" s="35" t="n">
        <x:v>3</x:v>
      </x:c>
      <x:c r="T831" s="35" t="n">
        <x:v>4</x:v>
      </x:c>
      <x:c r="U831" s="35" t="n">
        <x:v>1</x:v>
      </x:c>
      <x:c r="V831" s="35" t="n">
        <x:v>8</x:v>
      </x:c>
      <x:c r="W831" s="35" t="n">
        <x:v>0</x:v>
      </x:c>
      <x:c r="X831" s="35" t="n">
        <x:v>65</x:v>
      </x:c>
      <x:c r="Y831" s="35" t="n">
        <x:v>5</x:v>
      </x:c>
      <x:c r="Z831" s="35" t="n">
        <x:v>97</x:v>
      </x:c>
      <x:c r="AA831" s="35" t="n">
        <x:v>13</x:v>
      </x:c>
      <x:c r="AB831" s="35" t="n">
        <x:v>12</x:v>
      </x:c>
      <x:c r="AC831" s="35" t="n">
        <x:v>8</x:v>
      </x:c>
      <x:c r="AD831" s="35" t="n">
        <x:v>87</x:v>
      </x:c>
      <x:c r="AE831" s="35" t="n">
        <x:v>90</x:v>
      </x:c>
      <x:c r="AF831" s="35" t="n">
        <x:v>100</x:v>
      </x:c>
      <x:c r="AG831" s="35" t="n">
        <x:v>100</x:v>
      </x:c>
      <x:c r="AH831" s="35" t="n">
        <x:v>9</x:v>
      </x:c>
      <x:c r="AI831" s="37" t="n">
        <x:v>85.5</x:v>
      </x:c>
      <x:c r="AJ831" s="37" t="n">
        <x:v>86.8</x:v>
      </x:c>
      <x:c r="AK831" s="35" t="str">
        <x:v>No</x:v>
      </x:c>
      <x:c r="AL831" s="38" t="n">
        <x:f>IF(AA831=0,0,AB831/AA831)</x:f>
        <x:v>0.9230769230769231</x:v>
      </x:c>
      <x:c r="AM831" s="38" t="n">
        <x:f>IF(AB831=0,0,AC831/AB831)</x:f>
        <x:v>0.6666666666666666</x:v>
      </x:c>
      <x:c r="AN831" s="37" t="n">
        <x:f>ROUND((AD831*0.20+AE831*0.20+AF831*0.25+AG831*0.15+MIN(100,AC831*12)*0.20),1)</x:f>
        <x:v>94.6</x:v>
      </x:c>
      <x:c r="AO831" s="37" t="n">
        <x:f>ROUND(MAX(0,MIN(100,(X831*0.35)+(W831/45*100*0.20)+((5-O831)/4*100*0.15)+((5-P831)/4*100*0.10)+((6-Y831)/5*100*0.10)+((100-Z831)*0.10))),1)</x:f>
        <x:v>36.3</x:v>
      </x:c>
      <x:c r="AP831" s="37" t="str">
        <x:f>IF(AO831&gt;=70,"High",IF(AO831&gt;=40,"Moderate","Low"))</x:f>
        <x:v>Low</x:v>
      </x:c>
      <x:c r="AQ831" s="37" t="n">
        <x:f>ROUND(MAX(0,MIN(100,(O831/4*100*0.25)+(P831/4*100*0.20)+(Q831/4*100*0.15)+(Y831/5*100*0.20)+(100-AO831)*0.20)),1)</x:f>
        <x:v>82.7</x:v>
      </x:c>
      <x:c r="AR831" s="37" t="n">
        <x:f>ROUND((AI831*0.20+AJ831*0.15+AN831*0.18+AG831*0.12+Z831*0.15+AQ831*0.20),1)</x:f>
        <x:v>90.2</x:v>
      </x:c>
      <x:c r="AS831" s="39" t="n">
        <x:f>ROUND((AC831*AF831*120)+(AH831*350)+(MAX(0,AI831-75)*220)+(MAX(0,AQ831-60)*100),0)</x:f>
        <x:v>103730</x:v>
      </x:c>
    </x:row>
    <x:row r="832">
      <x:c r="A832" s="35" t="n">
        <x:v>831</x:v>
      </x:c>
      <x:c r="B832" s="35" t="n">
        <x:v>36</x:v>
      </x:c>
      <x:c r="C832" s="35" t="str">
        <x:v>Female</x:v>
      </x:c>
      <x:c r="D832" s="35" t="str">
        <x:v>Sales</x:v>
      </x:c>
      <x:c r="E832" s="35" t="str">
        <x:v>Account Manager</x:v>
      </x:c>
      <x:c r="F832" s="35" t="str">
        <x:v>Life Sciences</x:v>
      </x:c>
      <x:c r="G832" s="35" t="str">
        <x:v>Married</x:v>
      </x:c>
      <x:c r="H832" s="35" t="n">
        <x:v>2</x:v>
      </x:c>
      <x:c r="I832" s="36" t="n">
        <x:v>7410</x:v>
      </x:c>
      <x:c r="J832" s="35" t="n">
        <x:v>8</x:v>
      </x:c>
      <x:c r="K832" s="35" t="n">
        <x:v>5</x:v>
      </x:c>
      <x:c r="L832" s="35" t="n">
        <x:v>2</x:v>
      </x:c>
      <x:c r="M832" s="35" t="n">
        <x:v>7</x:v>
      </x:c>
      <x:c r="N832" s="35" t="str">
        <x:v>No</x:v>
      </x:c>
      <x:c r="O832" s="35" t="n">
        <x:v>2</x:v>
      </x:c>
      <x:c r="P832" s="35" t="n">
        <x:v>4</x:v>
      </x:c>
      <x:c r="Q832" s="35" t="n">
        <x:v>3</x:v>
      </x:c>
      <x:c r="R832" s="35" t="n">
        <x:v>3</x:v>
      </x:c>
      <x:c r="S832" s="35" t="n">
        <x:v>4</x:v>
      </x:c>
      <x:c r="T832" s="35" t="n">
        <x:v>4</x:v>
      </x:c>
      <x:c r="U832" s="35" t="n">
        <x:v>0</x:v>
      </x:c>
      <x:c r="V832" s="35" t="n">
        <x:v>9</x:v>
      </x:c>
      <x:c r="W832" s="35" t="n">
        <x:v>7</x:v>
      </x:c>
      <x:c r="X832" s="35" t="n">
        <x:v>55</x:v>
      </x:c>
      <x:c r="Y832" s="35" t="n">
        <x:v>5</x:v>
      </x:c>
      <x:c r="Z832" s="35" t="n">
        <x:v>100</x:v>
      </x:c>
      <x:c r="AA832" s="35" t="n">
        <x:v>9</x:v>
      </x:c>
      <x:c r="AB832" s="35" t="n">
        <x:v>7</x:v>
      </x:c>
      <x:c r="AC832" s="35" t="n">
        <x:v>4</x:v>
      </x:c>
      <x:c r="AD832" s="35" t="n">
        <x:v>72</x:v>
      </x:c>
      <x:c r="AE832" s="35" t="n">
        <x:v>76</x:v>
      </x:c>
      <x:c r="AF832" s="35" t="n">
        <x:v>71</x:v>
      </x:c>
      <x:c r="AG832" s="35" t="n">
        <x:v>95</x:v>
      </x:c>
      <x:c r="AH832" s="35" t="n">
        <x:v>12</x:v>
      </x:c>
      <x:c r="AI832" s="37" t="n">
        <x:v>100</x:v>
      </x:c>
      <x:c r="AJ832" s="37" t="n">
        <x:v>100</x:v>
      </x:c>
      <x:c r="AK832" s="35" t="str">
        <x:v>No</x:v>
      </x:c>
      <x:c r="AL832" s="38" t="n">
        <x:f>IF(AA832=0,0,AB832/AA832)</x:f>
        <x:v>0.7777777777777778</x:v>
      </x:c>
      <x:c r="AM832" s="38" t="n">
        <x:f>IF(AB832=0,0,AC832/AB832)</x:f>
        <x:v>0.5714285714285714</x:v>
      </x:c>
      <x:c r="AN832" s="37" t="n">
        <x:f>ROUND((AD832*0.20+AE832*0.20+AF832*0.25+AG832*0.15+MIN(100,AC832*12)*0.20),1)</x:f>
        <x:v>71.2</x:v>
      </x:c>
      <x:c r="AO832" s="37" t="n">
        <x:f>ROUND(MAX(0,MIN(100,(X832*0.35)+(W832/45*100*0.20)+((5-O832)/4*100*0.15)+((5-P832)/4*100*0.10)+((6-Y832)/5*100*0.10)+((100-Z832)*0.10))),1)</x:f>
        <x:v>38.1</x:v>
      </x:c>
      <x:c r="AP832" s="37" t="str">
        <x:f>IF(AO832&gt;=70,"High",IF(AO832&gt;=40,"Moderate","Low"))</x:f>
        <x:v>Low</x:v>
      </x:c>
      <x:c r="AQ832" s="37" t="n">
        <x:f>ROUND(MAX(0,MIN(100,(O832/4*100*0.25)+(P832/4*100*0.20)+(Q832/4*100*0.15)+(Y832/5*100*0.20)+(100-AO832)*0.20)),1)</x:f>
        <x:v>76.1</x:v>
      </x:c>
      <x:c r="AR832" s="37" t="n">
        <x:f>ROUND((AI832*0.20+AJ832*0.15+AN832*0.18+AG832*0.12+Z832*0.15+AQ832*0.20),1)</x:f>
        <x:v>89.4</x:v>
      </x:c>
      <x:c r="AS832" s="39" t="n">
        <x:f>ROUND((AC832*AF832*120)+(AH832*350)+(MAX(0,AI832-75)*220)+(MAX(0,AQ832-60)*100),0)</x:f>
        <x:v>45390</x:v>
      </x:c>
    </x:row>
    <x:row r="833">
      <x:c r="A833" s="35" t="n">
        <x:v>832</x:v>
      </x:c>
      <x:c r="B833" s="35" t="n">
        <x:v>43</x:v>
      </x:c>
      <x:c r="C833" s="35" t="str">
        <x:v>Male</x:v>
      </x:c>
      <x:c r="D833" s="35" t="str">
        <x:v>Research &amp; Development</x:v>
      </x:c>
      <x:c r="E833" s="35" t="str">
        <x:v>Data Scientist</x:v>
      </x:c>
      <x:c r="F833" s="35" t="str">
        <x:v>Business</x:v>
      </x:c>
      <x:c r="G833" s="35" t="str">
        <x:v>Married</x:v>
      </x:c>
      <x:c r="H833" s="35" t="n">
        <x:v>3</x:v>
      </x:c>
      <x:c r="I833" s="36" t="n">
        <x:v>12390</x:v>
      </x:c>
      <x:c r="J833" s="35" t="n">
        <x:v>13</x:v>
      </x:c>
      <x:c r="K833" s="35" t="n">
        <x:v>8</x:v>
      </x:c>
      <x:c r="L833" s="35" t="n">
        <x:v>6</x:v>
      </x:c>
      <x:c r="M833" s="35" t="n">
        <x:v>1</x:v>
      </x:c>
      <x:c r="N833" s="35" t="str">
        <x:v>Yes</x:v>
      </x:c>
      <x:c r="O833" s="35" t="n">
        <x:v>2</x:v>
      </x:c>
      <x:c r="P833" s="35" t="n">
        <x:v>3</x:v>
      </x:c>
      <x:c r="Q833" s="35" t="n">
        <x:v>2</x:v>
      </x:c>
      <x:c r="R833" s="35" t="n">
        <x:v>3</x:v>
      </x:c>
      <x:c r="S833" s="35" t="n">
        <x:v>3</x:v>
      </x:c>
      <x:c r="T833" s="35" t="n">
        <x:v>4</x:v>
      </x:c>
      <x:c r="U833" s="35" t="n">
        <x:v>0</x:v>
      </x:c>
      <x:c r="V833" s="35" t="n">
        <x:v>6</x:v>
      </x:c>
      <x:c r="W833" s="35" t="n">
        <x:v>18</x:v>
      </x:c>
      <x:c r="X833" s="35" t="n">
        <x:v>95</x:v>
      </x:c>
      <x:c r="Y833" s="35" t="n">
        <x:v>3</x:v>
      </x:c>
      <x:c r="Z833" s="35" t="n">
        <x:v>100</x:v>
      </x:c>
      <x:c r="AA833" s="35" t="n">
        <x:v>2</x:v>
      </x:c>
      <x:c r="AB833" s="35" t="n">
        <x:v>0</x:v>
      </x:c>
      <x:c r="AC833" s="35" t="n">
        <x:v>0</x:v>
      </x:c>
      <x:c r="AD833" s="35" t="n">
        <x:v>70</x:v>
      </x:c>
      <x:c r="AE833" s="35" t="n">
        <x:v>93</x:v>
      </x:c>
      <x:c r="AF833" s="35" t="n">
        <x:v>100</x:v>
      </x:c>
      <x:c r="AG833" s="35" t="n">
        <x:v>68</x:v>
      </x:c>
      <x:c r="AH833" s="35" t="n">
        <x:v>5</x:v>
      </x:c>
      <x:c r="AI833" s="37" t="n">
        <x:v>100</x:v>
      </x:c>
      <x:c r="AJ833" s="37" t="n">
        <x:v>79.5</x:v>
      </x:c>
      <x:c r="AK833" s="35" t="str">
        <x:v>No</x:v>
      </x:c>
      <x:c r="AL833" s="38" t="n">
        <x:f>IF(AA833=0,0,AB833/AA833)</x:f>
        <x:v>0</x:v>
      </x:c>
      <x:c r="AM833" s="38" t="n">
        <x:f>IF(AB833=0,0,AC833/AB833)</x:f>
        <x:v>0</x:v>
      </x:c>
      <x:c r="AN833" s="37" t="n">
        <x:f>ROUND((AD833*0.20+AE833*0.20+AF833*0.25+AG833*0.15+MIN(100,AC833*12)*0.20),1)</x:f>
        <x:v>67.8</x:v>
      </x:c>
      <x:c r="AO833" s="37" t="n">
        <x:f>ROUND(MAX(0,MIN(100,(X833*0.35)+(W833/45*100*0.20)+((5-O833)/4*100*0.15)+((5-P833)/4*100*0.10)+((6-Y833)/5*100*0.10)+((100-Z833)*0.10))),1)</x:f>
        <x:v>63.5</x:v>
      </x:c>
      <x:c r="AP833" s="37" t="str">
        <x:f>IF(AO833&gt;=70,"High",IF(AO833&gt;=40,"Moderate","Low"))</x:f>
        <x:v>Moderate</x:v>
      </x:c>
      <x:c r="AQ833" s="37" t="n">
        <x:f>ROUND(MAX(0,MIN(100,(O833/4*100*0.25)+(P833/4*100*0.20)+(Q833/4*100*0.15)+(Y833/5*100*0.20)+(100-AO833)*0.20)),1)</x:f>
        <x:v>54.3</x:v>
      </x:c>
      <x:c r="AR833" s="37" t="n">
        <x:f>ROUND((AI833*0.20+AJ833*0.15+AN833*0.18+AG833*0.12+Z833*0.15+AQ833*0.20),1)</x:f>
        <x:v>78.1</x:v>
      </x:c>
      <x:c r="AS833" s="39" t="n">
        <x:f>ROUND((AC833*AF833*120)+(AH833*350)+(MAX(0,AI833-75)*220)+(MAX(0,AQ833-60)*100),0)</x:f>
        <x:v>7250</x:v>
      </x:c>
    </x:row>
    <x:row r="834">
      <x:c r="A834" s="35" t="n">
        <x:v>833</x:v>
      </x:c>
      <x:c r="B834" s="35" t="n">
        <x:v>32</x:v>
      </x:c>
      <x:c r="C834" s="35" t="str">
        <x:v>Male</x:v>
      </x:c>
      <x:c r="D834" s="35" t="str">
        <x:v>Information Technology</x:v>
      </x:c>
      <x:c r="E834" s="35" t="str">
        <x:v>Software Engineer</x:v>
      </x:c>
      <x:c r="F834" s="35" t="str">
        <x:v>Computer Science</x:v>
      </x:c>
      <x:c r="G834" s="35" t="str">
        <x:v>Married</x:v>
      </x:c>
      <x:c r="H834" s="35" t="n">
        <x:v>2</x:v>
      </x:c>
      <x:c r="I834" s="36" t="n">
        <x:v>8670</x:v>
      </x:c>
      <x:c r="J834" s="35" t="n">
        <x:v>6</x:v>
      </x:c>
      <x:c r="K834" s="35" t="n">
        <x:v>3</x:v>
      </x:c>
      <x:c r="L834" s="35" t="n">
        <x:v>1</x:v>
      </x:c>
      <x:c r="M834" s="35" t="n">
        <x:v>8</x:v>
      </x:c>
      <x:c r="N834" s="35" t="str">
        <x:v>Yes</x:v>
      </x:c>
      <x:c r="O834" s="35" t="n">
        <x:v>4</x:v>
      </x:c>
      <x:c r="P834" s="35" t="n">
        <x:v>2</x:v>
      </x:c>
      <x:c r="Q834" s="35" t="n">
        <x:v>2</x:v>
      </x:c>
      <x:c r="R834" s="35" t="n">
        <x:v>3</x:v>
      </x:c>
      <x:c r="S834" s="35" t="n">
        <x:v>3</x:v>
      </x:c>
      <x:c r="T834" s="35" t="n">
        <x:v>1</x:v>
      </x:c>
      <x:c r="U834" s="35" t="n">
        <x:v>0</x:v>
      </x:c>
      <x:c r="V834" s="35" t="n">
        <x:v>13</x:v>
      </x:c>
      <x:c r="W834" s="35" t="n">
        <x:v>15</x:v>
      </x:c>
      <x:c r="X834" s="35" t="n">
        <x:v>70</x:v>
      </x:c>
      <x:c r="Y834" s="35" t="n">
        <x:v>4</x:v>
      </x:c>
      <x:c r="Z834" s="35" t="n">
        <x:v>94</x:v>
      </x:c>
      <x:c r="AA834" s="35" t="n">
        <x:v>10</x:v>
      </x:c>
      <x:c r="AB834" s="35" t="n">
        <x:v>6</x:v>
      </x:c>
      <x:c r="AC834" s="35" t="n">
        <x:v>4</x:v>
      </x:c>
      <x:c r="AD834" s="35" t="n">
        <x:v>78</x:v>
      </x:c>
      <x:c r="AE834" s="35" t="n">
        <x:v>73</x:v>
      </x:c>
      <x:c r="AF834" s="35" t="n">
        <x:v>66</x:v>
      </x:c>
      <x:c r="AG834" s="35" t="n">
        <x:v>88</x:v>
      </x:c>
      <x:c r="AH834" s="35" t="n">
        <x:v>6</x:v>
      </x:c>
      <x:c r="AI834" s="37" t="n">
        <x:v>93.9</x:v>
      </x:c>
      <x:c r="AJ834" s="37" t="n">
        <x:v>95.8</x:v>
      </x:c>
      <x:c r="AK834" s="35" t="str">
        <x:v>No</x:v>
      </x:c>
      <x:c r="AL834" s="38" t="n">
        <x:f>IF(AA834=0,0,AB834/AA834)</x:f>
        <x:v>0.6</x:v>
      </x:c>
      <x:c r="AM834" s="38" t="n">
        <x:f>IF(AB834=0,0,AC834/AB834)</x:f>
        <x:v>0.6666666666666666</x:v>
      </x:c>
      <x:c r="AN834" s="37" t="n">
        <x:f>ROUND((AD834*0.20+AE834*0.20+AF834*0.25+AG834*0.15+MIN(100,AC834*12)*0.20),1)</x:f>
        <x:v>69.5</x:v>
      </x:c>
      <x:c r="AO834" s="37" t="n">
        <x:f>ROUND(MAX(0,MIN(100,(X834*0.35)+(W834/45*100*0.20)+((5-O834)/4*100*0.15)+((5-P834)/4*100*0.10)+((6-Y834)/5*100*0.10)+((100-Z834)*0.10))),1)</x:f>
        <x:v>47</x:v>
      </x:c>
      <x:c r="AP834" s="37" t="str">
        <x:f>IF(AO834&gt;=70,"High",IF(AO834&gt;=40,"Moderate","Low"))</x:f>
        <x:v>Moderate</x:v>
      </x:c>
      <x:c r="AQ834" s="37" t="n">
        <x:f>ROUND(MAX(0,MIN(100,(O834/4*100*0.25)+(P834/4*100*0.20)+(Q834/4*100*0.15)+(Y834/5*100*0.20)+(100-AO834)*0.20)),1)</x:f>
        <x:v>69.1</x:v>
      </x:c>
      <x:c r="AR834" s="37" t="n">
        <x:f>ROUND((AI834*0.20+AJ834*0.15+AN834*0.18+AG834*0.12+Z834*0.15+AQ834*0.20),1)</x:f>
        <x:v>84.1</x:v>
      </x:c>
      <x:c r="AS834" s="39" t="n">
        <x:f>ROUND((AC834*AF834*120)+(AH834*350)+(MAX(0,AI834-75)*220)+(MAX(0,AQ834-60)*100),0)</x:f>
        <x:v>38848</x:v>
      </x:c>
    </x:row>
    <x:row r="835">
      <x:c r="A835" s="35" t="n">
        <x:v>834</x:v>
      </x:c>
      <x:c r="B835" s="35" t="n">
        <x:v>46</x:v>
      </x:c>
      <x:c r="C835" s="35" t="str">
        <x:v>Male</x:v>
      </x:c>
      <x:c r="D835" s="35" t="str">
        <x:v>Information Technology</x:v>
      </x:c>
      <x:c r="E835" s="35" t="str">
        <x:v>IT Support</x:v>
      </x:c>
      <x:c r="F835" s="35" t="str">
        <x:v>Business</x:v>
      </x:c>
      <x:c r="G835" s="35" t="str">
        <x:v>Single</x:v>
      </x:c>
      <x:c r="H835" s="35" t="n">
        <x:v>3</x:v>
      </x:c>
      <x:c r="I835" s="36" t="n">
        <x:v>11120</x:v>
      </x:c>
      <x:c r="J835" s="35" t="n">
        <x:v>15</x:v>
      </x:c>
      <x:c r="K835" s="35" t="n">
        <x:v>8</x:v>
      </x:c>
      <x:c r="L835" s="35" t="n">
        <x:v>5</x:v>
      </x:c>
      <x:c r="M835" s="35" t="n">
        <x:v>5</x:v>
      </x:c>
      <x:c r="N835" s="35" t="str">
        <x:v>No</x:v>
      </x:c>
      <x:c r="O835" s="35" t="n">
        <x:v>2</x:v>
      </x:c>
      <x:c r="P835" s="35" t="n">
        <x:v>2</x:v>
      </x:c>
      <x:c r="Q835" s="35" t="n">
        <x:v>3</x:v>
      </x:c>
      <x:c r="R835" s="35" t="n">
        <x:v>3</x:v>
      </x:c>
      <x:c r="S835" s="35" t="n">
        <x:v>3</x:v>
      </x:c>
      <x:c r="T835" s="35" t="n">
        <x:v>3</x:v>
      </x:c>
      <x:c r="U835" s="35" t="n">
        <x:v>0</x:v>
      </x:c>
      <x:c r="V835" s="35" t="n">
        <x:v>1</x:v>
      </x:c>
      <x:c r="W835" s="35" t="n">
        <x:v>0</x:v>
      </x:c>
      <x:c r="X835" s="35" t="n">
        <x:v>75</x:v>
      </x:c>
      <x:c r="Y835" s="35" t="n">
        <x:v>4</x:v>
      </x:c>
      <x:c r="Z835" s="35" t="n">
        <x:v>96</x:v>
      </x:c>
      <x:c r="AA835" s="35" t="n">
        <x:v>3</x:v>
      </x:c>
      <x:c r="AB835" s="35" t="n">
        <x:v>1</x:v>
      </x:c>
      <x:c r="AC835" s="35" t="n">
        <x:v>1</x:v>
      </x:c>
      <x:c r="AD835" s="35" t="n">
        <x:v>74</x:v>
      </x:c>
      <x:c r="AE835" s="35" t="n">
        <x:v>68</x:v>
      </x:c>
      <x:c r="AF835" s="35" t="n">
        <x:v>56</x:v>
      </x:c>
      <x:c r="AG835" s="35" t="n">
        <x:v>91</x:v>
      </x:c>
      <x:c r="AH835" s="35" t="n">
        <x:v>6</x:v>
      </x:c>
      <x:c r="AI835" s="37" t="n">
        <x:v>89</x:v>
      </x:c>
      <x:c r="AJ835" s="37" t="n">
        <x:v>95.4</x:v>
      </x:c>
      <x:c r="AK835" s="35" t="str">
        <x:v>No</x:v>
      </x:c>
      <x:c r="AL835" s="38" t="n">
        <x:f>IF(AA835=0,0,AB835/AA835)</x:f>
        <x:v>0.3333333333333333</x:v>
      </x:c>
      <x:c r="AM835" s="38" t="n">
        <x:f>IF(AB835=0,0,AC835/AB835)</x:f>
        <x:v>1</x:v>
      </x:c>
      <x:c r="AN835" s="37" t="n">
        <x:f>ROUND((AD835*0.20+AE835*0.20+AF835*0.25+AG835*0.15+MIN(100,AC835*12)*0.20),1)</x:f>
        <x:v>58.5</x:v>
      </x:c>
      <x:c r="AO835" s="37" t="n">
        <x:f>ROUND(MAX(0,MIN(100,(X835*0.35)+(W835/45*100*0.20)+((5-O835)/4*100*0.15)+((5-P835)/4*100*0.10)+((6-Y835)/5*100*0.10)+((100-Z835)*0.10))),1)</x:f>
        <x:v>49.4</x:v>
      </x:c>
      <x:c r="AP835" s="37" t="str">
        <x:f>IF(AO835&gt;=70,"High",IF(AO835&gt;=40,"Moderate","Low"))</x:f>
        <x:v>Moderate</x:v>
      </x:c>
      <x:c r="AQ835" s="37" t="n">
        <x:f>ROUND(MAX(0,MIN(100,(O835/4*100*0.25)+(P835/4*100*0.20)+(Q835/4*100*0.15)+(Y835/5*100*0.20)+(100-AO835)*0.20)),1)</x:f>
        <x:v>59.9</x:v>
      </x:c>
      <x:c r="AR835" s="37" t="n">
        <x:f>ROUND((AI835*0.20+AJ835*0.15+AN835*0.18+AG835*0.12+Z835*0.15+AQ835*0.20),1)</x:f>
        <x:v>79.9</x:v>
      </x:c>
      <x:c r="AS835" s="39" t="n">
        <x:f>ROUND((AC835*AF835*120)+(AH835*350)+(MAX(0,AI835-75)*220)+(MAX(0,AQ835-60)*100),0)</x:f>
        <x:v>11900</x:v>
      </x:c>
    </x:row>
    <x:row r="836">
      <x:c r="A836" s="35" t="n">
        <x:v>835</x:v>
      </x:c>
      <x:c r="B836" s="35" t="n">
        <x:v>43</x:v>
      </x:c>
      <x:c r="C836" s="35" t="str">
        <x:v>Male</x:v>
      </x:c>
      <x:c r="D836" s="35" t="str">
        <x:v>Operations</x:v>
      </x:c>
      <x:c r="E836" s="35" t="str">
        <x:v>Operations Specialist</x:v>
      </x:c>
      <x:c r="F836" s="35" t="str">
        <x:v>Marketing</x:v>
      </x:c>
      <x:c r="G836" s="35" t="str">
        <x:v>Married</x:v>
      </x:c>
      <x:c r="H836" s="35" t="n">
        <x:v>3</x:v>
      </x:c>
      <x:c r="I836" s="36" t="n">
        <x:v>13880</x:v>
      </x:c>
      <x:c r="J836" s="35" t="n">
        <x:v>19</x:v>
      </x:c>
      <x:c r="K836" s="35" t="n">
        <x:v>13</x:v>
      </x:c>
      <x:c r="L836" s="35" t="n">
        <x:v>5</x:v>
      </x:c>
      <x:c r="M836" s="35" t="n">
        <x:v>18</x:v>
      </x:c>
      <x:c r="N836" s="35" t="str">
        <x:v>No</x:v>
      </x:c>
      <x:c r="O836" s="35" t="n">
        <x:v>3</x:v>
      </x:c>
      <x:c r="P836" s="35" t="n">
        <x:v>3</x:v>
      </x:c>
      <x:c r="Q836" s="35" t="n">
        <x:v>3</x:v>
      </x:c>
      <x:c r="R836" s="35" t="n">
        <x:v>2</x:v>
      </x:c>
      <x:c r="S836" s="35" t="n">
        <x:v>3</x:v>
      </x:c>
      <x:c r="T836" s="35" t="n">
        <x:v>2</x:v>
      </x:c>
      <x:c r="U836" s="35" t="n">
        <x:v>1</x:v>
      </x:c>
      <x:c r="V836" s="35" t="n">
        <x:v>1</x:v>
      </x:c>
      <x:c r="W836" s="35" t="n">
        <x:v>11</x:v>
      </x:c>
      <x:c r="X836" s="35" t="n">
        <x:v>57</x:v>
      </x:c>
      <x:c r="Y836" s="35" t="n">
        <x:v>4</x:v>
      </x:c>
      <x:c r="Z836" s="35" t="n">
        <x:v>90</x:v>
      </x:c>
      <x:c r="AA836" s="35" t="n">
        <x:v>9</x:v>
      </x:c>
      <x:c r="AB836" s="35" t="n">
        <x:v>6</x:v>
      </x:c>
      <x:c r="AC836" s="35" t="n">
        <x:v>5</x:v>
      </x:c>
      <x:c r="AD836" s="35" t="n">
        <x:v>71</x:v>
      </x:c>
      <x:c r="AE836" s="35" t="n">
        <x:v>76</x:v>
      </x:c>
      <x:c r="AF836" s="35" t="n">
        <x:v>96</x:v>
      </x:c>
      <x:c r="AG836" s="35" t="n">
        <x:v>79</x:v>
      </x:c>
      <x:c r="AH836" s="35" t="n">
        <x:v>8</x:v>
      </x:c>
      <x:c r="AI836" s="37" t="n">
        <x:v>84.8</x:v>
      </x:c>
      <x:c r="AJ836" s="37" t="n">
        <x:v>90.9</x:v>
      </x:c>
      <x:c r="AK836" s="35" t="str">
        <x:v>No</x:v>
      </x:c>
      <x:c r="AL836" s="38" t="n">
        <x:f>IF(AA836=0,0,AB836/AA836)</x:f>
        <x:v>0.6666666666666666</x:v>
      </x:c>
      <x:c r="AM836" s="38" t="n">
        <x:f>IF(AB836=0,0,AC836/AB836)</x:f>
        <x:v>0.8333333333333334</x:v>
      </x:c>
      <x:c r="AN836" s="37" t="n">
        <x:f>ROUND((AD836*0.20+AE836*0.20+AF836*0.25+AG836*0.15+MIN(100,AC836*12)*0.20),1)</x:f>
        <x:v>77.3</x:v>
      </x:c>
      <x:c r="AO836" s="37" t="n">
        <x:f>ROUND(MAX(0,MIN(100,(X836*0.35)+(W836/45*100*0.20)+((5-O836)/4*100*0.15)+((5-P836)/4*100*0.10)+((6-Y836)/5*100*0.10)+((100-Z836)*0.10))),1)</x:f>
        <x:v>42.3</x:v>
      </x:c>
      <x:c r="AP836" s="37" t="str">
        <x:f>IF(AO836&gt;=70,"High",IF(AO836&gt;=40,"Moderate","Low"))</x:f>
        <x:v>Moderate</x:v>
      </x:c>
      <x:c r="AQ836" s="37" t="n">
        <x:f>ROUND(MAX(0,MIN(100,(O836/4*100*0.25)+(P836/4*100*0.20)+(Q836/4*100*0.15)+(Y836/5*100*0.20)+(100-AO836)*0.20)),1)</x:f>
        <x:v>72.5</x:v>
      </x:c>
      <x:c r="AR836" s="37" t="n">
        <x:f>ROUND((AI836*0.20+AJ836*0.15+AN836*0.18+AG836*0.12+Z836*0.15+AQ836*0.20),1)</x:f>
        <x:v>82</x:v>
      </x:c>
      <x:c r="AS836" s="39" t="n">
        <x:f>ROUND((AC836*AF836*120)+(AH836*350)+(MAX(0,AI836-75)*220)+(MAX(0,AQ836-60)*100),0)</x:f>
        <x:v>63806</x:v>
      </x:c>
    </x:row>
    <x:row r="837">
      <x:c r="A837" s="35" t="n">
        <x:v>836</x:v>
      </x:c>
      <x:c r="B837" s="35" t="n">
        <x:v>43</x:v>
      </x:c>
      <x:c r="C837" s="35" t="str">
        <x:v>Male</x:v>
      </x:c>
      <x:c r="D837" s="35" t="str">
        <x:v>Finance</x:v>
      </x:c>
      <x:c r="E837" s="35" t="str">
        <x:v>Finance Manager</x:v>
      </x:c>
      <x:c r="F837" s="35" t="str">
        <x:v>Life Sciences</x:v>
      </x:c>
      <x:c r="G837" s="35" t="str">
        <x:v>Divorced</x:v>
      </x:c>
      <x:c r="H837" s="35" t="n">
        <x:v>3</x:v>
      </x:c>
      <x:c r="I837" s="36" t="n">
        <x:v>15360</x:v>
      </x:c>
      <x:c r="J837" s="35" t="n">
        <x:v>20</x:v>
      </x:c>
      <x:c r="K837" s="35" t="n">
        <x:v>14</x:v>
      </x:c>
      <x:c r="L837" s="35" t="n">
        <x:v>9</x:v>
      </x:c>
      <x:c r="M837" s="35" t="n">
        <x:v>4</x:v>
      </x:c>
      <x:c r="N837" s="35" t="str">
        <x:v>No</x:v>
      </x:c>
      <x:c r="O837" s="35" t="n">
        <x:v>2</x:v>
      </x:c>
      <x:c r="P837" s="35" t="n">
        <x:v>4</x:v>
      </x:c>
      <x:c r="Q837" s="35" t="n">
        <x:v>3</x:v>
      </x:c>
      <x:c r="R837" s="35" t="n">
        <x:v>4</x:v>
      </x:c>
      <x:c r="S837" s="35" t="n">
        <x:v>4</x:v>
      </x:c>
      <x:c r="T837" s="35" t="n">
        <x:v>5</x:v>
      </x:c>
      <x:c r="U837" s="35" t="n">
        <x:v>0</x:v>
      </x:c>
      <x:c r="V837" s="35" t="n">
        <x:v>3</x:v>
      </x:c>
      <x:c r="W837" s="35" t="n">
        <x:v>0</x:v>
      </x:c>
      <x:c r="X837" s="35" t="n">
        <x:v>64</x:v>
      </x:c>
      <x:c r="Y837" s="35" t="n">
        <x:v>5</x:v>
      </x:c>
      <x:c r="Z837" s="35" t="n">
        <x:v>100</x:v>
      </x:c>
      <x:c r="AA837" s="35" t="n">
        <x:v>1</x:v>
      </x:c>
      <x:c r="AB837" s="35" t="n">
        <x:v>0</x:v>
      </x:c>
      <x:c r="AC837" s="35" t="n">
        <x:v>0</x:v>
      </x:c>
      <x:c r="AD837" s="35" t="n">
        <x:v>69</x:v>
      </x:c>
      <x:c r="AE837" s="35" t="n">
        <x:v>94</x:v>
      </x:c>
      <x:c r="AF837" s="35" t="n">
        <x:v>52</x:v>
      </x:c>
      <x:c r="AG837" s="35" t="n">
        <x:v>98</x:v>
      </x:c>
      <x:c r="AH837" s="35" t="n">
        <x:v>7</x:v>
      </x:c>
      <x:c r="AI837" s="37" t="n">
        <x:v>100</x:v>
      </x:c>
      <x:c r="AJ837" s="37" t="n">
        <x:v>100</x:v>
      </x:c>
      <x:c r="AK837" s="35" t="str">
        <x:v>No</x:v>
      </x:c>
      <x:c r="AL837" s="38" t="n">
        <x:f>IF(AA837=0,0,AB837/AA837)</x:f>
        <x:v>0</x:v>
      </x:c>
      <x:c r="AM837" s="38" t="n">
        <x:f>IF(AB837=0,0,AC837/AB837)</x:f>
        <x:v>0</x:v>
      </x:c>
      <x:c r="AN837" s="37" t="n">
        <x:f>ROUND((AD837*0.20+AE837*0.20+AF837*0.25+AG837*0.15+MIN(100,AC837*12)*0.20),1)</x:f>
        <x:v>60.3</x:v>
      </x:c>
      <x:c r="AO837" s="37" t="n">
        <x:f>ROUND(MAX(0,MIN(100,(X837*0.35)+(W837/45*100*0.20)+((5-O837)/4*100*0.15)+((5-P837)/4*100*0.10)+((6-Y837)/5*100*0.10)+((100-Z837)*0.10))),1)</x:f>
        <x:v>38.2</x:v>
      </x:c>
      <x:c r="AP837" s="37" t="str">
        <x:f>IF(AO837&gt;=70,"High",IF(AO837&gt;=40,"Moderate","Low"))</x:f>
        <x:v>Low</x:v>
      </x:c>
      <x:c r="AQ837" s="37" t="n">
        <x:f>ROUND(MAX(0,MIN(100,(O837/4*100*0.25)+(P837/4*100*0.20)+(Q837/4*100*0.15)+(Y837/5*100*0.20)+(100-AO837)*0.20)),1)</x:f>
        <x:v>76.1</x:v>
      </x:c>
      <x:c r="AR837" s="37" t="n">
        <x:f>ROUND((AI837*0.20+AJ837*0.15+AN837*0.18+AG837*0.12+Z837*0.15+AQ837*0.20),1)</x:f>
        <x:v>87.8</x:v>
      </x:c>
      <x:c r="AS837" s="39" t="n">
        <x:f>ROUND((AC837*AF837*120)+(AH837*350)+(MAX(0,AI837-75)*220)+(MAX(0,AQ837-60)*100),0)</x:f>
        <x:v>9560</x:v>
      </x:c>
    </x:row>
    <x:row r="838">
      <x:c r="A838" s="35" t="n">
        <x:v>837</x:v>
      </x:c>
      <x:c r="B838" s="35" t="n">
        <x:v>31</x:v>
      </x:c>
      <x:c r="C838" s="35" t="str">
        <x:v>Male</x:v>
      </x:c>
      <x:c r="D838" s="35" t="str">
        <x:v>Human Resources</x:v>
      </x:c>
      <x:c r="E838" s="35" t="str">
        <x:v>Talent Development Specialist</x:v>
      </x:c>
      <x:c r="F838" s="35" t="str">
        <x:v>Business</x:v>
      </x:c>
      <x:c r="G838" s="35" t="str">
        <x:v>Married</x:v>
      </x:c>
      <x:c r="H838" s="35" t="n">
        <x:v>1</x:v>
      </x:c>
      <x:c r="I838" s="36" t="n">
        <x:v>4000</x:v>
      </x:c>
      <x:c r="J838" s="35" t="n">
        <x:v>5</x:v>
      </x:c>
      <x:c r="K838" s="35" t="n">
        <x:v>3</x:v>
      </x:c>
      <x:c r="L838" s="35" t="n">
        <x:v>1</x:v>
      </x:c>
      <x:c r="M838" s="35" t="n">
        <x:v>19</x:v>
      </x:c>
      <x:c r="N838" s="35" t="str">
        <x:v>No</x:v>
      </x:c>
      <x:c r="O838" s="35" t="n">
        <x:v>3</x:v>
      </x:c>
      <x:c r="P838" s="35" t="n">
        <x:v>2</x:v>
      </x:c>
      <x:c r="Q838" s="35" t="n">
        <x:v>2</x:v>
      </x:c>
      <x:c r="R838" s="35" t="n">
        <x:v>3</x:v>
      </x:c>
      <x:c r="S838" s="35" t="n">
        <x:v>3</x:v>
      </x:c>
      <x:c r="T838" s="35" t="n">
        <x:v>3</x:v>
      </x:c>
      <x:c r="U838" s="35" t="n">
        <x:v>1</x:v>
      </x:c>
      <x:c r="V838" s="35" t="n">
        <x:v>6</x:v>
      </x:c>
      <x:c r="W838" s="35" t="n">
        <x:v>4</x:v>
      </x:c>
      <x:c r="X838" s="35" t="n">
        <x:v>64</x:v>
      </x:c>
      <x:c r="Y838" s="35" t="n">
        <x:v>5</x:v>
      </x:c>
      <x:c r="Z838" s="35" t="n">
        <x:v>100</x:v>
      </x:c>
      <x:c r="AA838" s="35" t="n">
        <x:v>2</x:v>
      </x:c>
      <x:c r="AB838" s="35" t="n">
        <x:v>1</x:v>
      </x:c>
      <x:c r="AC838" s="35" t="n">
        <x:v>1</x:v>
      </x:c>
      <x:c r="AD838" s="35" t="n">
        <x:v>50</x:v>
      </x:c>
      <x:c r="AE838" s="35" t="n">
        <x:v>80</x:v>
      </x:c>
      <x:c r="AF838" s="35" t="n">
        <x:v>74</x:v>
      </x:c>
      <x:c r="AG838" s="35" t="n">
        <x:v>100</x:v>
      </x:c>
      <x:c r="AH838" s="35" t="n">
        <x:v>4</x:v>
      </x:c>
      <x:c r="AI838" s="37" t="n">
        <x:v>93.6</x:v>
      </x:c>
      <x:c r="AJ838" s="37" t="n">
        <x:v>100</x:v>
      </x:c>
      <x:c r="AK838" s="35" t="str">
        <x:v>No</x:v>
      </x:c>
      <x:c r="AL838" s="38" t="n">
        <x:f>IF(AA838=0,0,AB838/AA838)</x:f>
        <x:v>0.5</x:v>
      </x:c>
      <x:c r="AM838" s="38" t="n">
        <x:f>IF(AB838=0,0,AC838/AB838)</x:f>
        <x:v>1</x:v>
      </x:c>
      <x:c r="AN838" s="37" t="n">
        <x:f>ROUND((AD838*0.20+AE838*0.20+AF838*0.25+AG838*0.15+MIN(100,AC838*12)*0.20),1)</x:f>
        <x:v>61.9</x:v>
      </x:c>
      <x:c r="AO838" s="37" t="n">
        <x:f>ROUND(MAX(0,MIN(100,(X838*0.35)+(W838/45*100*0.20)+((5-O838)/4*100*0.15)+((5-P838)/4*100*0.10)+((6-Y838)/5*100*0.10)+((100-Z838)*0.10))),1)</x:f>
        <x:v>41.2</x:v>
      </x:c>
      <x:c r="AP838" s="37" t="str">
        <x:f>IF(AO838&gt;=70,"High",IF(AO838&gt;=40,"Moderate","Low"))</x:f>
        <x:v>Moderate</x:v>
      </x:c>
      <x:c r="AQ838" s="37" t="n">
        <x:f>ROUND(MAX(0,MIN(100,(O838/4*100*0.25)+(P838/4*100*0.20)+(Q838/4*100*0.15)+(Y838/5*100*0.20)+(100-AO838)*0.20)),1)</x:f>
        <x:v>68</x:v>
      </x:c>
      <x:c r="AR838" s="37" t="n">
        <x:f>ROUND((AI838*0.20+AJ838*0.15+AN838*0.18+AG838*0.12+Z838*0.15+AQ838*0.20),1)</x:f>
        <x:v>85.5</x:v>
      </x:c>
      <x:c r="AS838" s="39" t="n">
        <x:f>ROUND((AC838*AF838*120)+(AH838*350)+(MAX(0,AI838-75)*220)+(MAX(0,AQ838-60)*100),0)</x:f>
        <x:v>15172</x:v>
      </x:c>
    </x:row>
    <x:row r="839">
      <x:c r="A839" s="35" t="n">
        <x:v>838</x:v>
      </x:c>
      <x:c r="B839" s="35" t="n">
        <x:v>39</x:v>
      </x:c>
      <x:c r="C839" s="35" t="str">
        <x:v>Male</x:v>
      </x:c>
      <x:c r="D839" s="35" t="str">
        <x:v>Research &amp; Development</x:v>
      </x:c>
      <x:c r="E839" s="35" t="str">
        <x:v>Data Scientist</x:v>
      </x:c>
      <x:c r="F839" s="35" t="str">
        <x:v>Human Resources</x:v>
      </x:c>
      <x:c r="G839" s="35" t="str">
        <x:v>Married</x:v>
      </x:c>
      <x:c r="H839" s="35" t="n">
        <x:v>1</x:v>
      </x:c>
      <x:c r="I839" s="36" t="n">
        <x:v>5630</x:v>
      </x:c>
      <x:c r="J839" s="35" t="n">
        <x:v>10</x:v>
      </x:c>
      <x:c r="K839" s="35" t="n">
        <x:v>5</x:v>
      </x:c>
      <x:c r="L839" s="35" t="n">
        <x:v>3</x:v>
      </x:c>
      <x:c r="M839" s="35" t="n">
        <x:v>8</x:v>
      </x:c>
      <x:c r="N839" s="35" t="str">
        <x:v>No</x:v>
      </x:c>
      <x:c r="O839" s="35" t="n">
        <x:v>4</x:v>
      </x:c>
      <x:c r="P839" s="35" t="n">
        <x:v>2</x:v>
      </x:c>
      <x:c r="Q839" s="35" t="n">
        <x:v>3</x:v>
      </x:c>
      <x:c r="R839" s="35" t="n">
        <x:v>3</x:v>
      </x:c>
      <x:c r="S839" s="35" t="n">
        <x:v>3</x:v>
      </x:c>
      <x:c r="T839" s="35" t="n">
        <x:v>2</x:v>
      </x:c>
      <x:c r="U839" s="35" t="n">
        <x:v>0</x:v>
      </x:c>
      <x:c r="V839" s="35" t="n">
        <x:v>14</x:v>
      </x:c>
      <x:c r="W839" s="35" t="n">
        <x:v>1</x:v>
      </x:c>
      <x:c r="X839" s="35" t="n">
        <x:v>68</x:v>
      </x:c>
      <x:c r="Y839" s="35" t="n">
        <x:v>4</x:v>
      </x:c>
      <x:c r="Z839" s="35" t="n">
        <x:v>100</x:v>
      </x:c>
      <x:c r="AA839" s="35" t="n">
        <x:v>3</x:v>
      </x:c>
      <x:c r="AB839" s="35" t="n">
        <x:v>3</x:v>
      </x:c>
      <x:c r="AC839" s="35" t="n">
        <x:v>1</x:v>
      </x:c>
      <x:c r="AD839" s="35" t="n">
        <x:v>64</x:v>
      </x:c>
      <x:c r="AE839" s="35" t="n">
        <x:v>73</x:v>
      </x:c>
      <x:c r="AF839" s="35" t="n">
        <x:v>85</x:v>
      </x:c>
      <x:c r="AG839" s="35" t="n">
        <x:v>100</x:v>
      </x:c>
      <x:c r="AH839" s="35" t="n">
        <x:v>6</x:v>
      </x:c>
      <x:c r="AI839" s="37" t="n">
        <x:v>95.7</x:v>
      </x:c>
      <x:c r="AJ839" s="37" t="n">
        <x:v>90</x:v>
      </x:c>
      <x:c r="AK839" s="35" t="str">
        <x:v>No</x:v>
      </x:c>
      <x:c r="AL839" s="38" t="n">
        <x:f>IF(AA839=0,0,AB839/AA839)</x:f>
        <x:v>1</x:v>
      </x:c>
      <x:c r="AM839" s="38" t="n">
        <x:f>IF(AB839=0,0,AC839/AB839)</x:f>
        <x:v>0.3333333333333333</x:v>
      </x:c>
      <x:c r="AN839" s="37" t="n">
        <x:f>ROUND((AD839*0.20+AE839*0.20+AF839*0.25+AG839*0.15+MIN(100,AC839*12)*0.20),1)</x:f>
        <x:v>66.1</x:v>
      </x:c>
      <x:c r="AO839" s="37" t="n">
        <x:f>ROUND(MAX(0,MIN(100,(X839*0.35)+(W839/45*100*0.20)+((5-O839)/4*100*0.15)+((5-P839)/4*100*0.10)+((6-Y839)/5*100*0.10)+((100-Z839)*0.10))),1)</x:f>
        <x:v>39.5</x:v>
      </x:c>
      <x:c r="AP839" s="37" t="str">
        <x:f>IF(AO839&gt;=70,"High",IF(AO839&gt;=40,"Moderate","Low"))</x:f>
        <x:v>Low</x:v>
      </x:c>
      <x:c r="AQ839" s="37" t="n">
        <x:f>ROUND(MAX(0,MIN(100,(O839/4*100*0.25)+(P839/4*100*0.20)+(Q839/4*100*0.15)+(Y839/5*100*0.20)+(100-AO839)*0.20)),1)</x:f>
        <x:v>74.4</x:v>
      </x:c>
      <x:c r="AR839" s="37" t="n">
        <x:f>ROUND((AI839*0.20+AJ839*0.15+AN839*0.18+AG839*0.12+Z839*0.15+AQ839*0.20),1)</x:f>
        <x:v>86.4</x:v>
      </x:c>
      <x:c r="AS839" s="39" t="n">
        <x:f>ROUND((AC839*AF839*120)+(AH839*350)+(MAX(0,AI839-75)*220)+(MAX(0,AQ839-60)*100),0)</x:f>
        <x:v>18294</x:v>
      </x:c>
    </x:row>
    <x:row r="840">
      <x:c r="A840" s="35" t="n">
        <x:v>839</x:v>
      </x:c>
      <x:c r="B840" s="35" t="n">
        <x:v>48</x:v>
      </x:c>
      <x:c r="C840" s="35" t="str">
        <x:v>Male</x:v>
      </x:c>
      <x:c r="D840" s="35" t="str">
        <x:v>Finance</x:v>
      </x:c>
      <x:c r="E840" s="35" t="str">
        <x:v>Finance Manager</x:v>
      </x:c>
      <x:c r="F840" s="35" t="str">
        <x:v>Business</x:v>
      </x:c>
      <x:c r="G840" s="35" t="str">
        <x:v>Single</x:v>
      </x:c>
      <x:c r="H840" s="35" t="n">
        <x:v>3</x:v>
      </x:c>
      <x:c r="I840" s="36" t="n">
        <x:v>13930</x:v>
      </x:c>
      <x:c r="J840" s="35" t="n">
        <x:v>13</x:v>
      </x:c>
      <x:c r="K840" s="35" t="n">
        <x:v>5</x:v>
      </x:c>
      <x:c r="L840" s="35" t="n">
        <x:v>3</x:v>
      </x:c>
      <x:c r="M840" s="35" t="n">
        <x:v>10</x:v>
      </x:c>
      <x:c r="N840" s="35" t="str">
        <x:v>No</x:v>
      </x:c>
      <x:c r="O840" s="35" t="n">
        <x:v>3</x:v>
      </x:c>
      <x:c r="P840" s="35" t="n">
        <x:v>2</x:v>
      </x:c>
      <x:c r="Q840" s="35" t="n">
        <x:v>3</x:v>
      </x:c>
      <x:c r="R840" s="35" t="n">
        <x:v>3</x:v>
      </x:c>
      <x:c r="S840" s="35" t="n">
        <x:v>3</x:v>
      </x:c>
      <x:c r="T840" s="35" t="n">
        <x:v>5</x:v>
      </x:c>
      <x:c r="U840" s="35" t="n">
        <x:v>0</x:v>
      </x:c>
      <x:c r="V840" s="35" t="n">
        <x:v>6</x:v>
      </x:c>
      <x:c r="W840" s="35" t="n">
        <x:v>2</x:v>
      </x:c>
      <x:c r="X840" s="35" t="n">
        <x:v>48</x:v>
      </x:c>
      <x:c r="Y840" s="35" t="n">
        <x:v>4</x:v>
      </x:c>
      <x:c r="Z840" s="35" t="n">
        <x:v>87</x:v>
      </x:c>
      <x:c r="AA840" s="35" t="n">
        <x:v>5</x:v>
      </x:c>
      <x:c r="AB840" s="35" t="n">
        <x:v>4</x:v>
      </x:c>
      <x:c r="AC840" s="35" t="n">
        <x:v>3</x:v>
      </x:c>
      <x:c r="AD840" s="35" t="n">
        <x:v>83</x:v>
      </x:c>
      <x:c r="AE840" s="35" t="n">
        <x:v>80</x:v>
      </x:c>
      <x:c r="AF840" s="35" t="n">
        <x:v>79</x:v>
      </x:c>
      <x:c r="AG840" s="35" t="n">
        <x:v>81</x:v>
      </x:c>
      <x:c r="AH840" s="35" t="n">
        <x:v>7</x:v>
      </x:c>
      <x:c r="AI840" s="37" t="n">
        <x:v>94.7</x:v>
      </x:c>
      <x:c r="AJ840" s="37" t="n">
        <x:v>94.1</x:v>
      </x:c>
      <x:c r="AK840" s="35" t="str">
        <x:v>Yes</x:v>
      </x:c>
      <x:c r="AL840" s="38" t="n">
        <x:f>IF(AA840=0,0,AB840/AA840)</x:f>
        <x:v>0.8</x:v>
      </x:c>
      <x:c r="AM840" s="38" t="n">
        <x:f>IF(AB840=0,0,AC840/AB840)</x:f>
        <x:v>0.75</x:v>
      </x:c>
      <x:c r="AN840" s="37" t="n">
        <x:f>ROUND((AD840*0.20+AE840*0.20+AF840*0.25+AG840*0.15+MIN(100,AC840*12)*0.20),1)</x:f>
        <x:v>71.7</x:v>
      </x:c>
      <x:c r="AO840" s="37" t="n">
        <x:f>ROUND(MAX(0,MIN(100,(X840*0.35)+(W840/45*100*0.20)+((5-O840)/4*100*0.15)+((5-P840)/4*100*0.10)+((6-Y840)/5*100*0.10)+((100-Z840)*0.10))),1)</x:f>
        <x:v>38</x:v>
      </x:c>
      <x:c r="AP840" s="37" t="str">
        <x:f>IF(AO840&gt;=70,"High",IF(AO840&gt;=40,"Moderate","Low"))</x:f>
        <x:v>Low</x:v>
      </x:c>
      <x:c r="AQ840" s="37" t="n">
        <x:f>ROUND(MAX(0,MIN(100,(O840/4*100*0.25)+(P840/4*100*0.20)+(Q840/4*100*0.15)+(Y840/5*100*0.20)+(100-AO840)*0.20)),1)</x:f>
        <x:v>68.4</x:v>
      </x:c>
      <x:c r="AR840" s="37" t="n">
        <x:f>ROUND((AI840*0.20+AJ840*0.15+AN840*0.18+AG840*0.12+Z840*0.15+AQ840*0.20),1)</x:f>
        <x:v>82.4</x:v>
      </x:c>
      <x:c r="AS840" s="39" t="n">
        <x:f>ROUND((AC840*AF840*120)+(AH840*350)+(MAX(0,AI840-75)*220)+(MAX(0,AQ840-60)*100),0)</x:f>
        <x:v>36064</x:v>
      </x:c>
    </x:row>
    <x:row r="841">
      <x:c r="A841" s="35" t="n">
        <x:v>840</x:v>
      </x:c>
      <x:c r="B841" s="35" t="n">
        <x:v>39</x:v>
      </x:c>
      <x:c r="C841" s="35" t="str">
        <x:v>Female</x:v>
      </x:c>
      <x:c r="D841" s="35" t="str">
        <x:v>Marketing</x:v>
      </x:c>
      <x:c r="E841" s="35" t="str">
        <x:v>Marketing Manager</x:v>
      </x:c>
      <x:c r="F841" s="35" t="str">
        <x:v>Human Resources</x:v>
      </x:c>
      <x:c r="G841" s="35" t="str">
        <x:v>Divorced</x:v>
      </x:c>
      <x:c r="H841" s="35" t="n">
        <x:v>2</x:v>
      </x:c>
      <x:c r="I841" s="36" t="n">
        <x:v>8850</x:v>
      </x:c>
      <x:c r="J841" s="35" t="n">
        <x:v>11</x:v>
      </x:c>
      <x:c r="K841" s="35" t="n">
        <x:v>4</x:v>
      </x:c>
      <x:c r="L841" s="35" t="n">
        <x:v>1</x:v>
      </x:c>
      <x:c r="M841" s="35" t="n">
        <x:v>9</x:v>
      </x:c>
      <x:c r="N841" s="35" t="str">
        <x:v>No</x:v>
      </x:c>
      <x:c r="O841" s="35" t="n">
        <x:v>2</x:v>
      </x:c>
      <x:c r="P841" s="35" t="n">
        <x:v>4</x:v>
      </x:c>
      <x:c r="Q841" s="35" t="n">
        <x:v>3</x:v>
      </x:c>
      <x:c r="R841" s="35" t="n">
        <x:v>3</x:v>
      </x:c>
      <x:c r="S841" s="35" t="n">
        <x:v>3</x:v>
      </x:c>
      <x:c r="T841" s="35" t="n">
        <x:v>2</x:v>
      </x:c>
      <x:c r="U841" s="35" t="n">
        <x:v>2</x:v>
      </x:c>
      <x:c r="V841" s="35" t="n">
        <x:v>11</x:v>
      </x:c>
      <x:c r="W841" s="35" t="n">
        <x:v>11</x:v>
      </x:c>
      <x:c r="X841" s="35" t="n">
        <x:v>75</x:v>
      </x:c>
      <x:c r="Y841" s="35" t="n">
        <x:v>3</x:v>
      </x:c>
      <x:c r="Z841" s="35" t="n">
        <x:v>90</x:v>
      </x:c>
      <x:c r="AA841" s="35" t="n">
        <x:v>7</x:v>
      </x:c>
      <x:c r="AB841" s="35" t="n">
        <x:v>4</x:v>
      </x:c>
      <x:c r="AC841" s="35" t="n">
        <x:v>3</x:v>
      </x:c>
      <x:c r="AD841" s="35" t="n">
        <x:v>75</x:v>
      </x:c>
      <x:c r="AE841" s="35" t="n">
        <x:v>85</x:v>
      </x:c>
      <x:c r="AF841" s="35" t="n">
        <x:v>93</x:v>
      </x:c>
      <x:c r="AG841" s="35" t="n">
        <x:v>90</x:v>
      </x:c>
      <x:c r="AH841" s="35" t="n">
        <x:v>7</x:v>
      </x:c>
      <x:c r="AI841" s="37" t="n">
        <x:v>93.8</x:v>
      </x:c>
      <x:c r="AJ841" s="37" t="n">
        <x:v>85.1</x:v>
      </x:c>
      <x:c r="AK841" s="35" t="str">
        <x:v>No</x:v>
      </x:c>
      <x:c r="AL841" s="38" t="n">
        <x:f>IF(AA841=0,0,AB841/AA841)</x:f>
        <x:v>0.5714285714285714</x:v>
      </x:c>
      <x:c r="AM841" s="38" t="n">
        <x:f>IF(AB841=0,0,AC841/AB841)</x:f>
        <x:v>0.75</x:v>
      </x:c>
      <x:c r="AN841" s="37" t="n">
        <x:f>ROUND((AD841*0.20+AE841*0.20+AF841*0.25+AG841*0.15+MIN(100,AC841*12)*0.20),1)</x:f>
        <x:v>76</x:v>
      </x:c>
      <x:c r="AO841" s="37" t="n">
        <x:f>ROUND(MAX(0,MIN(100,(X841*0.35)+(W841/45*100*0.20)+((5-O841)/4*100*0.15)+((5-P841)/4*100*0.10)+((6-Y841)/5*100*0.10)+((100-Z841)*0.10))),1)</x:f>
        <x:v>51.9</x:v>
      </x:c>
      <x:c r="AP841" s="37" t="str">
        <x:f>IF(AO841&gt;=70,"High",IF(AO841&gt;=40,"Moderate","Low"))</x:f>
        <x:v>Moderate</x:v>
      </x:c>
      <x:c r="AQ841" s="37" t="n">
        <x:f>ROUND(MAX(0,MIN(100,(O841/4*100*0.25)+(P841/4*100*0.20)+(Q841/4*100*0.15)+(Y841/5*100*0.20)+(100-AO841)*0.20)),1)</x:f>
        <x:v>65.4</x:v>
      </x:c>
      <x:c r="AR841" s="37" t="n">
        <x:f>ROUND((AI841*0.20+AJ841*0.15+AN841*0.18+AG841*0.12+Z841*0.15+AQ841*0.20),1)</x:f>
        <x:v>82.6</x:v>
      </x:c>
      <x:c r="AS841" s="39" t="n">
        <x:f>ROUND((AC841*AF841*120)+(AH841*350)+(MAX(0,AI841-75)*220)+(MAX(0,AQ841-60)*100),0)</x:f>
        <x:v>40606</x:v>
      </x:c>
    </x:row>
    <x:row r="842">
      <x:c r="A842" s="35" t="n">
        <x:v>841</x:v>
      </x:c>
      <x:c r="B842" s="35" t="n">
        <x:v>34</x:v>
      </x:c>
      <x:c r="C842" s="35" t="str">
        <x:v>Male</x:v>
      </x:c>
      <x:c r="D842" s="35" t="str">
        <x:v>Sales</x:v>
      </x:c>
      <x:c r="E842" s="35" t="str">
        <x:v>Sales Executive</x:v>
      </x:c>
      <x:c r="F842" s="35" t="str">
        <x:v>Business</x:v>
      </x:c>
      <x:c r="G842" s="35" t="str">
        <x:v>Single</x:v>
      </x:c>
      <x:c r="H842" s="35" t="n">
        <x:v>2</x:v>
      </x:c>
      <x:c r="I842" s="36" t="n">
        <x:v>6790</x:v>
      </x:c>
      <x:c r="J842" s="35" t="n">
        <x:v>7</x:v>
      </x:c>
      <x:c r="K842" s="35" t="n">
        <x:v>4</x:v>
      </x:c>
      <x:c r="L842" s="35" t="n">
        <x:v>3</x:v>
      </x:c>
      <x:c r="M842" s="35" t="n">
        <x:v>18</x:v>
      </x:c>
      <x:c r="N842" s="35" t="str">
        <x:v>No</x:v>
      </x:c>
      <x:c r="O842" s="35" t="n">
        <x:v>3</x:v>
      </x:c>
      <x:c r="P842" s="35" t="n">
        <x:v>2</x:v>
      </x:c>
      <x:c r="Q842" s="35" t="n">
        <x:v>2</x:v>
      </x:c>
      <x:c r="R842" s="35" t="n">
        <x:v>3</x:v>
      </x:c>
      <x:c r="S842" s="35" t="n">
        <x:v>3</x:v>
      </x:c>
      <x:c r="T842" s="35" t="n">
        <x:v>4</x:v>
      </x:c>
      <x:c r="U842" s="35" t="n">
        <x:v>0</x:v>
      </x:c>
      <x:c r="V842" s="35" t="n">
        <x:v>9</x:v>
      </x:c>
      <x:c r="W842" s="35" t="n">
        <x:v>18</x:v>
      </x:c>
      <x:c r="X842" s="35" t="n">
        <x:v>69</x:v>
      </x:c>
      <x:c r="Y842" s="35" t="n">
        <x:v>4</x:v>
      </x:c>
      <x:c r="Z842" s="35" t="n">
        <x:v>90</x:v>
      </x:c>
      <x:c r="AA842" s="35" t="n">
        <x:v>6</x:v>
      </x:c>
      <x:c r="AB842" s="35" t="n">
        <x:v>6</x:v>
      </x:c>
      <x:c r="AC842" s="35" t="n">
        <x:v>5</x:v>
      </x:c>
      <x:c r="AD842" s="35" t="n">
        <x:v>72</x:v>
      </x:c>
      <x:c r="AE842" s="35" t="n">
        <x:v>77</x:v>
      </x:c>
      <x:c r="AF842" s="35" t="n">
        <x:v>76</x:v>
      </x:c>
      <x:c r="AG842" s="35" t="n">
        <x:v>100</x:v>
      </x:c>
      <x:c r="AH842" s="35" t="n">
        <x:v>9</x:v>
      </x:c>
      <x:c r="AI842" s="37" t="n">
        <x:v>97.4</x:v>
      </x:c>
      <x:c r="AJ842" s="37" t="n">
        <x:v>94.4</x:v>
      </x:c>
      <x:c r="AK842" s="35" t="str">
        <x:v>No</x:v>
      </x:c>
      <x:c r="AL842" s="38" t="n">
        <x:f>IF(AA842=0,0,AB842/AA842)</x:f>
        <x:v>1</x:v>
      </x:c>
      <x:c r="AM842" s="38" t="n">
        <x:f>IF(AB842=0,0,AC842/AB842)</x:f>
        <x:v>0.8333333333333334</x:v>
      </x:c>
      <x:c r="AN842" s="37" t="n">
        <x:f>ROUND((AD842*0.20+AE842*0.20+AF842*0.25+AG842*0.15+MIN(100,AC842*12)*0.20),1)</x:f>
        <x:v>75.8</x:v>
      </x:c>
      <x:c r="AO842" s="37" t="n">
        <x:f>ROUND(MAX(0,MIN(100,(X842*0.35)+(W842/45*100*0.20)+((5-O842)/4*100*0.15)+((5-P842)/4*100*0.10)+((6-Y842)/5*100*0.10)+((100-Z842)*0.10))),1)</x:f>
        <x:v>52.2</x:v>
      </x:c>
      <x:c r="AP842" s="37" t="str">
        <x:f>IF(AO842&gt;=70,"High",IF(AO842&gt;=40,"Moderate","Low"))</x:f>
        <x:v>Moderate</x:v>
      </x:c>
      <x:c r="AQ842" s="37" t="n">
        <x:f>ROUND(MAX(0,MIN(100,(O842/4*100*0.25)+(P842/4*100*0.20)+(Q842/4*100*0.15)+(Y842/5*100*0.20)+(100-AO842)*0.20)),1)</x:f>
        <x:v>61.8</x:v>
      </x:c>
      <x:c r="AR842" s="37" t="n">
        <x:f>ROUND((AI842*0.20+AJ842*0.15+AN842*0.18+AG842*0.12+Z842*0.15+AQ842*0.20),1)</x:f>
        <x:v>85.1</x:v>
      </x:c>
      <x:c r="AS842" s="39" t="n">
        <x:f>ROUND((AC842*AF842*120)+(AH842*350)+(MAX(0,AI842-75)*220)+(MAX(0,AQ842-60)*100),0)</x:f>
        <x:v>53858</x:v>
      </x:c>
    </x:row>
    <x:row r="843">
      <x:c r="A843" s="35" t="n">
        <x:v>842</x:v>
      </x:c>
      <x:c r="B843" s="35" t="n">
        <x:v>47</x:v>
      </x:c>
      <x:c r="C843" s="35" t="str">
        <x:v>Female</x:v>
      </x:c>
      <x:c r="D843" s="35" t="str">
        <x:v>Finance</x:v>
      </x:c>
      <x:c r="E843" s="35" t="str">
        <x:v>Accountant</x:v>
      </x:c>
      <x:c r="F843" s="35" t="str">
        <x:v>Life Sciences</x:v>
      </x:c>
      <x:c r="G843" s="35" t="str">
        <x:v>Single</x:v>
      </x:c>
      <x:c r="H843" s="35" t="n">
        <x:v>4</x:v>
      </x:c>
      <x:c r="I843" s="36" t="n">
        <x:v>14860</x:v>
      </x:c>
      <x:c r="J843" s="35" t="n">
        <x:v>22</x:v>
      </x:c>
      <x:c r="K843" s="35" t="n">
        <x:v>16</x:v>
      </x:c>
      <x:c r="L843" s="35" t="n">
        <x:v>5</x:v>
      </x:c>
      <x:c r="M843" s="35" t="n">
        <x:v>13</x:v>
      </x:c>
      <x:c r="N843" s="35" t="str">
        <x:v>No</x:v>
      </x:c>
      <x:c r="O843" s="35" t="n">
        <x:v>3</x:v>
      </x:c>
      <x:c r="P843" s="35" t="n">
        <x:v>1</x:v>
      </x:c>
      <x:c r="Q843" s="35" t="n">
        <x:v>3</x:v>
      </x:c>
      <x:c r="R843" s="35" t="n">
        <x:v>3</x:v>
      </x:c>
      <x:c r="S843" s="35" t="n">
        <x:v>3</x:v>
      </x:c>
      <x:c r="T843" s="35" t="n">
        <x:v>4</x:v>
      </x:c>
      <x:c r="U843" s="35" t="n">
        <x:v>2</x:v>
      </x:c>
      <x:c r="V843" s="35" t="n">
        <x:v>2</x:v>
      </x:c>
      <x:c r="W843" s="35" t="n">
        <x:v>14</x:v>
      </x:c>
      <x:c r="X843" s="35" t="n">
        <x:v>68</x:v>
      </x:c>
      <x:c r="Y843" s="35" t="n">
        <x:v>5</x:v>
      </x:c>
      <x:c r="Z843" s="35" t="n">
        <x:v>96</x:v>
      </x:c>
      <x:c r="AA843" s="35" t="n">
        <x:v>8</x:v>
      </x:c>
      <x:c r="AB843" s="35" t="n">
        <x:v>7</x:v>
      </x:c>
      <x:c r="AC843" s="35" t="n">
        <x:v>6</x:v>
      </x:c>
      <x:c r="AD843" s="35" t="n">
        <x:v>82</x:v>
      </x:c>
      <x:c r="AE843" s="35" t="n">
        <x:v>89</x:v>
      </x:c>
      <x:c r="AF843" s="35" t="n">
        <x:v>100</x:v>
      </x:c>
      <x:c r="AG843" s="35" t="n">
        <x:v>94</x:v>
      </x:c>
      <x:c r="AH843" s="35" t="n">
        <x:v>9</x:v>
      </x:c>
      <x:c r="AI843" s="37" t="n">
        <x:v>100</x:v>
      </x:c>
      <x:c r="AJ843" s="37" t="n">
        <x:v>88.6</x:v>
      </x:c>
      <x:c r="AK843" s="35" t="str">
        <x:v>No</x:v>
      </x:c>
      <x:c r="AL843" s="38" t="n">
        <x:f>IF(AA843=0,0,AB843/AA843)</x:f>
        <x:v>0.875</x:v>
      </x:c>
      <x:c r="AM843" s="38" t="n">
        <x:f>IF(AB843=0,0,AC843/AB843)</x:f>
        <x:v>0.8571428571428571</x:v>
      </x:c>
      <x:c r="AN843" s="37" t="n">
        <x:f>ROUND((AD843*0.20+AE843*0.20+AF843*0.25+AG843*0.15+MIN(100,AC843*12)*0.20),1)</x:f>
        <x:v>87.7</x:v>
      </x:c>
      <x:c r="AO843" s="37" t="n">
        <x:f>ROUND(MAX(0,MIN(100,(X843*0.35)+(W843/45*100*0.20)+((5-O843)/4*100*0.15)+((5-P843)/4*100*0.10)+((6-Y843)/5*100*0.10)+((100-Z843)*0.10))),1)</x:f>
        <x:v>49.9</x:v>
      </x:c>
      <x:c r="AP843" s="37" t="str">
        <x:f>IF(AO843&gt;=70,"High",IF(AO843&gt;=40,"Moderate","Low"))</x:f>
        <x:v>Moderate</x:v>
      </x:c>
      <x:c r="AQ843" s="37" t="n">
        <x:f>ROUND(MAX(0,MIN(100,(O843/4*100*0.25)+(P843/4*100*0.20)+(Q843/4*100*0.15)+(Y843/5*100*0.20)+(100-AO843)*0.20)),1)</x:f>
        <x:v>65</x:v>
      </x:c>
      <x:c r="AR843" s="37" t="n">
        <x:f>ROUND((AI843*0.20+AJ843*0.15+AN843*0.18+AG843*0.12+Z843*0.15+AQ843*0.20),1)</x:f>
        <x:v>87.8</x:v>
      </x:c>
      <x:c r="AS843" s="39" t="n">
        <x:f>ROUND((AC843*AF843*120)+(AH843*350)+(MAX(0,AI843-75)*220)+(MAX(0,AQ843-60)*100),0)</x:f>
        <x:v>81150</x:v>
      </x:c>
    </x:row>
    <x:row r="844">
      <x:c r="A844" s="35" t="n">
        <x:v>843</x:v>
      </x:c>
      <x:c r="B844" s="35" t="n">
        <x:v>39</x:v>
      </x:c>
      <x:c r="C844" s="35" t="str">
        <x:v>Male</x:v>
      </x:c>
      <x:c r="D844" s="35" t="str">
        <x:v>Research &amp; Development</x:v>
      </x:c>
      <x:c r="E844" s="35" t="str">
        <x:v>Laboratory Technician</x:v>
      </x:c>
      <x:c r="F844" s="35" t="str">
        <x:v>Technical Degree</x:v>
      </x:c>
      <x:c r="G844" s="35" t="str">
        <x:v>Divorced</x:v>
      </x:c>
      <x:c r="H844" s="35" t="n">
        <x:v>2</x:v>
      </x:c>
      <x:c r="I844" s="36" t="n">
        <x:v>5790</x:v>
      </x:c>
      <x:c r="J844" s="35" t="n">
        <x:v>13</x:v>
      </x:c>
      <x:c r="K844" s="35" t="n">
        <x:v>10</x:v>
      </x:c>
      <x:c r="L844" s="35" t="n">
        <x:v>6</x:v>
      </x:c>
      <x:c r="M844" s="35" t="n">
        <x:v>3</x:v>
      </x:c>
      <x:c r="N844" s="35" t="str">
        <x:v>No</x:v>
      </x:c>
      <x:c r="O844" s="35" t="n">
        <x:v>4</x:v>
      </x:c>
      <x:c r="P844" s="35" t="n">
        <x:v>2</x:v>
      </x:c>
      <x:c r="Q844" s="35" t="n">
        <x:v>2</x:v>
      </x:c>
      <x:c r="R844" s="35" t="n">
        <x:v>4</x:v>
      </x:c>
      <x:c r="S844" s="35" t="n">
        <x:v>3</x:v>
      </x:c>
      <x:c r="T844" s="35" t="n">
        <x:v>3</x:v>
      </x:c>
      <x:c r="U844" s="35" t="n">
        <x:v>0</x:v>
      </x:c>
      <x:c r="V844" s="35" t="n">
        <x:v>10</x:v>
      </x:c>
      <x:c r="W844" s="35" t="n">
        <x:v>5</x:v>
      </x:c>
      <x:c r="X844" s="35" t="n">
        <x:v>67</x:v>
      </x:c>
      <x:c r="Y844" s="35" t="n">
        <x:v>5</x:v>
      </x:c>
      <x:c r="Z844" s="35" t="n">
        <x:v>100</x:v>
      </x:c>
      <x:c r="AA844" s="35" t="n">
        <x:v>6</x:v>
      </x:c>
      <x:c r="AB844" s="35" t="n">
        <x:v>5</x:v>
      </x:c>
      <x:c r="AC844" s="35" t="n">
        <x:v>5</x:v>
      </x:c>
      <x:c r="AD844" s="35" t="n">
        <x:v>94</x:v>
      </x:c>
      <x:c r="AE844" s="35" t="n">
        <x:v>86</x:v>
      </x:c>
      <x:c r="AF844" s="35" t="n">
        <x:v>81</x:v>
      </x:c>
      <x:c r="AG844" s="35" t="n">
        <x:v>98</x:v>
      </x:c>
      <x:c r="AH844" s="35" t="n">
        <x:v>7</x:v>
      </x:c>
      <x:c r="AI844" s="37" t="n">
        <x:v>96.9</x:v>
      </x:c>
      <x:c r="AJ844" s="37" t="n">
        <x:v>78.3</x:v>
      </x:c>
      <x:c r="AK844" s="35" t="str">
        <x:v>No</x:v>
      </x:c>
      <x:c r="AL844" s="38" t="n">
        <x:f>IF(AA844=0,0,AB844/AA844)</x:f>
        <x:v>0.8333333333333334</x:v>
      </x:c>
      <x:c r="AM844" s="38" t="n">
        <x:f>IF(AB844=0,0,AC844/AB844)</x:f>
        <x:v>1</x:v>
      </x:c>
      <x:c r="AN844" s="37" t="n">
        <x:f>ROUND((AD844*0.20+AE844*0.20+AF844*0.25+AG844*0.15+MIN(100,AC844*12)*0.20),1)</x:f>
        <x:v>83</x:v>
      </x:c>
      <x:c r="AO844" s="37" t="n">
        <x:f>ROUND(MAX(0,MIN(100,(X844*0.35)+(W844/45*100*0.20)+((5-O844)/4*100*0.15)+((5-P844)/4*100*0.10)+((6-Y844)/5*100*0.10)+((100-Z844)*0.10))),1)</x:f>
        <x:v>38.9</x:v>
      </x:c>
      <x:c r="AP844" s="37" t="str">
        <x:f>IF(AO844&gt;=70,"High",IF(AO844&gt;=40,"Moderate","Low"))</x:f>
        <x:v>Low</x:v>
      </x:c>
      <x:c r="AQ844" s="37" t="n">
        <x:f>ROUND(MAX(0,MIN(100,(O844/4*100*0.25)+(P844/4*100*0.20)+(Q844/4*100*0.15)+(Y844/5*100*0.20)+(100-AO844)*0.20)),1)</x:f>
        <x:v>74.7</x:v>
      </x:c>
      <x:c r="AR844" s="37" t="n">
        <x:f>ROUND((AI844*0.20+AJ844*0.15+AN844*0.18+AG844*0.12+Z844*0.15+AQ844*0.20),1)</x:f>
        <x:v>87.8</x:v>
      </x:c>
      <x:c r="AS844" s="39" t="n">
        <x:f>ROUND((AC844*AF844*120)+(AH844*350)+(MAX(0,AI844-75)*220)+(MAX(0,AQ844-60)*100),0)</x:f>
        <x:v>57338</x:v>
      </x:c>
    </x:row>
    <x:row r="845">
      <x:c r="A845" s="35" t="n">
        <x:v>844</x:v>
      </x:c>
      <x:c r="B845" s="35" t="n">
        <x:v>36</x:v>
      </x:c>
      <x:c r="C845" s="35" t="str">
        <x:v>Female</x:v>
      </x:c>
      <x:c r="D845" s="35" t="str">
        <x:v>Research &amp; Development</x:v>
      </x:c>
      <x:c r="E845" s="35" t="str">
        <x:v>R&amp;D Manager</x:v>
      </x:c>
      <x:c r="F845" s="35" t="str">
        <x:v>Human Resources</x:v>
      </x:c>
      <x:c r="G845" s="35" t="str">
        <x:v>Single</x:v>
      </x:c>
      <x:c r="H845" s="35" t="n">
        <x:v>2</x:v>
      </x:c>
      <x:c r="I845" s="36" t="n">
        <x:v>10550</x:v>
      </x:c>
      <x:c r="J845" s="35" t="n">
        <x:v>9</x:v>
      </x:c>
      <x:c r="K845" s="35" t="n">
        <x:v>3</x:v>
      </x:c>
      <x:c r="L845" s="35" t="n">
        <x:v>1</x:v>
      </x:c>
      <x:c r="M845" s="35" t="n">
        <x:v>7</x:v>
      </x:c>
      <x:c r="N845" s="35" t="str">
        <x:v>No</x:v>
      </x:c>
      <x:c r="O845" s="35" t="n">
        <x:v>4</x:v>
      </x:c>
      <x:c r="P845" s="35" t="n">
        <x:v>3</x:v>
      </x:c>
      <x:c r="Q845" s="35" t="n">
        <x:v>3</x:v>
      </x:c>
      <x:c r="R845" s="35" t="n">
        <x:v>3</x:v>
      </x:c>
      <x:c r="S845" s="35" t="n">
        <x:v>4</x:v>
      </x:c>
      <x:c r="T845" s="35" t="n">
        <x:v>1</x:v>
      </x:c>
      <x:c r="U845" s="35" t="n">
        <x:v>0</x:v>
      </x:c>
      <x:c r="V845" s="35" t="n">
        <x:v>1</x:v>
      </x:c>
      <x:c r="W845" s="35" t="n">
        <x:v>9</x:v>
      </x:c>
      <x:c r="X845" s="35" t="n">
        <x:v>64</x:v>
      </x:c>
      <x:c r="Y845" s="35" t="n">
        <x:v>5</x:v>
      </x:c>
      <x:c r="Z845" s="35" t="n">
        <x:v>100</x:v>
      </x:c>
      <x:c r="AA845" s="35" t="n">
        <x:v>12</x:v>
      </x:c>
      <x:c r="AB845" s="35" t="n">
        <x:v>9</x:v>
      </x:c>
      <x:c r="AC845" s="35" t="n">
        <x:v>8</x:v>
      </x:c>
      <x:c r="AD845" s="35" t="n">
        <x:v>56</x:v>
      </x:c>
      <x:c r="AE845" s="35" t="n">
        <x:v>89</x:v>
      </x:c>
      <x:c r="AF845" s="35" t="n">
        <x:v>85</x:v>
      </x:c>
      <x:c r="AG845" s="35" t="n">
        <x:v>69</x:v>
      </x:c>
      <x:c r="AH845" s="35" t="n">
        <x:v>11</x:v>
      </x:c>
      <x:c r="AI845" s="37" t="n">
        <x:v>100</x:v>
      </x:c>
      <x:c r="AJ845" s="37" t="n">
        <x:v>100</x:v>
      </x:c>
      <x:c r="AK845" s="35" t="str">
        <x:v>No</x:v>
      </x:c>
      <x:c r="AL845" s="38" t="n">
        <x:f>IF(AA845=0,0,AB845/AA845)</x:f>
        <x:v>0.75</x:v>
      </x:c>
      <x:c r="AM845" s="38" t="n">
        <x:f>IF(AB845=0,0,AC845/AB845)</x:f>
        <x:v>0.8888888888888888</x:v>
      </x:c>
      <x:c r="AN845" s="37" t="n">
        <x:f>ROUND((AD845*0.20+AE845*0.20+AF845*0.25+AG845*0.15+MIN(100,AC845*12)*0.20),1)</x:f>
        <x:v>79.8</x:v>
      </x:c>
      <x:c r="AO845" s="37" t="n">
        <x:f>ROUND(MAX(0,MIN(100,(X845*0.35)+(W845/45*100*0.20)+((5-O845)/4*100*0.15)+((5-P845)/4*100*0.10)+((6-Y845)/5*100*0.10)+((100-Z845)*0.10))),1)</x:f>
        <x:v>37.2</x:v>
      </x:c>
      <x:c r="AP845" s="37" t="str">
        <x:f>IF(AO845&gt;=70,"High",IF(AO845&gt;=40,"Moderate","Low"))</x:f>
        <x:v>Low</x:v>
      </x:c>
      <x:c r="AQ845" s="37" t="n">
        <x:f>ROUND(MAX(0,MIN(100,(O845/4*100*0.25)+(P845/4*100*0.20)+(Q845/4*100*0.15)+(Y845/5*100*0.20)+(100-AO845)*0.20)),1)</x:f>
        <x:v>83.8</x:v>
      </x:c>
      <x:c r="AR845" s="37" t="n">
        <x:f>ROUND((AI845*0.20+AJ845*0.15+AN845*0.18+AG845*0.12+Z845*0.15+AQ845*0.20),1)</x:f>
        <x:v>89.4</x:v>
      </x:c>
      <x:c r="AS845" s="39" t="n">
        <x:f>ROUND((AC845*AF845*120)+(AH845*350)+(MAX(0,AI845-75)*220)+(MAX(0,AQ845-60)*100),0)</x:f>
        <x:v>93330</x:v>
      </x:c>
    </x:row>
    <x:row r="846">
      <x:c r="A846" s="35" t="n">
        <x:v>845</x:v>
      </x:c>
      <x:c r="B846" s="35" t="n">
        <x:v>45</x:v>
      </x:c>
      <x:c r="C846" s="35" t="str">
        <x:v>Male</x:v>
      </x:c>
      <x:c r="D846" s="35" t="str">
        <x:v>Information Technology</x:v>
      </x:c>
      <x:c r="E846" s="35" t="str">
        <x:v>IT Support</x:v>
      </x:c>
      <x:c r="F846" s="35" t="str">
        <x:v>Life Sciences</x:v>
      </x:c>
      <x:c r="G846" s="35" t="str">
        <x:v>Married</x:v>
      </x:c>
      <x:c r="H846" s="35" t="n">
        <x:v>3</x:v>
      </x:c>
      <x:c r="I846" s="36" t="n">
        <x:v>12260</x:v>
      </x:c>
      <x:c r="J846" s="35" t="n">
        <x:v>20</x:v>
      </x:c>
      <x:c r="K846" s="35" t="n">
        <x:v>5</x:v>
      </x:c>
      <x:c r="L846" s="35" t="n">
        <x:v>1</x:v>
      </x:c>
      <x:c r="M846" s="35" t="n">
        <x:v>14</x:v>
      </x:c>
      <x:c r="N846" s="35" t="str">
        <x:v>No</x:v>
      </x:c>
      <x:c r="O846" s="35" t="n">
        <x:v>3</x:v>
      </x:c>
      <x:c r="P846" s="35" t="n">
        <x:v>4</x:v>
      </x:c>
      <x:c r="Q846" s="35" t="n">
        <x:v>3</x:v>
      </x:c>
      <x:c r="R846" s="35" t="n">
        <x:v>3</x:v>
      </x:c>
      <x:c r="S846" s="35" t="n">
        <x:v>3</x:v>
      </x:c>
      <x:c r="T846" s="35" t="n">
        <x:v>4</x:v>
      </x:c>
      <x:c r="U846" s="35" t="n">
        <x:v>0</x:v>
      </x:c>
      <x:c r="V846" s="35" t="n">
        <x:v>2</x:v>
      </x:c>
      <x:c r="W846" s="35" t="n">
        <x:v>14</x:v>
      </x:c>
      <x:c r="X846" s="35" t="n">
        <x:v>59</x:v>
      </x:c>
      <x:c r="Y846" s="35" t="n">
        <x:v>5</x:v>
      </x:c>
      <x:c r="Z846" s="35" t="n">
        <x:v>100</x:v>
      </x:c>
      <x:c r="AA846" s="35" t="n">
        <x:v>5</x:v>
      </x:c>
      <x:c r="AB846" s="35" t="n">
        <x:v>4</x:v>
      </x:c>
      <x:c r="AC846" s="35" t="n">
        <x:v>2</x:v>
      </x:c>
      <x:c r="AD846" s="35" t="n">
        <x:v>75</x:v>
      </x:c>
      <x:c r="AE846" s="35" t="n">
        <x:v>89</x:v>
      </x:c>
      <x:c r="AF846" s="35" t="n">
        <x:v>53</x:v>
      </x:c>
      <x:c r="AG846" s="35" t="n">
        <x:v>86</x:v>
      </x:c>
      <x:c r="AH846" s="35" t="n">
        <x:v>3</x:v>
      </x:c>
      <x:c r="AI846" s="37" t="n">
        <x:v>93.2</x:v>
      </x:c>
      <x:c r="AJ846" s="37" t="n">
        <x:v>100</x:v>
      </x:c>
      <x:c r="AK846" s="35" t="str">
        <x:v>No</x:v>
      </x:c>
      <x:c r="AL846" s="38" t="n">
        <x:f>IF(AA846=0,0,AB846/AA846)</x:f>
        <x:v>0.8</x:v>
      </x:c>
      <x:c r="AM846" s="38" t="n">
        <x:f>IF(AB846=0,0,AC846/AB846)</x:f>
        <x:v>0.5</x:v>
      </x:c>
      <x:c r="AN846" s="37" t="n">
        <x:f>ROUND((AD846*0.20+AE846*0.20+AF846*0.25+AG846*0.15+MIN(100,AC846*12)*0.20),1)</x:f>
        <x:v>63.8</x:v>
      </x:c>
      <x:c r="AO846" s="37" t="n">
        <x:f>ROUND(MAX(0,MIN(100,(X846*0.35)+(W846/45*100*0.20)+((5-O846)/4*100*0.15)+((5-P846)/4*100*0.10)+((6-Y846)/5*100*0.10)+((100-Z846)*0.10))),1)</x:f>
        <x:v>38.9</x:v>
      </x:c>
      <x:c r="AP846" s="37" t="str">
        <x:f>IF(AO846&gt;=70,"High",IF(AO846&gt;=40,"Moderate","Low"))</x:f>
        <x:v>Low</x:v>
      </x:c>
      <x:c r="AQ846" s="37" t="n">
        <x:f>ROUND(MAX(0,MIN(100,(O846/4*100*0.25)+(P846/4*100*0.20)+(Q846/4*100*0.15)+(Y846/5*100*0.20)+(100-AO846)*0.20)),1)</x:f>
        <x:v>82.2</x:v>
      </x:c>
      <x:c r="AR846" s="37" t="n">
        <x:f>ROUND((AI846*0.20+AJ846*0.15+AN846*0.18+AG846*0.12+Z846*0.15+AQ846*0.20),1)</x:f>
        <x:v>86.9</x:v>
      </x:c>
      <x:c r="AS846" s="39" t="n">
        <x:f>ROUND((AC846*AF846*120)+(AH846*350)+(MAX(0,AI846-75)*220)+(MAX(0,AQ846-60)*100),0)</x:f>
        <x:v>19994</x:v>
      </x:c>
    </x:row>
    <x:row r="847">
      <x:c r="A847" s="35" t="n">
        <x:v>846</x:v>
      </x:c>
      <x:c r="B847" s="35" t="n">
        <x:v>39</x:v>
      </x:c>
      <x:c r="C847" s="35" t="str">
        <x:v>Male</x:v>
      </x:c>
      <x:c r="D847" s="35" t="str">
        <x:v>Finance</x:v>
      </x:c>
      <x:c r="E847" s="35" t="str">
        <x:v>Financial Analyst</x:v>
      </x:c>
      <x:c r="F847" s="35" t="str">
        <x:v>Business</x:v>
      </x:c>
      <x:c r="G847" s="35" t="str">
        <x:v>Married</x:v>
      </x:c>
      <x:c r="H847" s="35" t="n">
        <x:v>2</x:v>
      </x:c>
      <x:c r="I847" s="36" t="n">
        <x:v>8410</x:v>
      </x:c>
      <x:c r="J847" s="35" t="n">
        <x:v>12</x:v>
      </x:c>
      <x:c r="K847" s="35" t="n">
        <x:v>7</x:v>
      </x:c>
      <x:c r="L847" s="35" t="n">
        <x:v>4</x:v>
      </x:c>
      <x:c r="M847" s="35" t="n">
        <x:v>10</x:v>
      </x:c>
      <x:c r="N847" s="35" t="str">
        <x:v>No</x:v>
      </x:c>
      <x:c r="O847" s="35" t="n">
        <x:v>3</x:v>
      </x:c>
      <x:c r="P847" s="35" t="n">
        <x:v>3</x:v>
      </x:c>
      <x:c r="Q847" s="35" t="n">
        <x:v>4</x:v>
      </x:c>
      <x:c r="R847" s="35" t="n">
        <x:v>3</x:v>
      </x:c>
      <x:c r="S847" s="35" t="n">
        <x:v>3</x:v>
      </x:c>
      <x:c r="T847" s="35" t="n">
        <x:v>6</x:v>
      </x:c>
      <x:c r="U847" s="35" t="n">
        <x:v>0</x:v>
      </x:c>
      <x:c r="V847" s="35" t="n">
        <x:v>13</x:v>
      </x:c>
      <x:c r="W847" s="35" t="n">
        <x:v>12</x:v>
      </x:c>
      <x:c r="X847" s="35" t="n">
        <x:v>68</x:v>
      </x:c>
      <x:c r="Y847" s="35" t="n">
        <x:v>4</x:v>
      </x:c>
      <x:c r="Z847" s="35" t="n">
        <x:v>100</x:v>
      </x:c>
      <x:c r="AA847" s="35" t="n">
        <x:v>3</x:v>
      </x:c>
      <x:c r="AB847" s="35" t="n">
        <x:v>2</x:v>
      </x:c>
      <x:c r="AC847" s="35" t="n">
        <x:v>2</x:v>
      </x:c>
      <x:c r="AD847" s="35" t="n">
        <x:v>59</x:v>
      </x:c>
      <x:c r="AE847" s="35" t="n">
        <x:v>86</x:v>
      </x:c>
      <x:c r="AF847" s="35" t="n">
        <x:v>88</x:v>
      </x:c>
      <x:c r="AG847" s="35" t="n">
        <x:v>100</x:v>
      </x:c>
      <x:c r="AH847" s="35" t="n">
        <x:v>4</x:v>
      </x:c>
      <x:c r="AI847" s="37" t="n">
        <x:v>100</x:v>
      </x:c>
      <x:c r="AJ847" s="37" t="n">
        <x:v>94</x:v>
      </x:c>
      <x:c r="AK847" s="35" t="str">
        <x:v>No</x:v>
      </x:c>
      <x:c r="AL847" s="38" t="n">
        <x:f>IF(AA847=0,0,AB847/AA847)</x:f>
        <x:v>0.6666666666666666</x:v>
      </x:c>
      <x:c r="AM847" s="38" t="n">
        <x:f>IF(AB847=0,0,AC847/AB847)</x:f>
        <x:v>1</x:v>
      </x:c>
      <x:c r="AN847" s="37" t="n">
        <x:f>ROUND((AD847*0.20+AE847*0.20+AF847*0.25+AG847*0.15+MIN(100,AC847*12)*0.20),1)</x:f>
        <x:v>70.8</x:v>
      </x:c>
      <x:c r="AO847" s="37" t="n">
        <x:f>ROUND(MAX(0,MIN(100,(X847*0.35)+(W847/45*100*0.20)+((5-O847)/4*100*0.15)+((5-P847)/4*100*0.10)+((6-Y847)/5*100*0.10)+((100-Z847)*0.10))),1)</x:f>
        <x:v>45.6</x:v>
      </x:c>
      <x:c r="AP847" s="37" t="str">
        <x:f>IF(AO847&gt;=70,"High",IF(AO847&gt;=40,"Moderate","Low"))</x:f>
        <x:v>Moderate</x:v>
      </x:c>
      <x:c r="AQ847" s="37" t="n">
        <x:f>ROUND(MAX(0,MIN(100,(O847/4*100*0.25)+(P847/4*100*0.20)+(Q847/4*100*0.15)+(Y847/5*100*0.20)+(100-AO847)*0.20)),1)</x:f>
        <x:v>75.6</x:v>
      </x:c>
      <x:c r="AR847" s="37" t="n">
        <x:f>ROUND((AI847*0.20+AJ847*0.15+AN847*0.18+AG847*0.12+Z847*0.15+AQ847*0.20),1)</x:f>
        <x:v>89</x:v>
      </x:c>
      <x:c r="AS847" s="39" t="n">
        <x:f>ROUND((AC847*AF847*120)+(AH847*350)+(MAX(0,AI847-75)*220)+(MAX(0,AQ847-60)*100),0)</x:f>
        <x:v>29580</x:v>
      </x:c>
    </x:row>
    <x:row r="848">
      <x:c r="A848" s="35" t="n">
        <x:v>847</x:v>
      </x:c>
      <x:c r="B848" s="35" t="n">
        <x:v>30</x:v>
      </x:c>
      <x:c r="C848" s="35" t="str">
        <x:v>Male</x:v>
      </x:c>
      <x:c r="D848" s="35" t="str">
        <x:v>Sales</x:v>
      </x:c>
      <x:c r="E848" s="35" t="str">
        <x:v>Sales Executive</x:v>
      </x:c>
      <x:c r="F848" s="35" t="str">
        <x:v>Life Sciences</x:v>
      </x:c>
      <x:c r="G848" s="35" t="str">
        <x:v>Divorced</x:v>
      </x:c>
      <x:c r="H848" s="35" t="n">
        <x:v>1</x:v>
      </x:c>
      <x:c r="I848" s="36" t="n">
        <x:v>6720</x:v>
      </x:c>
      <x:c r="J848" s="35" t="n">
        <x:v>5</x:v>
      </x:c>
      <x:c r="K848" s="35" t="n">
        <x:v>3</x:v>
      </x:c>
      <x:c r="L848" s="35" t="n">
        <x:v>2</x:v>
      </x:c>
      <x:c r="M848" s="35" t="n">
        <x:v>10</x:v>
      </x:c>
      <x:c r="N848" s="35" t="str">
        <x:v>No</x:v>
      </x:c>
      <x:c r="O848" s="35" t="n">
        <x:v>3</x:v>
      </x:c>
      <x:c r="P848" s="35" t="n">
        <x:v>2</x:v>
      </x:c>
      <x:c r="Q848" s="35" t="n">
        <x:v>2</x:v>
      </x:c>
      <x:c r="R848" s="35" t="n">
        <x:v>3</x:v>
      </x:c>
      <x:c r="S848" s="35" t="n">
        <x:v>4</x:v>
      </x:c>
      <x:c r="T848" s="35" t="n">
        <x:v>5</x:v>
      </x:c>
      <x:c r="U848" s="35" t="n">
        <x:v>0</x:v>
      </x:c>
      <x:c r="V848" s="35" t="n">
        <x:v>6</x:v>
      </x:c>
      <x:c r="W848" s="35" t="n">
        <x:v>1</x:v>
      </x:c>
      <x:c r="X848" s="35" t="n">
        <x:v>35</x:v>
      </x:c>
      <x:c r="Y848" s="35" t="n">
        <x:v>5</x:v>
      </x:c>
      <x:c r="Z848" s="35" t="n">
        <x:v>100</x:v>
      </x:c>
      <x:c r="AA848" s="35" t="n">
        <x:v>8</x:v>
      </x:c>
      <x:c r="AB848" s="35" t="n">
        <x:v>6</x:v>
      </x:c>
      <x:c r="AC848" s="35" t="n">
        <x:v>5</x:v>
      </x:c>
      <x:c r="AD848" s="35" t="n">
        <x:v>89</x:v>
      </x:c>
      <x:c r="AE848" s="35" t="n">
        <x:v>79</x:v>
      </x:c>
      <x:c r="AF848" s="35" t="n">
        <x:v>64</x:v>
      </x:c>
      <x:c r="AG848" s="35" t="n">
        <x:v>82</x:v>
      </x:c>
      <x:c r="AH848" s="35" t="n">
        <x:v>11</x:v>
      </x:c>
      <x:c r="AI848" s="37" t="n">
        <x:v>100</x:v>
      </x:c>
      <x:c r="AJ848" s="37" t="n">
        <x:v>100</x:v>
      </x:c>
      <x:c r="AK848" s="35" t="str">
        <x:v>No</x:v>
      </x:c>
      <x:c r="AL848" s="38" t="n">
        <x:f>IF(AA848=0,0,AB848/AA848)</x:f>
        <x:v>0.75</x:v>
      </x:c>
      <x:c r="AM848" s="38" t="n">
        <x:f>IF(AB848=0,0,AC848/AB848)</x:f>
        <x:v>0.8333333333333334</x:v>
      </x:c>
      <x:c r="AN848" s="37" t="n">
        <x:f>ROUND((AD848*0.20+AE848*0.20+AF848*0.25+AG848*0.15+MIN(100,AC848*12)*0.20),1)</x:f>
        <x:v>73.9</x:v>
      </x:c>
      <x:c r="AO848" s="37" t="n">
        <x:f>ROUND(MAX(0,MIN(100,(X848*0.35)+(W848/45*100*0.20)+((5-O848)/4*100*0.15)+((5-P848)/4*100*0.10)+((6-Y848)/5*100*0.10)+((100-Z848)*0.10))),1)</x:f>
        <x:v>29.7</x:v>
      </x:c>
      <x:c r="AP848" s="37" t="str">
        <x:f>IF(AO848&gt;=70,"High",IF(AO848&gt;=40,"Moderate","Low"))</x:f>
        <x:v>Low</x:v>
      </x:c>
      <x:c r="AQ848" s="37" t="n">
        <x:f>ROUND(MAX(0,MIN(100,(O848/4*100*0.25)+(P848/4*100*0.20)+(Q848/4*100*0.15)+(Y848/5*100*0.20)+(100-AO848)*0.20)),1)</x:f>
        <x:v>70.3</x:v>
      </x:c>
      <x:c r="AR848" s="37" t="n">
        <x:f>ROUND((AI848*0.20+AJ848*0.15+AN848*0.18+AG848*0.12+Z848*0.15+AQ848*0.20),1)</x:f>
        <x:v>87.2</x:v>
      </x:c>
      <x:c r="AS848" s="39" t="n">
        <x:f>ROUND((AC848*AF848*120)+(AH848*350)+(MAX(0,AI848-75)*220)+(MAX(0,AQ848-60)*100),0)</x:f>
        <x:v>48780</x:v>
      </x:c>
    </x:row>
    <x:row r="849">
      <x:c r="A849" s="35" t="n">
        <x:v>848</x:v>
      </x:c>
      <x:c r="B849" s="35" t="n">
        <x:v>26</x:v>
      </x:c>
      <x:c r="C849" s="35" t="str">
        <x:v>Male</x:v>
      </x:c>
      <x:c r="D849" s="35" t="str">
        <x:v>Finance</x:v>
      </x:c>
      <x:c r="E849" s="35" t="str">
        <x:v>Finance Manager</x:v>
      </x:c>
      <x:c r="F849" s="35" t="str">
        <x:v>Human Resources</x:v>
      </x:c>
      <x:c r="G849" s="35" t="str">
        <x:v>Married</x:v>
      </x:c>
      <x:c r="H849" s="35" t="n">
        <x:v>1</x:v>
      </x:c>
      <x:c r="I849" s="36" t="n">
        <x:v>6450</x:v>
      </x:c>
      <x:c r="J849" s="35" t="n">
        <x:v>3</x:v>
      </x:c>
      <x:c r="K849" s="35" t="n">
        <x:v>2</x:v>
      </x:c>
      <x:c r="L849" s="35" t="n">
        <x:v>1</x:v>
      </x:c>
      <x:c r="M849" s="35" t="n">
        <x:v>10</x:v>
      </x:c>
      <x:c r="N849" s="35" t="str">
        <x:v>Yes</x:v>
      </x:c>
      <x:c r="O849" s="35" t="n">
        <x:v>2</x:v>
      </x:c>
      <x:c r="P849" s="35" t="n">
        <x:v>3</x:v>
      </x:c>
      <x:c r="Q849" s="35" t="n">
        <x:v>3</x:v>
      </x:c>
      <x:c r="R849" s="35" t="n">
        <x:v>2</x:v>
      </x:c>
      <x:c r="S849" s="35" t="n">
        <x:v>3</x:v>
      </x:c>
      <x:c r="T849" s="35" t="n">
        <x:v>4</x:v>
      </x:c>
      <x:c r="U849" s="35" t="n">
        <x:v>2</x:v>
      </x:c>
      <x:c r="V849" s="35" t="n">
        <x:v>7</x:v>
      </x:c>
      <x:c r="W849" s="35" t="n">
        <x:v>21</x:v>
      </x:c>
      <x:c r="X849" s="35" t="n">
        <x:v>43</x:v>
      </x:c>
      <x:c r="Y849" s="35" t="n">
        <x:v>4</x:v>
      </x:c>
      <x:c r="Z849" s="35" t="n">
        <x:v>87</x:v>
      </x:c>
      <x:c r="AA849" s="35" t="n">
        <x:v>1</x:v>
      </x:c>
      <x:c r="AB849" s="35" t="n">
        <x:v>1</x:v>
      </x:c>
      <x:c r="AC849" s="35" t="n">
        <x:v>1</x:v>
      </x:c>
      <x:c r="AD849" s="35" t="n">
        <x:v>62</x:v>
      </x:c>
      <x:c r="AE849" s="35" t="n">
        <x:v>60</x:v>
      </x:c>
      <x:c r="AF849" s="35" t="n">
        <x:v>67</x:v>
      </x:c>
      <x:c r="AG849" s="35" t="n">
        <x:v>100</x:v>
      </x:c>
      <x:c r="AH849" s="35" t="n">
        <x:v>3</x:v>
      </x:c>
      <x:c r="AI849" s="37" t="n">
        <x:v>100</x:v>
      </x:c>
      <x:c r="AJ849" s="37" t="n">
        <x:v>89.1</x:v>
      </x:c>
      <x:c r="AK849" s="35" t="str">
        <x:v>No</x:v>
      </x:c>
      <x:c r="AL849" s="38" t="n">
        <x:f>IF(AA849=0,0,AB849/AA849)</x:f>
        <x:v>1</x:v>
      </x:c>
      <x:c r="AM849" s="38" t="n">
        <x:f>IF(AB849=0,0,AC849/AB849)</x:f>
        <x:v>1</x:v>
      </x:c>
      <x:c r="AN849" s="37" t="n">
        <x:f>ROUND((AD849*0.20+AE849*0.20+AF849*0.25+AG849*0.15+MIN(100,AC849*12)*0.20),1)</x:f>
        <x:v>58.6</x:v>
      </x:c>
      <x:c r="AO849" s="37" t="n">
        <x:f>ROUND(MAX(0,MIN(100,(X849*0.35)+(W849/45*100*0.20)+((5-O849)/4*100*0.15)+((5-P849)/4*100*0.10)+((6-Y849)/5*100*0.10)+((100-Z849)*0.10))),1)</x:f>
        <x:v>45.9</x:v>
      </x:c>
      <x:c r="AP849" s="37" t="str">
        <x:f>IF(AO849&gt;=70,"High",IF(AO849&gt;=40,"Moderate","Low"))</x:f>
        <x:v>Moderate</x:v>
      </x:c>
      <x:c r="AQ849" s="37" t="n">
        <x:f>ROUND(MAX(0,MIN(100,(O849/4*100*0.25)+(P849/4*100*0.20)+(Q849/4*100*0.15)+(Y849/5*100*0.20)+(100-AO849)*0.20)),1)</x:f>
        <x:v>65.6</x:v>
      </x:c>
      <x:c r="AR849" s="37" t="n">
        <x:f>ROUND((AI849*0.20+AJ849*0.15+AN849*0.18+AG849*0.12+Z849*0.15+AQ849*0.20),1)</x:f>
        <x:v>82.1</x:v>
      </x:c>
      <x:c r="AS849" s="39" t="n">
        <x:f>ROUND((AC849*AF849*120)+(AH849*350)+(MAX(0,AI849-75)*220)+(MAX(0,AQ849-60)*100),0)</x:f>
        <x:v>15150</x:v>
      </x:c>
    </x:row>
    <x:row r="850">
      <x:c r="A850" s="35" t="n">
        <x:v>849</x:v>
      </x:c>
      <x:c r="B850" s="35" t="n">
        <x:v>31</x:v>
      </x:c>
      <x:c r="C850" s="35" t="str">
        <x:v>Female</x:v>
      </x:c>
      <x:c r="D850" s="35" t="str">
        <x:v>Research &amp; Development</x:v>
      </x:c>
      <x:c r="E850" s="35" t="str">
        <x:v>Research Scientist</x:v>
      </x:c>
      <x:c r="F850" s="35" t="str">
        <x:v>Medical</x:v>
      </x:c>
      <x:c r="G850" s="35" t="str">
        <x:v>Single</x:v>
      </x:c>
      <x:c r="H850" s="35" t="n">
        <x:v>1</x:v>
      </x:c>
      <x:c r="I850" s="36" t="n">
        <x:v>5830</x:v>
      </x:c>
      <x:c r="J850" s="35" t="n">
        <x:v>5</x:v>
      </x:c>
      <x:c r="K850" s="35" t="n">
        <x:v>3</x:v>
      </x:c>
      <x:c r="L850" s="35" t="n">
        <x:v>2</x:v>
      </x:c>
      <x:c r="M850" s="35" t="n">
        <x:v>4</x:v>
      </x:c>
      <x:c r="N850" s="35" t="str">
        <x:v>No</x:v>
      </x:c>
      <x:c r="O850" s="35" t="n">
        <x:v>1</x:v>
      </x:c>
      <x:c r="P850" s="35" t="n">
        <x:v>3</x:v>
      </x:c>
      <x:c r="Q850" s="35" t="n">
        <x:v>2</x:v>
      </x:c>
      <x:c r="R850" s="35" t="n">
        <x:v>2</x:v>
      </x:c>
      <x:c r="S850" s="35" t="n">
        <x:v>4</x:v>
      </x:c>
      <x:c r="T850" s="35" t="n">
        <x:v>4</x:v>
      </x:c>
      <x:c r="U850" s="35" t="n">
        <x:v>0</x:v>
      </x:c>
      <x:c r="V850" s="35" t="n">
        <x:v>1</x:v>
      </x:c>
      <x:c r="W850" s="35" t="n">
        <x:v>3</x:v>
      </x:c>
      <x:c r="X850" s="35" t="n">
        <x:v>40</x:v>
      </x:c>
      <x:c r="Y850" s="35" t="n">
        <x:v>5</x:v>
      </x:c>
      <x:c r="Z850" s="35" t="n">
        <x:v>100</x:v>
      </x:c>
      <x:c r="AA850" s="35" t="n">
        <x:v>4</x:v>
      </x:c>
      <x:c r="AB850" s="35" t="n">
        <x:v>2</x:v>
      </x:c>
      <x:c r="AC850" s="35" t="n">
        <x:v>2</x:v>
      </x:c>
      <x:c r="AD850" s="35" t="n">
        <x:v>68</x:v>
      </x:c>
      <x:c r="AE850" s="35" t="n">
        <x:v>75</x:v>
      </x:c>
      <x:c r="AF850" s="35" t="n">
        <x:v>58</x:v>
      </x:c>
      <x:c r="AG850" s="35" t="n">
        <x:v>79</x:v>
      </x:c>
      <x:c r="AH850" s="35" t="n">
        <x:v>9</x:v>
      </x:c>
      <x:c r="AI850" s="37" t="n">
        <x:v>100</x:v>
      </x:c>
      <x:c r="AJ850" s="37" t="n">
        <x:v>96.9</x:v>
      </x:c>
      <x:c r="AK850" s="35" t="str">
        <x:v>No</x:v>
      </x:c>
      <x:c r="AL850" s="38" t="n">
        <x:f>IF(AA850=0,0,AB850/AA850)</x:f>
        <x:v>0.5</x:v>
      </x:c>
      <x:c r="AM850" s="38" t="n">
        <x:f>IF(AB850=0,0,AC850/AB850)</x:f>
        <x:v>1</x:v>
      </x:c>
      <x:c r="AN850" s="37" t="n">
        <x:f>ROUND((AD850*0.20+AE850*0.20+AF850*0.25+AG850*0.15+MIN(100,AC850*12)*0.20),1)</x:f>
        <x:v>59.8</x:v>
      </x:c>
      <x:c r="AO850" s="37" t="n">
        <x:f>ROUND(MAX(0,MIN(100,(X850*0.35)+(W850/45*100*0.20)+((5-O850)/4*100*0.15)+((5-P850)/4*100*0.10)+((6-Y850)/5*100*0.10)+((100-Z850)*0.10))),1)</x:f>
        <x:v>37.3</x:v>
      </x:c>
      <x:c r="AP850" s="37" t="str">
        <x:f>IF(AO850&gt;=70,"High",IF(AO850&gt;=40,"Moderate","Low"))</x:f>
        <x:v>Low</x:v>
      </x:c>
      <x:c r="AQ850" s="37" t="n">
        <x:f>ROUND(MAX(0,MIN(100,(O850/4*100*0.25)+(P850/4*100*0.20)+(Q850/4*100*0.15)+(Y850/5*100*0.20)+(100-AO850)*0.20)),1)</x:f>
        <x:v>61.3</x:v>
      </x:c>
      <x:c r="AR850" s="37" t="n">
        <x:f>ROUND((AI850*0.20+AJ850*0.15+AN850*0.18+AG850*0.12+Z850*0.15+AQ850*0.20),1)</x:f>
        <x:v>82</x:v>
      </x:c>
      <x:c r="AS850" s="39" t="n">
        <x:f>ROUND((AC850*AF850*120)+(AH850*350)+(MAX(0,AI850-75)*220)+(MAX(0,AQ850-60)*100),0)</x:f>
        <x:v>22700</x:v>
      </x:c>
    </x:row>
    <x:row r="851">
      <x:c r="A851" s="35" t="n">
        <x:v>850</x:v>
      </x:c>
      <x:c r="B851" s="35" t="n">
        <x:v>41</x:v>
      </x:c>
      <x:c r="C851" s="35" t="str">
        <x:v>Female</x:v>
      </x:c>
      <x:c r="D851" s="35" t="str">
        <x:v>Human Resources</x:v>
      </x:c>
      <x:c r="E851" s="35" t="str">
        <x:v>HR Specialist</x:v>
      </x:c>
      <x:c r="F851" s="35" t="str">
        <x:v>Technical Degree</x:v>
      </x:c>
      <x:c r="G851" s="35" t="str">
        <x:v>Married</x:v>
      </x:c>
      <x:c r="H851" s="35" t="n">
        <x:v>2</x:v>
      </x:c>
      <x:c r="I851" s="36" t="n">
        <x:v>8080</x:v>
      </x:c>
      <x:c r="J851" s="35" t="n">
        <x:v>13</x:v>
      </x:c>
      <x:c r="K851" s="35" t="n">
        <x:v>4</x:v>
      </x:c>
      <x:c r="L851" s="35" t="n">
        <x:v>1</x:v>
      </x:c>
      <x:c r="M851" s="35" t="n">
        <x:v>12</x:v>
      </x:c>
      <x:c r="N851" s="35" t="str">
        <x:v>No</x:v>
      </x:c>
      <x:c r="O851" s="35" t="n">
        <x:v>2</x:v>
      </x:c>
      <x:c r="P851" s="35" t="n">
        <x:v>2</x:v>
      </x:c>
      <x:c r="Q851" s="35" t="n">
        <x:v>3</x:v>
      </x:c>
      <x:c r="R851" s="35" t="n">
        <x:v>2</x:v>
      </x:c>
      <x:c r="S851" s="35" t="n">
        <x:v>3</x:v>
      </x:c>
      <x:c r="T851" s="35" t="n">
        <x:v>4</x:v>
      </x:c>
      <x:c r="U851" s="35" t="n">
        <x:v>0</x:v>
      </x:c>
      <x:c r="V851" s="35" t="n">
        <x:v>16</x:v>
      </x:c>
      <x:c r="W851" s="35" t="n">
        <x:v>13</x:v>
      </x:c>
      <x:c r="X851" s="35" t="n">
        <x:v>88</x:v>
      </x:c>
      <x:c r="Y851" s="35" t="n">
        <x:v>5</x:v>
      </x:c>
      <x:c r="Z851" s="35" t="n">
        <x:v>80</x:v>
      </x:c>
      <x:c r="AA851" s="35" t="n">
        <x:v>5</x:v>
      </x:c>
      <x:c r="AB851" s="35" t="n">
        <x:v>5</x:v>
      </x:c>
      <x:c r="AC851" s="35" t="n">
        <x:v>5</x:v>
      </x:c>
      <x:c r="AD851" s="35" t="n">
        <x:v>85</x:v>
      </x:c>
      <x:c r="AE851" s="35" t="n">
        <x:v>71</x:v>
      </x:c>
      <x:c r="AF851" s="35" t="n">
        <x:v>83</x:v>
      </x:c>
      <x:c r="AG851" s="35" t="n">
        <x:v>67</x:v>
      </x:c>
      <x:c r="AH851" s="35" t="n">
        <x:v>5</x:v>
      </x:c>
      <x:c r="AI851" s="37" t="n">
        <x:v>100</x:v>
      </x:c>
      <x:c r="AJ851" s="37" t="n">
        <x:v>86.1</x:v>
      </x:c>
      <x:c r="AK851" s="35" t="str">
        <x:v>No</x:v>
      </x:c>
      <x:c r="AL851" s="38" t="n">
        <x:f>IF(AA851=0,0,AB851/AA851)</x:f>
        <x:v>1</x:v>
      </x:c>
      <x:c r="AM851" s="38" t="n">
        <x:f>IF(AB851=0,0,AC851/AB851)</x:f>
        <x:v>1</x:v>
      </x:c>
      <x:c r="AN851" s="37" t="n">
        <x:f>ROUND((AD851*0.20+AE851*0.20+AF851*0.25+AG851*0.15+MIN(100,AC851*12)*0.20),1)</x:f>
        <x:v>74</x:v>
      </x:c>
      <x:c r="AO851" s="37" t="n">
        <x:f>ROUND(MAX(0,MIN(100,(X851*0.35)+(W851/45*100*0.20)+((5-O851)/4*100*0.15)+((5-P851)/4*100*0.10)+((6-Y851)/5*100*0.10)+((100-Z851)*0.10))),1)</x:f>
        <x:v>59.3</x:v>
      </x:c>
      <x:c r="AP851" s="37" t="str">
        <x:f>IF(AO851&gt;=70,"High",IF(AO851&gt;=40,"Moderate","Low"))</x:f>
        <x:v>Moderate</x:v>
      </x:c>
      <x:c r="AQ851" s="37" t="n">
        <x:f>ROUND(MAX(0,MIN(100,(O851/4*100*0.25)+(P851/4*100*0.20)+(Q851/4*100*0.15)+(Y851/5*100*0.20)+(100-AO851)*0.20)),1)</x:f>
        <x:v>61.9</x:v>
      </x:c>
      <x:c r="AR851" s="37" t="n">
        <x:f>ROUND((AI851*0.20+AJ851*0.15+AN851*0.18+AG851*0.12+Z851*0.15+AQ851*0.20),1)</x:f>
        <x:v>78.7</x:v>
      </x:c>
      <x:c r="AS851" s="39" t="n">
        <x:f>ROUND((AC851*AF851*120)+(AH851*350)+(MAX(0,AI851-75)*220)+(MAX(0,AQ851-60)*100),0)</x:f>
        <x:v>57240</x:v>
      </x:c>
    </x:row>
    <x:row r="852">
      <x:c r="A852" s="35" t="n">
        <x:v>851</x:v>
      </x:c>
      <x:c r="B852" s="35" t="n">
        <x:v>45</x:v>
      </x:c>
      <x:c r="C852" s="35" t="str">
        <x:v>Male</x:v>
      </x:c>
      <x:c r="D852" s="35" t="str">
        <x:v>Sales</x:v>
      </x:c>
      <x:c r="E852" s="35" t="str">
        <x:v>Sales Representative</x:v>
      </x:c>
      <x:c r="F852" s="35" t="str">
        <x:v>Life Sciences</x:v>
      </x:c>
      <x:c r="G852" s="35" t="str">
        <x:v>Divorced</x:v>
      </x:c>
      <x:c r="H852" s="35" t="n">
        <x:v>3</x:v>
      </x:c>
      <x:c r="I852" s="36" t="n">
        <x:v>10480</x:v>
      </x:c>
      <x:c r="J852" s="35" t="n">
        <x:v>16</x:v>
      </x:c>
      <x:c r="K852" s="35" t="n">
        <x:v>6</x:v>
      </x:c>
      <x:c r="L852" s="35" t="n">
        <x:v>5</x:v>
      </x:c>
      <x:c r="M852" s="35" t="n">
        <x:v>24</x:v>
      </x:c>
      <x:c r="N852" s="35" t="str">
        <x:v>Yes</x:v>
      </x:c>
      <x:c r="O852" s="35" t="n">
        <x:v>3</x:v>
      </x:c>
      <x:c r="P852" s="35" t="n">
        <x:v>3</x:v>
      </x:c>
      <x:c r="Q852" s="35" t="n">
        <x:v>3</x:v>
      </x:c>
      <x:c r="R852" s="35" t="n">
        <x:v>4</x:v>
      </x:c>
      <x:c r="S852" s="35" t="n">
        <x:v>3</x:v>
      </x:c>
      <x:c r="T852" s="35" t="n">
        <x:v>5</x:v>
      </x:c>
      <x:c r="U852" s="35" t="n">
        <x:v>1</x:v>
      </x:c>
      <x:c r="V852" s="35" t="n">
        <x:v>7</x:v>
      </x:c>
      <x:c r="W852" s="35" t="n">
        <x:v>15</x:v>
      </x:c>
      <x:c r="X852" s="35" t="n">
        <x:v>69</x:v>
      </x:c>
      <x:c r="Y852" s="35" t="n">
        <x:v>4</x:v>
      </x:c>
      <x:c r="Z852" s="35" t="n">
        <x:v>100</x:v>
      </x:c>
      <x:c r="AA852" s="35" t="n">
        <x:v>3</x:v>
      </x:c>
      <x:c r="AB852" s="35" t="n">
        <x:v>2</x:v>
      </x:c>
      <x:c r="AC852" s="35" t="n">
        <x:v>1</x:v>
      </x:c>
      <x:c r="AD852" s="35" t="n">
        <x:v>69</x:v>
      </x:c>
      <x:c r="AE852" s="35" t="n">
        <x:v>68</x:v>
      </x:c>
      <x:c r="AF852" s="35" t="n">
        <x:v>69</x:v>
      </x:c>
      <x:c r="AG852" s="35" t="n">
        <x:v>100</x:v>
      </x:c>
      <x:c r="AH852" s="35" t="n">
        <x:v>6</x:v>
      </x:c>
      <x:c r="AI852" s="37" t="n">
        <x:v>92.8</x:v>
      </x:c>
      <x:c r="AJ852" s="37" t="n">
        <x:v>95</x:v>
      </x:c>
      <x:c r="AK852" s="35" t="str">
        <x:v>No</x:v>
      </x:c>
      <x:c r="AL852" s="38" t="n">
        <x:f>IF(AA852=0,0,AB852/AA852)</x:f>
        <x:v>0.6666666666666666</x:v>
      </x:c>
      <x:c r="AM852" s="38" t="n">
        <x:f>IF(AB852=0,0,AC852/AB852)</x:f>
        <x:v>0.5</x:v>
      </x:c>
      <x:c r="AN852" s="37" t="n">
        <x:f>ROUND((AD852*0.20+AE852*0.20+AF852*0.25+AG852*0.15+MIN(100,AC852*12)*0.20),1)</x:f>
        <x:v>62.1</x:v>
      </x:c>
      <x:c r="AO852" s="37" t="n">
        <x:f>ROUND(MAX(0,MIN(100,(X852*0.35)+(W852/45*100*0.20)+((5-O852)/4*100*0.15)+((5-P852)/4*100*0.10)+((6-Y852)/5*100*0.10)+((100-Z852)*0.10))),1)</x:f>
        <x:v>47.3</x:v>
      </x:c>
      <x:c r="AP852" s="37" t="str">
        <x:f>IF(AO852&gt;=70,"High",IF(AO852&gt;=40,"Moderate","Low"))</x:f>
        <x:v>Moderate</x:v>
      </x:c>
      <x:c r="AQ852" s="37" t="n">
        <x:f>ROUND(MAX(0,MIN(100,(O852/4*100*0.25)+(P852/4*100*0.20)+(Q852/4*100*0.15)+(Y852/5*100*0.20)+(100-AO852)*0.20)),1)</x:f>
        <x:v>71.5</x:v>
      </x:c>
      <x:c r="AR852" s="37" t="n">
        <x:f>ROUND((AI852*0.20+AJ852*0.15+AN852*0.18+AG852*0.12+Z852*0.15+AQ852*0.20),1)</x:f>
        <x:v>85.3</x:v>
      </x:c>
      <x:c r="AS852" s="39" t="n">
        <x:f>ROUND((AC852*AF852*120)+(AH852*350)+(MAX(0,AI852-75)*220)+(MAX(0,AQ852-60)*100),0)</x:f>
        <x:v>15446</x:v>
      </x:c>
    </x:row>
    <x:row r="853">
      <x:c r="A853" s="35" t="n">
        <x:v>852</x:v>
      </x:c>
      <x:c r="B853" s="35" t="n">
        <x:v>48</x:v>
      </x:c>
      <x:c r="C853" s="35" t="str">
        <x:v>Male</x:v>
      </x:c>
      <x:c r="D853" s="35" t="str">
        <x:v>Human Resources</x:v>
      </x:c>
      <x:c r="E853" s="35" t="str">
        <x:v>Talent Development Specialist</x:v>
      </x:c>
      <x:c r="F853" s="35" t="str">
        <x:v>Marketing</x:v>
      </x:c>
      <x:c r="G853" s="35" t="str">
        <x:v>Married</x:v>
      </x:c>
      <x:c r="H853" s="35" t="n">
        <x:v>3</x:v>
      </x:c>
      <x:c r="I853" s="36" t="n">
        <x:v>11730</x:v>
      </x:c>
      <x:c r="J853" s="35" t="n">
        <x:v>19</x:v>
      </x:c>
      <x:c r="K853" s="35" t="n">
        <x:v>8</x:v>
      </x:c>
      <x:c r="L853" s="35" t="n">
        <x:v>6</x:v>
      </x:c>
      <x:c r="M853" s="35" t="n">
        <x:v>2</x:v>
      </x:c>
      <x:c r="N853" s="35" t="str">
        <x:v>No</x:v>
      </x:c>
      <x:c r="O853" s="35" t="n">
        <x:v>2</x:v>
      </x:c>
      <x:c r="P853" s="35" t="n">
        <x:v>2</x:v>
      </x:c>
      <x:c r="Q853" s="35" t="n">
        <x:v>2</x:v>
      </x:c>
      <x:c r="R853" s="35" t="n">
        <x:v>3</x:v>
      </x:c>
      <x:c r="S853" s="35" t="n">
        <x:v>3</x:v>
      </x:c>
      <x:c r="T853" s="35" t="n">
        <x:v>4</x:v>
      </x:c>
      <x:c r="U853" s="35" t="n">
        <x:v>0</x:v>
      </x:c>
      <x:c r="V853" s="35" t="n">
        <x:v>0</x:v>
      </x:c>
      <x:c r="W853" s="35" t="n">
        <x:v>0</x:v>
      </x:c>
      <x:c r="X853" s="35" t="n">
        <x:v>81</x:v>
      </x:c>
      <x:c r="Y853" s="35" t="n">
        <x:v>4</x:v>
      </x:c>
      <x:c r="Z853" s="35" t="n">
        <x:v>96</x:v>
      </x:c>
      <x:c r="AA853" s="35" t="n">
        <x:v>5</x:v>
      </x:c>
      <x:c r="AB853" s="35" t="n">
        <x:v>4</x:v>
      </x:c>
      <x:c r="AC853" s="35" t="n">
        <x:v>2</x:v>
      </x:c>
      <x:c r="AD853" s="35" t="n">
        <x:v>63</x:v>
      </x:c>
      <x:c r="AE853" s="35" t="n">
        <x:v>85</x:v>
      </x:c>
      <x:c r="AF853" s="35" t="n">
        <x:v>89</x:v>
      </x:c>
      <x:c r="AG853" s="35" t="n">
        <x:v>90</x:v>
      </x:c>
      <x:c r="AH853" s="35" t="n">
        <x:v>6</x:v>
      </x:c>
      <x:c r="AI853" s="37" t="n">
        <x:v>100</x:v>
      </x:c>
      <x:c r="AJ853" s="37" t="n">
        <x:v>96.8</x:v>
      </x:c>
      <x:c r="AK853" s="35" t="str">
        <x:v>Yes</x:v>
      </x:c>
      <x:c r="AL853" s="38" t="n">
        <x:f>IF(AA853=0,0,AB853/AA853)</x:f>
        <x:v>0.8</x:v>
      </x:c>
      <x:c r="AM853" s="38" t="n">
        <x:f>IF(AB853=0,0,AC853/AB853)</x:f>
        <x:v>0.5</x:v>
      </x:c>
      <x:c r="AN853" s="37" t="n">
        <x:f>ROUND((AD853*0.20+AE853*0.20+AF853*0.25+AG853*0.15+MIN(100,AC853*12)*0.20),1)</x:f>
        <x:v>70.1</x:v>
      </x:c>
      <x:c r="AO853" s="37" t="n">
        <x:f>ROUND(MAX(0,MIN(100,(X853*0.35)+(W853/45*100*0.20)+((5-O853)/4*100*0.15)+((5-P853)/4*100*0.10)+((6-Y853)/5*100*0.10)+((100-Z853)*0.10))),1)</x:f>
        <x:v>51.5</x:v>
      </x:c>
      <x:c r="AP853" s="37" t="str">
        <x:f>IF(AO853&gt;=70,"High",IF(AO853&gt;=40,"Moderate","Low"))</x:f>
        <x:v>Moderate</x:v>
      </x:c>
      <x:c r="AQ853" s="37" t="n">
        <x:f>ROUND(MAX(0,MIN(100,(O853/4*100*0.25)+(P853/4*100*0.20)+(Q853/4*100*0.15)+(Y853/5*100*0.20)+(100-AO853)*0.20)),1)</x:f>
        <x:v>55.7</x:v>
      </x:c>
      <x:c r="AR853" s="37" t="n">
        <x:f>ROUND((AI853*0.20+AJ853*0.15+AN853*0.18+AG853*0.12+Z853*0.15+AQ853*0.20),1)</x:f>
        <x:v>83.5</x:v>
      </x:c>
      <x:c r="AS853" s="39" t="n">
        <x:f>ROUND((AC853*AF853*120)+(AH853*350)+(MAX(0,AI853-75)*220)+(MAX(0,AQ853-60)*100),0)</x:f>
        <x:v>28960</x:v>
      </x:c>
    </x:row>
    <x:row r="854">
      <x:c r="A854" s="35" t="n">
        <x:v>853</x:v>
      </x:c>
      <x:c r="B854" s="35" t="n">
        <x:v>42</x:v>
      </x:c>
      <x:c r="C854" s="35" t="str">
        <x:v>Male</x:v>
      </x:c>
      <x:c r="D854" s="35" t="str">
        <x:v>Sales</x:v>
      </x:c>
      <x:c r="E854" s="35" t="str">
        <x:v>Account Manager</x:v>
      </x:c>
      <x:c r="F854" s="35" t="str">
        <x:v>Technical Degree</x:v>
      </x:c>
      <x:c r="G854" s="35" t="str">
        <x:v>Married</x:v>
      </x:c>
      <x:c r="H854" s="35" t="n">
        <x:v>3</x:v>
      </x:c>
      <x:c r="I854" s="36" t="n">
        <x:v>11480</x:v>
      </x:c>
      <x:c r="J854" s="35" t="n">
        <x:v>14</x:v>
      </x:c>
      <x:c r="K854" s="35" t="n">
        <x:v>11</x:v>
      </x:c>
      <x:c r="L854" s="35" t="n">
        <x:v>8</x:v>
      </x:c>
      <x:c r="M854" s="35" t="n">
        <x:v>8</x:v>
      </x:c>
      <x:c r="N854" s="35" t="str">
        <x:v>No</x:v>
      </x:c>
      <x:c r="O854" s="35" t="n">
        <x:v>3</x:v>
      </x:c>
      <x:c r="P854" s="35" t="n">
        <x:v>4</x:v>
      </x:c>
      <x:c r="Q854" s="35" t="n">
        <x:v>3</x:v>
      </x:c>
      <x:c r="R854" s="35" t="n">
        <x:v>3</x:v>
      </x:c>
      <x:c r="S854" s="35" t="n">
        <x:v>3</x:v>
      </x:c>
      <x:c r="T854" s="35" t="n">
        <x:v>2</x:v>
      </x:c>
      <x:c r="U854" s="35" t="n">
        <x:v>0</x:v>
      </x:c>
      <x:c r="V854" s="35" t="n">
        <x:v>7</x:v>
      </x:c>
      <x:c r="W854" s="35" t="n">
        <x:v>4</x:v>
      </x:c>
      <x:c r="X854" s="35" t="n">
        <x:v>72</x:v>
      </x:c>
      <x:c r="Y854" s="35" t="n">
        <x:v>5</x:v>
      </x:c>
      <x:c r="Z854" s="35" t="n">
        <x:v>100</x:v>
      </x:c>
      <x:c r="AA854" s="35" t="n">
        <x:v>4</x:v>
      </x:c>
      <x:c r="AB854" s="35" t="n">
        <x:v>4</x:v>
      </x:c>
      <x:c r="AC854" s="35" t="n">
        <x:v>3</x:v>
      </x:c>
      <x:c r="AD854" s="35" t="n">
        <x:v>74</x:v>
      </x:c>
      <x:c r="AE854" s="35" t="n">
        <x:v>68</x:v>
      </x:c>
      <x:c r="AF854" s="35" t="n">
        <x:v>58</x:v>
      </x:c>
      <x:c r="AG854" s="35" t="n">
        <x:v>95</x:v>
      </x:c>
      <x:c r="AH854" s="35" t="n">
        <x:v>8</x:v>
      </x:c>
      <x:c r="AI854" s="37" t="n">
        <x:v>100</x:v>
      </x:c>
      <x:c r="AJ854" s="37" t="n">
        <x:v>94.5</x:v>
      </x:c>
      <x:c r="AK854" s="35" t="str">
        <x:v>No</x:v>
      </x:c>
      <x:c r="AL854" s="38" t="n">
        <x:f>IF(AA854=0,0,AB854/AA854)</x:f>
        <x:v>1</x:v>
      </x:c>
      <x:c r="AM854" s="38" t="n">
        <x:f>IF(AB854=0,0,AC854/AB854)</x:f>
        <x:v>0.75</x:v>
      </x:c>
      <x:c r="AN854" s="37" t="n">
        <x:f>ROUND((AD854*0.20+AE854*0.20+AF854*0.25+AG854*0.15+MIN(100,AC854*12)*0.20),1)</x:f>
        <x:v>64.4</x:v>
      </x:c>
      <x:c r="AO854" s="37" t="n">
        <x:f>ROUND(MAX(0,MIN(100,(X854*0.35)+(W854/45*100*0.20)+((5-O854)/4*100*0.15)+((5-P854)/4*100*0.10)+((6-Y854)/5*100*0.10)+((100-Z854)*0.10))),1)</x:f>
        <x:v>39</x:v>
      </x:c>
      <x:c r="AP854" s="37" t="str">
        <x:f>IF(AO854&gt;=70,"High",IF(AO854&gt;=40,"Moderate","Low"))</x:f>
        <x:v>Low</x:v>
      </x:c>
      <x:c r="AQ854" s="37" t="n">
        <x:f>ROUND(MAX(0,MIN(100,(O854/4*100*0.25)+(P854/4*100*0.20)+(Q854/4*100*0.15)+(Y854/5*100*0.20)+(100-AO854)*0.20)),1)</x:f>
        <x:v>82.2</x:v>
      </x:c>
      <x:c r="AR854" s="37" t="n">
        <x:f>ROUND((AI854*0.20+AJ854*0.15+AN854*0.18+AG854*0.12+Z854*0.15+AQ854*0.20),1)</x:f>
        <x:v>88.6</x:v>
      </x:c>
      <x:c r="AS854" s="39" t="n">
        <x:f>ROUND((AC854*AF854*120)+(AH854*350)+(MAX(0,AI854-75)*220)+(MAX(0,AQ854-60)*100),0)</x:f>
        <x:v>31400</x:v>
      </x:c>
    </x:row>
    <x:row r="855">
      <x:c r="A855" s="35" t="n">
        <x:v>854</x:v>
      </x:c>
      <x:c r="B855" s="35" t="n">
        <x:v>35</x:v>
      </x:c>
      <x:c r="C855" s="35" t="str">
        <x:v>Male</x:v>
      </x:c>
      <x:c r="D855" s="35" t="str">
        <x:v>Marketing</x:v>
      </x:c>
      <x:c r="E855" s="35" t="str">
        <x:v>Digital Marketing Analyst</x:v>
      </x:c>
      <x:c r="F855" s="35" t="str">
        <x:v>Medical</x:v>
      </x:c>
      <x:c r="G855" s="35" t="str">
        <x:v>Married</x:v>
      </x:c>
      <x:c r="H855" s="35" t="n">
        <x:v>1</x:v>
      </x:c>
      <x:c r="I855" s="36" t="n">
        <x:v>5520</x:v>
      </x:c>
      <x:c r="J855" s="35" t="n">
        <x:v>10</x:v>
      </x:c>
      <x:c r="K855" s="35" t="n">
        <x:v>6</x:v>
      </x:c>
      <x:c r="L855" s="35" t="n">
        <x:v>3</x:v>
      </x:c>
      <x:c r="M855" s="35" t="n">
        <x:v>5</x:v>
      </x:c>
      <x:c r="N855" s="35" t="str">
        <x:v>No</x:v>
      </x:c>
      <x:c r="O855" s="35" t="n">
        <x:v>1</x:v>
      </x:c>
      <x:c r="P855" s="35" t="n">
        <x:v>3</x:v>
      </x:c>
      <x:c r="Q855" s="35" t="n">
        <x:v>3</x:v>
      </x:c>
      <x:c r="R855" s="35" t="n">
        <x:v>3</x:v>
      </x:c>
      <x:c r="S855" s="35" t="n">
        <x:v>3</x:v>
      </x:c>
      <x:c r="T855" s="35" t="n">
        <x:v>4</x:v>
      </x:c>
      <x:c r="U855" s="35" t="n">
        <x:v>1</x:v>
      </x:c>
      <x:c r="V855" s="35" t="n">
        <x:v>13</x:v>
      </x:c>
      <x:c r="W855" s="35" t="n">
        <x:v>5</x:v>
      </x:c>
      <x:c r="X855" s="35" t="n">
        <x:v>91</x:v>
      </x:c>
      <x:c r="Y855" s="35" t="n">
        <x:v>3</x:v>
      </x:c>
      <x:c r="Z855" s="35" t="n">
        <x:v>84</x:v>
      </x:c>
      <x:c r="AA855" s="35" t="n">
        <x:v>3</x:v>
      </x:c>
      <x:c r="AB855" s="35" t="n">
        <x:v>3</x:v>
      </x:c>
      <x:c r="AC855" s="35" t="n">
        <x:v>3</x:v>
      </x:c>
      <x:c r="AD855" s="35" t="n">
        <x:v>46</x:v>
      </x:c>
      <x:c r="AE855" s="35" t="n">
        <x:v>77</x:v>
      </x:c>
      <x:c r="AF855" s="35" t="n">
        <x:v>71</x:v>
      </x:c>
      <x:c r="AG855" s="35" t="n">
        <x:v>76</x:v>
      </x:c>
      <x:c r="AH855" s="35" t="n">
        <x:v>7</x:v>
      </x:c>
      <x:c r="AI855" s="37" t="n">
        <x:v>100</x:v>
      </x:c>
      <x:c r="AJ855" s="37" t="n">
        <x:v>87</x:v>
      </x:c>
      <x:c r="AK855" s="35" t="str">
        <x:v>No</x:v>
      </x:c>
      <x:c r="AL855" s="38" t="n">
        <x:f>IF(AA855=0,0,AB855/AA855)</x:f>
        <x:v>1</x:v>
      </x:c>
      <x:c r="AM855" s="38" t="n">
        <x:f>IF(AB855=0,0,AC855/AB855)</x:f>
        <x:v>1</x:v>
      </x:c>
      <x:c r="AN855" s="37" t="n">
        <x:f>ROUND((AD855*0.20+AE855*0.20+AF855*0.25+AG855*0.15+MIN(100,AC855*12)*0.20),1)</x:f>
        <x:v>61</x:v>
      </x:c>
      <x:c r="AO855" s="37" t="n">
        <x:f>ROUND(MAX(0,MIN(100,(X855*0.35)+(W855/45*100*0.20)+((5-O855)/4*100*0.15)+((5-P855)/4*100*0.10)+((6-Y855)/5*100*0.10)+((100-Z855)*0.10))),1)</x:f>
        <x:v>61.7</x:v>
      </x:c>
      <x:c r="AP855" s="37" t="str">
        <x:f>IF(AO855&gt;=70,"High",IF(AO855&gt;=40,"Moderate","Low"))</x:f>
        <x:v>Moderate</x:v>
      </x:c>
      <x:c r="AQ855" s="37" t="n">
        <x:f>ROUND(MAX(0,MIN(100,(O855/4*100*0.25)+(P855/4*100*0.20)+(Q855/4*100*0.15)+(Y855/5*100*0.20)+(100-AO855)*0.20)),1)</x:f>
        <x:v>52.2</x:v>
      </x:c>
      <x:c r="AR855" s="37" t="n">
        <x:f>ROUND((AI855*0.20+AJ855*0.15+AN855*0.18+AG855*0.12+Z855*0.15+AQ855*0.20),1)</x:f>
        <x:v>76.2</x:v>
      </x:c>
      <x:c r="AS855" s="39" t="n">
        <x:f>ROUND((AC855*AF855*120)+(AH855*350)+(MAX(0,AI855-75)*220)+(MAX(0,AQ855-60)*100),0)</x:f>
        <x:v>33510</x:v>
      </x:c>
    </x:row>
    <x:row r="856">
      <x:c r="A856" s="35" t="n">
        <x:v>855</x:v>
      </x:c>
      <x:c r="B856" s="35" t="n">
        <x:v>44</x:v>
      </x:c>
      <x:c r="C856" s="35" t="str">
        <x:v>Female</x:v>
      </x:c>
      <x:c r="D856" s="35" t="str">
        <x:v>Sales</x:v>
      </x:c>
      <x:c r="E856" s="35" t="str">
        <x:v>Account Manager</x:v>
      </x:c>
      <x:c r="F856" s="35" t="str">
        <x:v>Technical Degree</x:v>
      </x:c>
      <x:c r="G856" s="35" t="str">
        <x:v>Married</x:v>
      </x:c>
      <x:c r="H856" s="35" t="n">
        <x:v>4</x:v>
      </x:c>
      <x:c r="I856" s="36" t="n">
        <x:v>21600</x:v>
      </x:c>
      <x:c r="J856" s="35" t="n">
        <x:v>16</x:v>
      </x:c>
      <x:c r="K856" s="35" t="n">
        <x:v>8</x:v>
      </x:c>
      <x:c r="L856" s="35" t="n">
        <x:v>4</x:v>
      </x:c>
      <x:c r="M856" s="35" t="n">
        <x:v>8</x:v>
      </x:c>
      <x:c r="N856" s="35" t="str">
        <x:v>No</x:v>
      </x:c>
      <x:c r="O856" s="35" t="n">
        <x:v>3</x:v>
      </x:c>
      <x:c r="P856" s="35" t="n">
        <x:v>2</x:v>
      </x:c>
      <x:c r="Q856" s="35" t="n">
        <x:v>4</x:v>
      </x:c>
      <x:c r="R856" s="35" t="n">
        <x:v>3</x:v>
      </x:c>
      <x:c r="S856" s="35" t="n">
        <x:v>3</x:v>
      </x:c>
      <x:c r="T856" s="35" t="n">
        <x:v>3</x:v>
      </x:c>
      <x:c r="U856" s="35" t="n">
        <x:v>1</x:v>
      </x:c>
      <x:c r="V856" s="35" t="n">
        <x:v>8</x:v>
      </x:c>
      <x:c r="W856" s="35" t="n">
        <x:v>0</x:v>
      </x:c>
      <x:c r="X856" s="35" t="n">
        <x:v>60</x:v>
      </x:c>
      <x:c r="Y856" s="35" t="n">
        <x:v>4</x:v>
      </x:c>
      <x:c r="Z856" s="35" t="n">
        <x:v>92</x:v>
      </x:c>
      <x:c r="AA856" s="35" t="n">
        <x:v>15</x:v>
      </x:c>
      <x:c r="AB856" s="35" t="n">
        <x:v>10</x:v>
      </x:c>
      <x:c r="AC856" s="35" t="n">
        <x:v>9</x:v>
      </x:c>
      <x:c r="AD856" s="35" t="n">
        <x:v>94</x:v>
      </x:c>
      <x:c r="AE856" s="35" t="n">
        <x:v>100</x:v>
      </x:c>
      <x:c r="AF856" s="35" t="n">
        <x:v>100</x:v>
      </x:c>
      <x:c r="AG856" s="35" t="n">
        <x:v>85</x:v>
      </x:c>
      <x:c r="AH856" s="35" t="n">
        <x:v>11</x:v>
      </x:c>
      <x:c r="AI856" s="37" t="n">
        <x:v>92.9</x:v>
      </x:c>
      <x:c r="AJ856" s="37" t="n">
        <x:v>100</x:v>
      </x:c>
      <x:c r="AK856" s="35" t="str">
        <x:v>No</x:v>
      </x:c>
      <x:c r="AL856" s="38" t="n">
        <x:f>IF(AA856=0,0,AB856/AA856)</x:f>
        <x:v>0.6666666666666666</x:v>
      </x:c>
      <x:c r="AM856" s="38" t="n">
        <x:f>IF(AB856=0,0,AC856/AB856)</x:f>
        <x:v>0.9</x:v>
      </x:c>
      <x:c r="AN856" s="37" t="n">
        <x:f>ROUND((AD856*0.20+AE856*0.20+AF856*0.25+AG856*0.15+MIN(100,AC856*12)*0.20),1)</x:f>
        <x:v>96.6</x:v>
      </x:c>
      <x:c r="AO856" s="37" t="n">
        <x:f>ROUND(MAX(0,MIN(100,(X856*0.35)+(W856/45*100*0.20)+((5-O856)/4*100*0.15)+((5-P856)/4*100*0.10)+((6-Y856)/5*100*0.10)+((100-Z856)*0.10))),1)</x:f>
        <x:v>40.8</x:v>
      </x:c>
      <x:c r="AP856" s="37" t="str">
        <x:f>IF(AO856&gt;=70,"High",IF(AO856&gt;=40,"Moderate","Low"))</x:f>
        <x:v>Moderate</x:v>
      </x:c>
      <x:c r="AQ856" s="37" t="n">
        <x:f>ROUND(MAX(0,MIN(100,(O856/4*100*0.25)+(P856/4*100*0.20)+(Q856/4*100*0.15)+(Y856/5*100*0.20)+(100-AO856)*0.20)),1)</x:f>
        <x:v>71.6</x:v>
      </x:c>
      <x:c r="AR856" s="37" t="n">
        <x:f>ROUND((AI856*0.20+AJ856*0.15+AN856*0.18+AG856*0.12+Z856*0.15+AQ856*0.20),1)</x:f>
        <x:v>89.3</x:v>
      </x:c>
      <x:c r="AS856" s="39" t="n">
        <x:f>ROUND((AC856*AF856*120)+(AH856*350)+(MAX(0,AI856-75)*220)+(MAX(0,AQ856-60)*100),0)</x:f>
        <x:v>116948</x:v>
      </x:c>
    </x:row>
    <x:row r="857">
      <x:c r="A857" s="35" t="n">
        <x:v>856</x:v>
      </x:c>
      <x:c r="B857" s="35" t="n">
        <x:v>29</x:v>
      </x:c>
      <x:c r="C857" s="35" t="str">
        <x:v>Female</x:v>
      </x:c>
      <x:c r="D857" s="35" t="str">
        <x:v>Operations</x:v>
      </x:c>
      <x:c r="E857" s="35" t="str">
        <x:v>Operations Specialist</x:v>
      </x:c>
      <x:c r="F857" s="35" t="str">
        <x:v>Medical</x:v>
      </x:c>
      <x:c r="G857" s="35" t="str">
        <x:v>Divorced</x:v>
      </x:c>
      <x:c r="H857" s="35" t="n">
        <x:v>2</x:v>
      </x:c>
      <x:c r="I857" s="36" t="n">
        <x:v>10020</x:v>
      </x:c>
      <x:c r="J857" s="35" t="n">
        <x:v>4</x:v>
      </x:c>
      <x:c r="K857" s="35" t="n">
        <x:v>3</x:v>
      </x:c>
      <x:c r="L857" s="35" t="n">
        <x:v>1</x:v>
      </x:c>
      <x:c r="M857" s="35" t="n">
        <x:v>4</x:v>
      </x:c>
      <x:c r="N857" s="35" t="str">
        <x:v>Yes</x:v>
      </x:c>
      <x:c r="O857" s="35" t="n">
        <x:v>1</x:v>
      </x:c>
      <x:c r="P857" s="35" t="n">
        <x:v>4</x:v>
      </x:c>
      <x:c r="Q857" s="35" t="n">
        <x:v>3</x:v>
      </x:c>
      <x:c r="R857" s="35" t="n">
        <x:v>3</x:v>
      </x:c>
      <x:c r="S857" s="35" t="n">
        <x:v>3</x:v>
      </x:c>
      <x:c r="T857" s="35" t="n">
        <x:v>1</x:v>
      </x:c>
      <x:c r="U857" s="35" t="n">
        <x:v>0</x:v>
      </x:c>
      <x:c r="V857" s="35" t="n">
        <x:v>9</x:v>
      </x:c>
      <x:c r="W857" s="35" t="n">
        <x:v>27</x:v>
      </x:c>
      <x:c r="X857" s="35" t="n">
        <x:v>53</x:v>
      </x:c>
      <x:c r="Y857" s="35" t="n">
        <x:v>4</x:v>
      </x:c>
      <x:c r="Z857" s="35" t="n">
        <x:v>100</x:v>
      </x:c>
      <x:c r="AA857" s="35" t="n">
        <x:v>1</x:v>
      </x:c>
      <x:c r="AB857" s="35" t="n">
        <x:v>1</x:v>
      </x:c>
      <x:c r="AC857" s="35" t="n">
        <x:v>1</x:v>
      </x:c>
      <x:c r="AD857" s="35" t="n">
        <x:v>56</x:v>
      </x:c>
      <x:c r="AE857" s="35" t="n">
        <x:v>91</x:v>
      </x:c>
      <x:c r="AF857" s="35" t="n">
        <x:v>43</x:v>
      </x:c>
      <x:c r="AG857" s="35" t="n">
        <x:v>83</x:v>
      </x:c>
      <x:c r="AH857" s="35" t="n">
        <x:v>4</x:v>
      </x:c>
      <x:c r="AI857" s="37" t="n">
        <x:v>100</x:v>
      </x:c>
      <x:c r="AJ857" s="37" t="n">
        <x:v>86.2</x:v>
      </x:c>
      <x:c r="AK857" s="35" t="str">
        <x:v>No</x:v>
      </x:c>
      <x:c r="AL857" s="38" t="n">
        <x:f>IF(AA857=0,0,AB857/AA857)</x:f>
        <x:v>1</x:v>
      </x:c>
      <x:c r="AM857" s="38" t="n">
        <x:f>IF(AB857=0,0,AC857/AB857)</x:f>
        <x:v>1</x:v>
      </x:c>
      <x:c r="AN857" s="37" t="n">
        <x:f>ROUND((AD857*0.20+AE857*0.20+AF857*0.25+AG857*0.15+MIN(100,AC857*12)*0.20),1)</x:f>
        <x:v>55</x:v>
      </x:c>
      <x:c r="AO857" s="37" t="n">
        <x:f>ROUND(MAX(0,MIN(100,(X857*0.35)+(W857/45*100*0.20)+((5-O857)/4*100*0.15)+((5-P857)/4*100*0.10)+((6-Y857)/5*100*0.10)+((100-Z857)*0.10))),1)</x:f>
        <x:v>52.1</x:v>
      </x:c>
      <x:c r="AP857" s="37" t="str">
        <x:f>IF(AO857&gt;=70,"High",IF(AO857&gt;=40,"Moderate","Low"))</x:f>
        <x:v>Moderate</x:v>
      </x:c>
      <x:c r="AQ857" s="37" t="n">
        <x:f>ROUND(MAX(0,MIN(100,(O857/4*100*0.25)+(P857/4*100*0.20)+(Q857/4*100*0.15)+(Y857/5*100*0.20)+(100-AO857)*0.20)),1)</x:f>
        <x:v>63.1</x:v>
      </x:c>
      <x:c r="AR857" s="37" t="n">
        <x:f>ROUND((AI857*0.20+AJ857*0.15+AN857*0.18+AG857*0.12+Z857*0.15+AQ857*0.20),1)</x:f>
        <x:v>80.4</x:v>
      </x:c>
      <x:c r="AS857" s="39" t="n">
        <x:f>ROUND((AC857*AF857*120)+(AH857*350)+(MAX(0,AI857-75)*220)+(MAX(0,AQ857-60)*100),0)</x:f>
        <x:v>12370</x:v>
      </x:c>
    </x:row>
    <x:row r="858">
      <x:c r="A858" s="35" t="n">
        <x:v>857</x:v>
      </x:c>
      <x:c r="B858" s="35" t="n">
        <x:v>49</x:v>
      </x:c>
      <x:c r="C858" s="35" t="str">
        <x:v>Female</x:v>
      </x:c>
      <x:c r="D858" s="35" t="str">
        <x:v>Information Technology</x:v>
      </x:c>
      <x:c r="E858" s="35" t="str">
        <x:v>IT Support</x:v>
      </x:c>
      <x:c r="F858" s="35" t="str">
        <x:v>Computer Science</x:v>
      </x:c>
      <x:c r="G858" s="35" t="str">
        <x:v>Single</x:v>
      </x:c>
      <x:c r="H858" s="35" t="n">
        <x:v>5</x:v>
      </x:c>
      <x:c r="I858" s="36" t="n">
        <x:v>20320</x:v>
      </x:c>
      <x:c r="J858" s="35" t="n">
        <x:v>15</x:v>
      </x:c>
      <x:c r="K858" s="35" t="n">
        <x:v>6</x:v>
      </x:c>
      <x:c r="L858" s="35" t="n">
        <x:v>4</x:v>
      </x:c>
      <x:c r="M858" s="35" t="n">
        <x:v>2</x:v>
      </x:c>
      <x:c r="N858" s="35" t="str">
        <x:v>No</x:v>
      </x:c>
      <x:c r="O858" s="35" t="n">
        <x:v>4</x:v>
      </x:c>
      <x:c r="P858" s="35" t="n">
        <x:v>4</x:v>
      </x:c>
      <x:c r="Q858" s="35" t="n">
        <x:v>3</x:v>
      </x:c>
      <x:c r="R858" s="35" t="n">
        <x:v>2</x:v>
      </x:c>
      <x:c r="S858" s="35" t="n">
        <x:v>3</x:v>
      </x:c>
      <x:c r="T858" s="35" t="n">
        <x:v>4</x:v>
      </x:c>
      <x:c r="U858" s="35" t="n">
        <x:v>1</x:v>
      </x:c>
      <x:c r="V858" s="35" t="n">
        <x:v>0</x:v>
      </x:c>
      <x:c r="W858" s="35" t="n">
        <x:v>0</x:v>
      </x:c>
      <x:c r="X858" s="35" t="n">
        <x:v>57</x:v>
      </x:c>
      <x:c r="Y858" s="35" t="n">
        <x:v>5</x:v>
      </x:c>
      <x:c r="Z858" s="35" t="n">
        <x:v>100</x:v>
      </x:c>
      <x:c r="AA858" s="35" t="n">
        <x:v>5</x:v>
      </x:c>
      <x:c r="AB858" s="35" t="n">
        <x:v>5</x:v>
      </x:c>
      <x:c r="AC858" s="35" t="n">
        <x:v>4</x:v>
      </x:c>
      <x:c r="AD858" s="35" t="n">
        <x:v>75</x:v>
      </x:c>
      <x:c r="AE858" s="35" t="n">
        <x:v>86</x:v>
      </x:c>
      <x:c r="AF858" s="35" t="n">
        <x:v>85</x:v>
      </x:c>
      <x:c r="AG858" s="35" t="n">
        <x:v>89</x:v>
      </x:c>
      <x:c r="AH858" s="35" t="n">
        <x:v>10</x:v>
      </x:c>
      <x:c r="AI858" s="37" t="n">
        <x:v>100</x:v>
      </x:c>
      <x:c r="AJ858" s="37" t="n">
        <x:v>87.2</x:v>
      </x:c>
      <x:c r="AK858" s="35" t="str">
        <x:v>No</x:v>
      </x:c>
      <x:c r="AL858" s="38" t="n">
        <x:f>IF(AA858=0,0,AB858/AA858)</x:f>
        <x:v>1</x:v>
      </x:c>
      <x:c r="AM858" s="38" t="n">
        <x:f>IF(AB858=0,0,AC858/AB858)</x:f>
        <x:v>0.8</x:v>
      </x:c>
      <x:c r="AN858" s="37" t="n">
        <x:f>ROUND((AD858*0.20+AE858*0.20+AF858*0.25+AG858*0.15+MIN(100,AC858*12)*0.20),1)</x:f>
        <x:v>76.4</x:v>
      </x:c>
      <x:c r="AO858" s="37" t="n">
        <x:f>ROUND(MAX(0,MIN(100,(X858*0.35)+(W858/45*100*0.20)+((5-O858)/4*100*0.15)+((5-P858)/4*100*0.10)+((6-Y858)/5*100*0.10)+((100-Z858)*0.10))),1)</x:f>
        <x:v>28.2</x:v>
      </x:c>
      <x:c r="AP858" s="37" t="str">
        <x:f>IF(AO858&gt;=70,"High",IF(AO858&gt;=40,"Moderate","Low"))</x:f>
        <x:v>Low</x:v>
      </x:c>
      <x:c r="AQ858" s="37" t="n">
        <x:f>ROUND(MAX(0,MIN(100,(O858/4*100*0.25)+(P858/4*100*0.20)+(Q858/4*100*0.15)+(Y858/5*100*0.20)+(100-AO858)*0.20)),1)</x:f>
        <x:v>90.6</x:v>
      </x:c>
      <x:c r="AR858" s="37" t="n">
        <x:f>ROUND((AI858*0.20+AJ858*0.15+AN858*0.18+AG858*0.12+Z858*0.15+AQ858*0.20),1)</x:f>
        <x:v>90.6</x:v>
      </x:c>
      <x:c r="AS858" s="39" t="n">
        <x:f>ROUND((AC858*AF858*120)+(AH858*350)+(MAX(0,AI858-75)*220)+(MAX(0,AQ858-60)*100),0)</x:f>
        <x:v>52860</x:v>
      </x:c>
    </x:row>
    <x:row r="859">
      <x:c r="A859" s="35" t="n">
        <x:v>858</x:v>
      </x:c>
      <x:c r="B859" s="35" t="n">
        <x:v>37</x:v>
      </x:c>
      <x:c r="C859" s="35" t="str">
        <x:v>Male</x:v>
      </x:c>
      <x:c r="D859" s="35" t="str">
        <x:v>Finance</x:v>
      </x:c>
      <x:c r="E859" s="35" t="str">
        <x:v>Accountant</x:v>
      </x:c>
      <x:c r="F859" s="35" t="str">
        <x:v>Technical Degree</x:v>
      </x:c>
      <x:c r="G859" s="35" t="str">
        <x:v>Single</x:v>
      </x:c>
      <x:c r="H859" s="35" t="n">
        <x:v>2</x:v>
      </x:c>
      <x:c r="I859" s="36" t="n">
        <x:v>5580</x:v>
      </x:c>
      <x:c r="J859" s="35" t="n">
        <x:v>12</x:v>
      </x:c>
      <x:c r="K859" s="35" t="n">
        <x:v>5</x:v>
      </x:c>
      <x:c r="L859" s="35" t="n">
        <x:v>2</x:v>
      </x:c>
      <x:c r="M859" s="35" t="n">
        <x:v>6</x:v>
      </x:c>
      <x:c r="N859" s="35" t="str">
        <x:v>No</x:v>
      </x:c>
      <x:c r="O859" s="35" t="n">
        <x:v>2</x:v>
      </x:c>
      <x:c r="P859" s="35" t="n">
        <x:v>2</x:v>
      </x:c>
      <x:c r="Q859" s="35" t="n">
        <x:v>2</x:v>
      </x:c>
      <x:c r="R859" s="35" t="n">
        <x:v>3</x:v>
      </x:c>
      <x:c r="S859" s="35" t="n">
        <x:v>3</x:v>
      </x:c>
      <x:c r="T859" s="35" t="n">
        <x:v>2</x:v>
      </x:c>
      <x:c r="U859" s="35" t="n">
        <x:v>0</x:v>
      </x:c>
      <x:c r="V859" s="35" t="n">
        <x:v>8</x:v>
      </x:c>
      <x:c r="W859" s="35" t="n">
        <x:v>7</x:v>
      </x:c>
      <x:c r="X859" s="35" t="n">
        <x:v>72</x:v>
      </x:c>
      <x:c r="Y859" s="35" t="n">
        <x:v>5</x:v>
      </x:c>
      <x:c r="Z859" s="35" t="n">
        <x:v>100</x:v>
      </x:c>
      <x:c r="AA859" s="35" t="n">
        <x:v>6</x:v>
      </x:c>
      <x:c r="AB859" s="35" t="n">
        <x:v>5</x:v>
      </x:c>
      <x:c r="AC859" s="35" t="n">
        <x:v>5</x:v>
      </x:c>
      <x:c r="AD859" s="35" t="n">
        <x:v>73</x:v>
      </x:c>
      <x:c r="AE859" s="35" t="n">
        <x:v>90</x:v>
      </x:c>
      <x:c r="AF859" s="35" t="n">
        <x:v>70</x:v>
      </x:c>
      <x:c r="AG859" s="35" t="n">
        <x:v>83</x:v>
      </x:c>
      <x:c r="AH859" s="35" t="n">
        <x:v>10</x:v>
      </x:c>
      <x:c r="AI859" s="37" t="n">
        <x:v>100</x:v>
      </x:c>
      <x:c r="AJ859" s="37" t="n">
        <x:v>94.7</x:v>
      </x:c>
      <x:c r="AK859" s="35" t="str">
        <x:v>No</x:v>
      </x:c>
      <x:c r="AL859" s="38" t="n">
        <x:f>IF(AA859=0,0,AB859/AA859)</x:f>
        <x:v>0.8333333333333334</x:v>
      </x:c>
      <x:c r="AM859" s="38" t="n">
        <x:f>IF(AB859=0,0,AC859/AB859)</x:f>
        <x:v>1</x:v>
      </x:c>
      <x:c r="AN859" s="37" t="n">
        <x:f>ROUND((AD859*0.20+AE859*0.20+AF859*0.25+AG859*0.15+MIN(100,AC859*12)*0.20),1)</x:f>
        <x:v>74.6</x:v>
      </x:c>
      <x:c r="AO859" s="37" t="n">
        <x:f>ROUND(MAX(0,MIN(100,(X859*0.35)+(W859/45*100*0.20)+((5-O859)/4*100*0.15)+((5-P859)/4*100*0.10)+((6-Y859)/5*100*0.10)+((100-Z859)*0.10))),1)</x:f>
        <x:v>49.1</x:v>
      </x:c>
      <x:c r="AP859" s="37" t="str">
        <x:f>IF(AO859&gt;=70,"High",IF(AO859&gt;=40,"Moderate","Low"))</x:f>
        <x:v>Moderate</x:v>
      </x:c>
      <x:c r="AQ859" s="37" t="n">
        <x:f>ROUND(MAX(0,MIN(100,(O859/4*100*0.25)+(P859/4*100*0.20)+(Q859/4*100*0.15)+(Y859/5*100*0.20)+(100-AO859)*0.20)),1)</x:f>
        <x:v>60.2</x:v>
      </x:c>
      <x:c r="AR859" s="37" t="n">
        <x:f>ROUND((AI859*0.20+AJ859*0.15+AN859*0.18+AG859*0.12+Z859*0.15+AQ859*0.20),1)</x:f>
        <x:v>84.6</x:v>
      </x:c>
      <x:c r="AS859" s="39" t="n">
        <x:f>ROUND((AC859*AF859*120)+(AH859*350)+(MAX(0,AI859-75)*220)+(MAX(0,AQ859-60)*100),0)</x:f>
        <x:v>51020</x:v>
      </x:c>
    </x:row>
    <x:row r="860">
      <x:c r="A860" s="35" t="n">
        <x:v>859</x:v>
      </x:c>
      <x:c r="B860" s="35" t="n">
        <x:v>28</x:v>
      </x:c>
      <x:c r="C860" s="35" t="str">
        <x:v>Female</x:v>
      </x:c>
      <x:c r="D860" s="35" t="str">
        <x:v>Information Technology</x:v>
      </x:c>
      <x:c r="E860" s="35" t="str">
        <x:v>IT Support</x:v>
      </x:c>
      <x:c r="F860" s="35" t="str">
        <x:v>Life Sciences</x:v>
      </x:c>
      <x:c r="G860" s="35" t="str">
        <x:v>Married</x:v>
      </x:c>
      <x:c r="H860" s="35" t="n">
        <x:v>1</x:v>
      </x:c>
      <x:c r="I860" s="36" t="n">
        <x:v>6410</x:v>
      </x:c>
      <x:c r="J860" s="35" t="n">
        <x:v>4</x:v>
      </x:c>
      <x:c r="K860" s="35" t="n">
        <x:v>1</x:v>
      </x:c>
      <x:c r="L860" s="35" t="n">
        <x:v>0</x:v>
      </x:c>
      <x:c r="M860" s="35" t="n">
        <x:v>7</x:v>
      </x:c>
      <x:c r="N860" s="35" t="str">
        <x:v>No</x:v>
      </x:c>
      <x:c r="O860" s="35" t="n">
        <x:v>4</x:v>
      </x:c>
      <x:c r="P860" s="35" t="n">
        <x:v>3</x:v>
      </x:c>
      <x:c r="Q860" s="35" t="n">
        <x:v>3</x:v>
      </x:c>
      <x:c r="R860" s="35" t="n">
        <x:v>4</x:v>
      </x:c>
      <x:c r="S860" s="35" t="n">
        <x:v>3</x:v>
      </x:c>
      <x:c r="T860" s="35" t="n">
        <x:v>5</x:v>
      </x:c>
      <x:c r="U860" s="35" t="n">
        <x:v>1</x:v>
      </x:c>
      <x:c r="V860" s="35" t="n">
        <x:v>0</x:v>
      </x:c>
      <x:c r="W860" s="35" t="n">
        <x:v>0</x:v>
      </x:c>
      <x:c r="X860" s="35" t="n">
        <x:v>73</x:v>
      </x:c>
      <x:c r="Y860" s="35" t="n">
        <x:v>4</x:v>
      </x:c>
      <x:c r="Z860" s="35" t="n">
        <x:v>87</x:v>
      </x:c>
      <x:c r="AA860" s="35" t="n">
        <x:v>4</x:v>
      </x:c>
      <x:c r="AB860" s="35" t="n">
        <x:v>4</x:v>
      </x:c>
      <x:c r="AC860" s="35" t="n">
        <x:v>1</x:v>
      </x:c>
      <x:c r="AD860" s="35" t="n">
        <x:v>72</x:v>
      </x:c>
      <x:c r="AE860" s="35" t="n">
        <x:v>74</x:v>
      </x:c>
      <x:c r="AF860" s="35" t="n">
        <x:v>72</x:v>
      </x:c>
      <x:c r="AG860" s="35" t="n">
        <x:v>95</x:v>
      </x:c>
      <x:c r="AH860" s="35" t="n">
        <x:v>5</x:v>
      </x:c>
      <x:c r="AI860" s="37" t="n">
        <x:v>100</x:v>
      </x:c>
      <x:c r="AJ860" s="37" t="n">
        <x:v>93.2</x:v>
      </x:c>
      <x:c r="AK860" s="35" t="str">
        <x:v>No</x:v>
      </x:c>
      <x:c r="AL860" s="38" t="n">
        <x:f>IF(AA860=0,0,AB860/AA860)</x:f>
        <x:v>1</x:v>
      </x:c>
      <x:c r="AM860" s="38" t="n">
        <x:f>IF(AB860=0,0,AC860/AB860)</x:f>
        <x:v>0.25</x:v>
      </x:c>
      <x:c r="AN860" s="37" t="n">
        <x:f>ROUND((AD860*0.20+AE860*0.20+AF860*0.25+AG860*0.15+MIN(100,AC860*12)*0.20),1)</x:f>
        <x:v>63.9</x:v>
      </x:c>
      <x:c r="AO860" s="37" t="n">
        <x:f>ROUND(MAX(0,MIN(100,(X860*0.35)+(W860/45*100*0.20)+((5-O860)/4*100*0.15)+((5-P860)/4*100*0.10)+((6-Y860)/5*100*0.10)+((100-Z860)*0.10))),1)</x:f>
        <x:v>39.6</x:v>
      </x:c>
      <x:c r="AP860" s="37" t="str">
        <x:f>IF(AO860&gt;=70,"High",IF(AO860&gt;=40,"Moderate","Low"))</x:f>
        <x:v>Low</x:v>
      </x:c>
      <x:c r="AQ860" s="37" t="n">
        <x:f>ROUND(MAX(0,MIN(100,(O860/4*100*0.25)+(P860/4*100*0.20)+(Q860/4*100*0.15)+(Y860/5*100*0.20)+(100-AO860)*0.20)),1)</x:f>
        <x:v>79.3</x:v>
      </x:c>
      <x:c r="AR860" s="37" t="n">
        <x:f>ROUND((AI860*0.20+AJ860*0.15+AN860*0.18+AG860*0.12+Z860*0.15+AQ860*0.20),1)</x:f>
        <x:v>85.8</x:v>
      </x:c>
      <x:c r="AS860" s="39" t="n">
        <x:f>ROUND((AC860*AF860*120)+(AH860*350)+(MAX(0,AI860-75)*220)+(MAX(0,AQ860-60)*100),0)</x:f>
        <x:v>17820</x:v>
      </x:c>
    </x:row>
    <x:row r="861">
      <x:c r="A861" s="35" t="n">
        <x:v>860</x:v>
      </x:c>
      <x:c r="B861" s="35" t="n">
        <x:v>54</x:v>
      </x:c>
      <x:c r="C861" s="35" t="str">
        <x:v>Female</x:v>
      </x:c>
      <x:c r="D861" s="35" t="str">
        <x:v>Operations</x:v>
      </x:c>
      <x:c r="E861" s="35" t="str">
        <x:v>Operations Specialist</x:v>
      </x:c>
      <x:c r="F861" s="35" t="str">
        <x:v>Business</x:v>
      </x:c>
      <x:c r="G861" s="35" t="str">
        <x:v>Single</x:v>
      </x:c>
      <x:c r="H861" s="35" t="n">
        <x:v>4</x:v>
      </x:c>
      <x:c r="I861" s="36" t="n">
        <x:v>16680</x:v>
      </x:c>
      <x:c r="J861" s="35" t="n">
        <x:v>18</x:v>
      </x:c>
      <x:c r="K861" s="35" t="n">
        <x:v>15</x:v>
      </x:c>
      <x:c r="L861" s="35" t="n">
        <x:v>4</x:v>
      </x:c>
      <x:c r="M861" s="35" t="n">
        <x:v>6</x:v>
      </x:c>
      <x:c r="N861" s="35" t="str">
        <x:v>Yes</x:v>
      </x:c>
      <x:c r="O861" s="35" t="n">
        <x:v>4</x:v>
      </x:c>
      <x:c r="P861" s="35" t="n">
        <x:v>2</x:v>
      </x:c>
      <x:c r="Q861" s="35" t="n">
        <x:v>3</x:v>
      </x:c>
      <x:c r="R861" s="35" t="n">
        <x:v>3</x:v>
      </x:c>
      <x:c r="S861" s="35" t="n">
        <x:v>3</x:v>
      </x:c>
      <x:c r="T861" s="35" t="n">
        <x:v>3</x:v>
      </x:c>
      <x:c r="U861" s="35" t="n">
        <x:v>0</x:v>
      </x:c>
      <x:c r="V861" s="35" t="n">
        <x:v>8</x:v>
      </x:c>
      <x:c r="W861" s="35" t="n">
        <x:v>17</x:v>
      </x:c>
      <x:c r="X861" s="35" t="n">
        <x:v>70</x:v>
      </x:c>
      <x:c r="Y861" s="35" t="n">
        <x:v>3</x:v>
      </x:c>
      <x:c r="Z861" s="35" t="n">
        <x:v>86</x:v>
      </x:c>
      <x:c r="AA861" s="35" t="n">
        <x:v>5</x:v>
      </x:c>
      <x:c r="AB861" s="35" t="n">
        <x:v>3</x:v>
      </x:c>
      <x:c r="AC861" s="35" t="n">
        <x:v>3</x:v>
      </x:c>
      <x:c r="AD861" s="35" t="n">
        <x:v>68</x:v>
      </x:c>
      <x:c r="AE861" s="35" t="n">
        <x:v>93</x:v>
      </x:c>
      <x:c r="AF861" s="35" t="n">
        <x:v>99</x:v>
      </x:c>
      <x:c r="AG861" s="35" t="n">
        <x:v>96</x:v>
      </x:c>
      <x:c r="AH861" s="35" t="n">
        <x:v>9</x:v>
      </x:c>
      <x:c r="AI861" s="37" t="n">
        <x:v>88.3</x:v>
      </x:c>
      <x:c r="AJ861" s="37" t="n">
        <x:v>85.7</x:v>
      </x:c>
      <x:c r="AK861" s="35" t="str">
        <x:v>No</x:v>
      </x:c>
      <x:c r="AL861" s="38" t="n">
        <x:f>IF(AA861=0,0,AB861/AA861)</x:f>
        <x:v>0.6</x:v>
      </x:c>
      <x:c r="AM861" s="38" t="n">
        <x:f>IF(AB861=0,0,AC861/AB861)</x:f>
        <x:v>1</x:v>
      </x:c>
      <x:c r="AN861" s="37" t="n">
        <x:f>ROUND((AD861*0.20+AE861*0.20+AF861*0.25+AG861*0.15+MIN(100,AC861*12)*0.20),1)</x:f>
        <x:v>78.6</x:v>
      </x:c>
      <x:c r="AO861" s="37" t="n">
        <x:f>ROUND(MAX(0,MIN(100,(X861*0.35)+(W861/45*100*0.20)+((5-O861)/4*100*0.15)+((5-P861)/4*100*0.10)+((6-Y861)/5*100*0.10)+((100-Z861)*0.10))),1)</x:f>
        <x:v>50.7</x:v>
      </x:c>
      <x:c r="AP861" s="37" t="str">
        <x:f>IF(AO861&gt;=70,"High",IF(AO861&gt;=40,"Moderate","Low"))</x:f>
        <x:v>Moderate</x:v>
      </x:c>
      <x:c r="AQ861" s="37" t="n">
        <x:f>ROUND(MAX(0,MIN(100,(O861/4*100*0.25)+(P861/4*100*0.20)+(Q861/4*100*0.15)+(Y861/5*100*0.20)+(100-AO861)*0.20)),1)</x:f>
        <x:v>68.1</x:v>
      </x:c>
      <x:c r="AR861" s="37" t="n">
        <x:f>ROUND((AI861*0.20+AJ861*0.15+AN861*0.18+AG861*0.12+Z861*0.15+AQ861*0.20),1)</x:f>
        <x:v>82.7</x:v>
      </x:c>
      <x:c r="AS861" s="39" t="n">
        <x:f>ROUND((AC861*AF861*120)+(AH861*350)+(MAX(0,AI861-75)*220)+(MAX(0,AQ861-60)*100),0)</x:f>
        <x:v>42526</x:v>
      </x:c>
    </x:row>
    <x:row r="862">
      <x:c r="A862" s="35" t="n">
        <x:v>861</x:v>
      </x:c>
      <x:c r="B862" s="35" t="n">
        <x:v>38</x:v>
      </x:c>
      <x:c r="C862" s="35" t="str">
        <x:v>Male</x:v>
      </x:c>
      <x:c r="D862" s="35" t="str">
        <x:v>Research &amp; Development</x:v>
      </x:c>
      <x:c r="E862" s="35" t="str">
        <x:v>R&amp;D Manager</x:v>
      </x:c>
      <x:c r="F862" s="35" t="str">
        <x:v>Business</x:v>
      </x:c>
      <x:c r="G862" s="35" t="str">
        <x:v>Single</x:v>
      </x:c>
      <x:c r="H862" s="35" t="n">
        <x:v>2</x:v>
      </x:c>
      <x:c r="I862" s="36" t="n">
        <x:v>9070</x:v>
      </x:c>
      <x:c r="J862" s="35" t="n">
        <x:v>11</x:v>
      </x:c>
      <x:c r="K862" s="35" t="n">
        <x:v>8</x:v>
      </x:c>
      <x:c r="L862" s="35" t="n">
        <x:v>3</x:v>
      </x:c>
      <x:c r="M862" s="35" t="n">
        <x:v>2</x:v>
      </x:c>
      <x:c r="N862" s="35" t="str">
        <x:v>No</x:v>
      </x:c>
      <x:c r="O862" s="35" t="n">
        <x:v>2</x:v>
      </x:c>
      <x:c r="P862" s="35" t="n">
        <x:v>2</x:v>
      </x:c>
      <x:c r="Q862" s="35" t="n">
        <x:v>3</x:v>
      </x:c>
      <x:c r="R862" s="35" t="n">
        <x:v>3</x:v>
      </x:c>
      <x:c r="S862" s="35" t="n">
        <x:v>3</x:v>
      </x:c>
      <x:c r="T862" s="35" t="n">
        <x:v>5</x:v>
      </x:c>
      <x:c r="U862" s="35" t="n">
        <x:v>1</x:v>
      </x:c>
      <x:c r="V862" s="35" t="n">
        <x:v>2</x:v>
      </x:c>
      <x:c r="W862" s="35" t="n">
        <x:v>0</x:v>
      </x:c>
      <x:c r="X862" s="35" t="n">
        <x:v>55</x:v>
      </x:c>
      <x:c r="Y862" s="35" t="n">
        <x:v>4</x:v>
      </x:c>
      <x:c r="Z862" s="35" t="n">
        <x:v>100</x:v>
      </x:c>
      <x:c r="AA862" s="35" t="n">
        <x:v>12</x:v>
      </x:c>
      <x:c r="AB862" s="35" t="n">
        <x:v>10</x:v>
      </x:c>
      <x:c r="AC862" s="35" t="n">
        <x:v>9</x:v>
      </x:c>
      <x:c r="AD862" s="35" t="n">
        <x:v>100</x:v>
      </x:c>
      <x:c r="AE862" s="35" t="n">
        <x:v>70</x:v>
      </x:c>
      <x:c r="AF862" s="35" t="n">
        <x:v>95</x:v>
      </x:c>
      <x:c r="AG862" s="35" t="n">
        <x:v>97</x:v>
      </x:c>
      <x:c r="AH862" s="35" t="n">
        <x:v>11</x:v>
      </x:c>
      <x:c r="AI862" s="37" t="n">
        <x:v>97.4</x:v>
      </x:c>
      <x:c r="AJ862" s="37" t="n">
        <x:v>97.8</x:v>
      </x:c>
      <x:c r="AK862" s="35" t="str">
        <x:v>No</x:v>
      </x:c>
      <x:c r="AL862" s="38" t="n">
        <x:f>IF(AA862=0,0,AB862/AA862)</x:f>
        <x:v>0.8333333333333334</x:v>
      </x:c>
      <x:c r="AM862" s="38" t="n">
        <x:f>IF(AB862=0,0,AC862/AB862)</x:f>
        <x:v>0.9</x:v>
      </x:c>
      <x:c r="AN862" s="37" t="n">
        <x:f>ROUND((AD862*0.20+AE862*0.20+AF862*0.25+AG862*0.15+MIN(100,AC862*12)*0.20),1)</x:f>
        <x:v>92.3</x:v>
      </x:c>
      <x:c r="AO862" s="37" t="n">
        <x:f>ROUND(MAX(0,MIN(100,(X862*0.35)+(W862/45*100*0.20)+((5-O862)/4*100*0.15)+((5-P862)/4*100*0.10)+((6-Y862)/5*100*0.10)+((100-Z862)*0.10))),1)</x:f>
        <x:v>42</x:v>
      </x:c>
      <x:c r="AP862" s="37" t="str">
        <x:f>IF(AO862&gt;=70,"High",IF(AO862&gt;=40,"Moderate","Low"))</x:f>
        <x:v>Moderate</x:v>
      </x:c>
      <x:c r="AQ862" s="37" t="n">
        <x:f>ROUND(MAX(0,MIN(100,(O862/4*100*0.25)+(P862/4*100*0.20)+(Q862/4*100*0.15)+(Y862/5*100*0.20)+(100-AO862)*0.20)),1)</x:f>
        <x:v>61.4</x:v>
      </x:c>
      <x:c r="AR862" s="37" t="n">
        <x:f>ROUND((AI862*0.20+AJ862*0.15+AN862*0.18+AG862*0.12+Z862*0.15+AQ862*0.20),1)</x:f>
        <x:v>89.7</x:v>
      </x:c>
      <x:c r="AS862" s="39" t="n">
        <x:f>ROUND((AC862*AF862*120)+(AH862*350)+(MAX(0,AI862-75)*220)+(MAX(0,AQ862-60)*100),0)</x:f>
        <x:v>111518</x:v>
      </x:c>
    </x:row>
    <x:row r="863">
      <x:c r="A863" s="35" t="n">
        <x:v>862</x:v>
      </x:c>
      <x:c r="B863" s="35" t="n">
        <x:v>22</x:v>
      </x:c>
      <x:c r="C863" s="35" t="str">
        <x:v>Male</x:v>
      </x:c>
      <x:c r="D863" s="35" t="str">
        <x:v>Information Technology</x:v>
      </x:c>
      <x:c r="E863" s="35" t="str">
        <x:v>Software Engineer</x:v>
      </x:c>
      <x:c r="F863" s="35" t="str">
        <x:v>Business</x:v>
      </x:c>
      <x:c r="G863" s="35" t="str">
        <x:v>Single</x:v>
      </x:c>
      <x:c r="H863" s="35" t="n">
        <x:v>1</x:v>
      </x:c>
      <x:c r="I863" s="36" t="n">
        <x:v>6860</x:v>
      </x:c>
      <x:c r="J863" s="35" t="n">
        <x:v>1</x:v>
      </x:c>
      <x:c r="K863" s="35" t="n">
        <x:v>0</x:v>
      </x:c>
      <x:c r="L863" s="35" t="n">
        <x:v>0</x:v>
      </x:c>
      <x:c r="M863" s="35" t="n">
        <x:v>7</x:v>
      </x:c>
      <x:c r="N863" s="35" t="str">
        <x:v>No</x:v>
      </x:c>
      <x:c r="O863" s="35" t="n">
        <x:v>2</x:v>
      </x:c>
      <x:c r="P863" s="35" t="n">
        <x:v>2</x:v>
      </x:c>
      <x:c r="Q863" s="35" t="n">
        <x:v>2</x:v>
      </x:c>
      <x:c r="R863" s="35" t="n">
        <x:v>2</x:v>
      </x:c>
      <x:c r="S863" s="35" t="n">
        <x:v>3</x:v>
      </x:c>
      <x:c r="T863" s="35" t="n">
        <x:v>3</x:v>
      </x:c>
      <x:c r="U863" s="35" t="n">
        <x:v>1</x:v>
      </x:c>
      <x:c r="V863" s="35" t="n">
        <x:v>6</x:v>
      </x:c>
      <x:c r="W863" s="35" t="n">
        <x:v>10</x:v>
      </x:c>
      <x:c r="X863" s="35" t="n">
        <x:v>75</x:v>
      </x:c>
      <x:c r="Y863" s="35" t="n">
        <x:v>4</x:v>
      </x:c>
      <x:c r="Z863" s="35" t="n">
        <x:v>89</x:v>
      </x:c>
      <x:c r="AA863" s="35" t="n">
        <x:v>3</x:v>
      </x:c>
      <x:c r="AB863" s="35" t="n">
        <x:v>2</x:v>
      </x:c>
      <x:c r="AC863" s="35" t="n">
        <x:v>1</x:v>
      </x:c>
      <x:c r="AD863" s="35" t="n">
        <x:v>77</x:v>
      </x:c>
      <x:c r="AE863" s="35" t="n">
        <x:v>73</x:v>
      </x:c>
      <x:c r="AF863" s="35" t="n">
        <x:v>64</x:v>
      </x:c>
      <x:c r="AG863" s="35" t="n">
        <x:v>73</x:v>
      </x:c>
      <x:c r="AH863" s="35" t="n">
        <x:v>4</x:v>
      </x:c>
      <x:c r="AI863" s="37" t="n">
        <x:v>91.4</x:v>
      </x:c>
      <x:c r="AJ863" s="37" t="n">
        <x:v>99.4</x:v>
      </x:c>
      <x:c r="AK863" s="35" t="str">
        <x:v>Yes</x:v>
      </x:c>
      <x:c r="AL863" s="38" t="n">
        <x:f>IF(AA863=0,0,AB863/AA863)</x:f>
        <x:v>0.6666666666666666</x:v>
      </x:c>
      <x:c r="AM863" s="38" t="n">
        <x:f>IF(AB863=0,0,AC863/AB863)</x:f>
        <x:v>0.5</x:v>
      </x:c>
      <x:c r="AN863" s="37" t="n">
        <x:f>ROUND((AD863*0.20+AE863*0.20+AF863*0.25+AG863*0.15+MIN(100,AC863*12)*0.20),1)</x:f>
        <x:v>59.4</x:v>
      </x:c>
      <x:c r="AO863" s="37" t="n">
        <x:f>ROUND(MAX(0,MIN(100,(X863*0.35)+(W863/45*100*0.20)+((5-O863)/4*100*0.15)+((5-P863)/4*100*0.10)+((6-Y863)/5*100*0.10)+((100-Z863)*0.10))),1)</x:f>
        <x:v>54.5</x:v>
      </x:c>
      <x:c r="AP863" s="37" t="str">
        <x:f>IF(AO863&gt;=70,"High",IF(AO863&gt;=40,"Moderate","Low"))</x:f>
        <x:v>Moderate</x:v>
      </x:c>
      <x:c r="AQ863" s="37" t="n">
        <x:f>ROUND(MAX(0,MIN(100,(O863/4*100*0.25)+(P863/4*100*0.20)+(Q863/4*100*0.15)+(Y863/5*100*0.20)+(100-AO863)*0.20)),1)</x:f>
        <x:v>55.1</x:v>
      </x:c>
      <x:c r="AR863" s="37" t="n">
        <x:f>ROUND((AI863*0.20+AJ863*0.15+AN863*0.18+AG863*0.12+Z863*0.15+AQ863*0.20),1)</x:f>
        <x:v>77</x:v>
      </x:c>
      <x:c r="AS863" s="39" t="n">
        <x:f>ROUND((AC863*AF863*120)+(AH863*350)+(MAX(0,AI863-75)*220)+(MAX(0,AQ863-60)*100),0)</x:f>
        <x:v>12688</x:v>
      </x:c>
    </x:row>
    <x:row r="864">
      <x:c r="A864" s="35" t="n">
        <x:v>863</x:v>
      </x:c>
      <x:c r="B864" s="35" t="n">
        <x:v>40</x:v>
      </x:c>
      <x:c r="C864" s="35" t="str">
        <x:v>Male</x:v>
      </x:c>
      <x:c r="D864" s="35" t="str">
        <x:v>Sales</x:v>
      </x:c>
      <x:c r="E864" s="35" t="str">
        <x:v>Sales Representative</x:v>
      </x:c>
      <x:c r="F864" s="35" t="str">
        <x:v>Marketing</x:v>
      </x:c>
      <x:c r="G864" s="35" t="str">
        <x:v>Married</x:v>
      </x:c>
      <x:c r="H864" s="35" t="n">
        <x:v>3</x:v>
      </x:c>
      <x:c r="I864" s="36" t="n">
        <x:v>8430</x:v>
      </x:c>
      <x:c r="J864" s="35" t="n">
        <x:v>17</x:v>
      </x:c>
      <x:c r="K864" s="35" t="n">
        <x:v>4</x:v>
      </x:c>
      <x:c r="L864" s="35" t="n">
        <x:v>3</x:v>
      </x:c>
      <x:c r="M864" s="35" t="n">
        <x:v>9</x:v>
      </x:c>
      <x:c r="N864" s="35" t="str">
        <x:v>No</x:v>
      </x:c>
      <x:c r="O864" s="35" t="n">
        <x:v>1</x:v>
      </x:c>
      <x:c r="P864" s="35" t="n">
        <x:v>3</x:v>
      </x:c>
      <x:c r="Q864" s="35" t="n">
        <x:v>3</x:v>
      </x:c>
      <x:c r="R864" s="35" t="n">
        <x:v>3</x:v>
      </x:c>
      <x:c r="S864" s="35" t="n">
        <x:v>3</x:v>
      </x:c>
      <x:c r="T864" s="35" t="n">
        <x:v>0</x:v>
      </x:c>
      <x:c r="U864" s="35" t="n">
        <x:v>1</x:v>
      </x:c>
      <x:c r="V864" s="35" t="n">
        <x:v>7</x:v>
      </x:c>
      <x:c r="W864" s="35" t="n">
        <x:v>5</x:v>
      </x:c>
      <x:c r="X864" s="35" t="n">
        <x:v>63</x:v>
      </x:c>
      <x:c r="Y864" s="35" t="n">
        <x:v>4</x:v>
      </x:c>
      <x:c r="Z864" s="35" t="n">
        <x:v>96</x:v>
      </x:c>
      <x:c r="AA864" s="35" t="n">
        <x:v>8</x:v>
      </x:c>
      <x:c r="AB864" s="35" t="n">
        <x:v>5</x:v>
      </x:c>
      <x:c r="AC864" s="35" t="n">
        <x:v>5</x:v>
      </x:c>
      <x:c r="AD864" s="35" t="n">
        <x:v>75</x:v>
      </x:c>
      <x:c r="AE864" s="35" t="n">
        <x:v>97</x:v>
      </x:c>
      <x:c r="AF864" s="35" t="n">
        <x:v>91</x:v>
      </x:c>
      <x:c r="AG864" s="35" t="n">
        <x:v>99</x:v>
      </x:c>
      <x:c r="AH864" s="35" t="n">
        <x:v>6</x:v>
      </x:c>
      <x:c r="AI864" s="37" t="n">
        <x:v>100</x:v>
      </x:c>
      <x:c r="AJ864" s="37" t="n">
        <x:v>100</x:v>
      </x:c>
      <x:c r="AK864" s="35" t="str">
        <x:v>No</x:v>
      </x:c>
      <x:c r="AL864" s="38" t="n">
        <x:f>IF(AA864=0,0,AB864/AA864)</x:f>
        <x:v>0.625</x:v>
      </x:c>
      <x:c r="AM864" s="38" t="n">
        <x:f>IF(AB864=0,0,AC864/AB864)</x:f>
        <x:v>1</x:v>
      </x:c>
      <x:c r="AN864" s="37" t="n">
        <x:f>ROUND((AD864*0.20+AE864*0.20+AF864*0.25+AG864*0.15+MIN(100,AC864*12)*0.20),1)</x:f>
        <x:v>84</x:v>
      </x:c>
      <x:c r="AO864" s="37" t="n">
        <x:f>ROUND(MAX(0,MIN(100,(X864*0.35)+(W864/45*100*0.20)+((5-O864)/4*100*0.15)+((5-P864)/4*100*0.10)+((6-Y864)/5*100*0.10)+((100-Z864)*0.10))),1)</x:f>
        <x:v>48.7</x:v>
      </x:c>
      <x:c r="AP864" s="37" t="str">
        <x:f>IF(AO864&gt;=70,"High",IF(AO864&gt;=40,"Moderate","Low"))</x:f>
        <x:v>Moderate</x:v>
      </x:c>
      <x:c r="AQ864" s="37" t="n">
        <x:f>ROUND(MAX(0,MIN(100,(O864/4*100*0.25)+(P864/4*100*0.20)+(Q864/4*100*0.15)+(Y864/5*100*0.20)+(100-AO864)*0.20)),1)</x:f>
        <x:v>58.8</x:v>
      </x:c>
      <x:c r="AR864" s="37" t="n">
        <x:f>ROUND((AI864*0.20+AJ864*0.15+AN864*0.18+AG864*0.12+Z864*0.15+AQ864*0.20),1)</x:f>
        <x:v>88.2</x:v>
      </x:c>
      <x:c r="AS864" s="39" t="n">
        <x:f>ROUND((AC864*AF864*120)+(AH864*350)+(MAX(0,AI864-75)*220)+(MAX(0,AQ864-60)*100),0)</x:f>
        <x:v>62200</x:v>
      </x:c>
    </x:row>
    <x:row r="865">
      <x:c r="A865" s="35" t="n">
        <x:v>864</x:v>
      </x:c>
      <x:c r="B865" s="35" t="n">
        <x:v>29</x:v>
      </x:c>
      <x:c r="C865" s="35" t="str">
        <x:v>Male</x:v>
      </x:c>
      <x:c r="D865" s="35" t="str">
        <x:v>Research &amp; Development</x:v>
      </x:c>
      <x:c r="E865" s="35" t="str">
        <x:v>Data Scientist</x:v>
      </x:c>
      <x:c r="F865" s="35" t="str">
        <x:v>Human Resources</x:v>
      </x:c>
      <x:c r="G865" s="35" t="str">
        <x:v>Single</x:v>
      </x:c>
      <x:c r="H865" s="35" t="n">
        <x:v>1</x:v>
      </x:c>
      <x:c r="I865" s="36" t="n">
        <x:v>4640</x:v>
      </x:c>
      <x:c r="J865" s="35" t="n">
        <x:v>6</x:v>
      </x:c>
      <x:c r="K865" s="35" t="n">
        <x:v>3</x:v>
      </x:c>
      <x:c r="L865" s="35" t="n">
        <x:v>2</x:v>
      </x:c>
      <x:c r="M865" s="35" t="n">
        <x:v>44</x:v>
      </x:c>
      <x:c r="N865" s="35" t="str">
        <x:v>No</x:v>
      </x:c>
      <x:c r="O865" s="35" t="n">
        <x:v>3</x:v>
      </x:c>
      <x:c r="P865" s="35" t="n">
        <x:v>3</x:v>
      </x:c>
      <x:c r="Q865" s="35" t="n">
        <x:v>4</x:v>
      </x:c>
      <x:c r="R865" s="35" t="n">
        <x:v>4</x:v>
      </x:c>
      <x:c r="S865" s="35" t="n">
        <x:v>3</x:v>
      </x:c>
      <x:c r="T865" s="35" t="n">
        <x:v>2</x:v>
      </x:c>
      <x:c r="U865" s="35" t="n">
        <x:v>3</x:v>
      </x:c>
      <x:c r="V865" s="35" t="n">
        <x:v>9</x:v>
      </x:c>
      <x:c r="W865" s="35" t="n">
        <x:v>2</x:v>
      </x:c>
      <x:c r="X865" s="35" t="n">
        <x:v>65</x:v>
      </x:c>
      <x:c r="Y865" s="35" t="n">
        <x:v>4</x:v>
      </x:c>
      <x:c r="Z865" s="35" t="n">
        <x:v>100</x:v>
      </x:c>
      <x:c r="AA865" s="35" t="n">
        <x:v>2</x:v>
      </x:c>
      <x:c r="AB865" s="35" t="n">
        <x:v>2</x:v>
      </x:c>
      <x:c r="AC865" s="35" t="n">
        <x:v>2</x:v>
      </x:c>
      <x:c r="AD865" s="35" t="n">
        <x:v>64</x:v>
      </x:c>
      <x:c r="AE865" s="35" t="n">
        <x:v>73</x:v>
      </x:c>
      <x:c r="AF865" s="35" t="n">
        <x:v>65</x:v>
      </x:c>
      <x:c r="AG865" s="35" t="n">
        <x:v>96</x:v>
      </x:c>
      <x:c r="AH865" s="35" t="n">
        <x:v>4</x:v>
      </x:c>
      <x:c r="AI865" s="37" t="n">
        <x:v>95.5</x:v>
      </x:c>
      <x:c r="AJ865" s="37" t="n">
        <x:v>93.3</x:v>
      </x:c>
      <x:c r="AK865" s="35" t="str">
        <x:v>No</x:v>
      </x:c>
      <x:c r="AL865" s="38" t="n">
        <x:f>IF(AA865=0,0,AB865/AA865)</x:f>
        <x:v>1</x:v>
      </x:c>
      <x:c r="AM865" s="38" t="n">
        <x:f>IF(AB865=0,0,AC865/AB865)</x:f>
        <x:v>1</x:v>
      </x:c>
      <x:c r="AN865" s="37" t="n">
        <x:f>ROUND((AD865*0.20+AE865*0.20+AF865*0.25+AG865*0.15+MIN(100,AC865*12)*0.20),1)</x:f>
        <x:v>62.9</x:v>
      </x:c>
      <x:c r="AO865" s="37" t="n">
        <x:f>ROUND(MAX(0,MIN(100,(X865*0.35)+(W865/45*100*0.20)+((5-O865)/4*100*0.15)+((5-P865)/4*100*0.10)+((6-Y865)/5*100*0.10)+((100-Z865)*0.10))),1)</x:f>
        <x:v>40.1</x:v>
      </x:c>
      <x:c r="AP865" s="37" t="str">
        <x:f>IF(AO865&gt;=70,"High",IF(AO865&gt;=40,"Moderate","Low"))</x:f>
        <x:v>Moderate</x:v>
      </x:c>
      <x:c r="AQ865" s="37" t="n">
        <x:f>ROUND(MAX(0,MIN(100,(O865/4*100*0.25)+(P865/4*100*0.20)+(Q865/4*100*0.15)+(Y865/5*100*0.20)+(100-AO865)*0.20)),1)</x:f>
        <x:v>76.7</x:v>
      </x:c>
      <x:c r="AR865" s="37" t="n">
        <x:f>ROUND((AI865*0.20+AJ865*0.15+AN865*0.18+AG865*0.12+Z865*0.15+AQ865*0.20),1)</x:f>
        <x:v>86.3</x:v>
      </x:c>
      <x:c r="AS865" s="39" t="n">
        <x:f>ROUND((AC865*AF865*120)+(AH865*350)+(MAX(0,AI865-75)*220)+(MAX(0,AQ865-60)*100),0)</x:f>
        <x:v>23180</x:v>
      </x:c>
    </x:row>
    <x:row r="866">
      <x:c r="A866" s="35" t="n">
        <x:v>865</x:v>
      </x:c>
      <x:c r="B866" s="35" t="n">
        <x:v>36</x:v>
      </x:c>
      <x:c r="C866" s="35" t="str">
        <x:v>Male</x:v>
      </x:c>
      <x:c r="D866" s="35" t="str">
        <x:v>Research &amp; Development</x:v>
      </x:c>
      <x:c r="E866" s="35" t="str">
        <x:v>Research Scientist</x:v>
      </x:c>
      <x:c r="F866" s="35" t="str">
        <x:v>Business</x:v>
      </x:c>
      <x:c r="G866" s="35" t="str">
        <x:v>Divorced</x:v>
      </x:c>
      <x:c r="H866" s="35" t="n">
        <x:v>2</x:v>
      </x:c>
      <x:c r="I866" s="36" t="n">
        <x:v>5170</x:v>
      </x:c>
      <x:c r="J866" s="35" t="n">
        <x:v>7</x:v>
      </x:c>
      <x:c r="K866" s="35" t="n">
        <x:v>5</x:v>
      </x:c>
      <x:c r="L866" s="35" t="n">
        <x:v>3</x:v>
      </x:c>
      <x:c r="M866" s="35" t="n">
        <x:v>8</x:v>
      </x:c>
      <x:c r="N866" s="35" t="str">
        <x:v>Yes</x:v>
      </x:c>
      <x:c r="O866" s="35" t="n">
        <x:v>2</x:v>
      </x:c>
      <x:c r="P866" s="35" t="n">
        <x:v>4</x:v>
      </x:c>
      <x:c r="Q866" s="35" t="n">
        <x:v>4</x:v>
      </x:c>
      <x:c r="R866" s="35" t="n">
        <x:v>2</x:v>
      </x:c>
      <x:c r="S866" s="35" t="n">
        <x:v>3</x:v>
      </x:c>
      <x:c r="T866" s="35" t="n">
        <x:v>3</x:v>
      </x:c>
      <x:c r="U866" s="35" t="n">
        <x:v>1</x:v>
      </x:c>
      <x:c r="V866" s="35" t="n">
        <x:v>5</x:v>
      </x:c>
      <x:c r="W866" s="35" t="n">
        <x:v>22</x:v>
      </x:c>
      <x:c r="X866" s="35" t="n">
        <x:v>91</x:v>
      </x:c>
      <x:c r="Y866" s="35" t="n">
        <x:v>5</x:v>
      </x:c>
      <x:c r="Z866" s="35" t="n">
        <x:v>97</x:v>
      </x:c>
      <x:c r="AA866" s="35" t="n">
        <x:v>3</x:v>
      </x:c>
      <x:c r="AB866" s="35" t="n">
        <x:v>3</x:v>
      </x:c>
      <x:c r="AC866" s="35" t="n">
        <x:v>3</x:v>
      </x:c>
      <x:c r="AD866" s="35" t="n">
        <x:v>64</x:v>
      </x:c>
      <x:c r="AE866" s="35" t="n">
        <x:v>63</x:v>
      </x:c>
      <x:c r="AF866" s="35" t="n">
        <x:v>59</x:v>
      </x:c>
      <x:c r="AG866" s="35" t="n">
        <x:v>66</x:v>
      </x:c>
      <x:c r="AH866" s="35" t="n">
        <x:v>7</x:v>
      </x:c>
      <x:c r="AI866" s="37" t="n">
        <x:v>93.9</x:v>
      </x:c>
      <x:c r="AJ866" s="37" t="n">
        <x:v>99</x:v>
      </x:c>
      <x:c r="AK866" s="35" t="str">
        <x:v>No</x:v>
      </x:c>
      <x:c r="AL866" s="38" t="n">
        <x:f>IF(AA866=0,0,AB866/AA866)</x:f>
        <x:v>1</x:v>
      </x:c>
      <x:c r="AM866" s="38" t="n">
        <x:f>IF(AB866=0,0,AC866/AB866)</x:f>
        <x:v>1</x:v>
      </x:c>
      <x:c r="AN866" s="37" t="n">
        <x:f>ROUND((AD866*0.20+AE866*0.20+AF866*0.25+AG866*0.15+MIN(100,AC866*12)*0.20),1)</x:f>
        <x:v>57.3</x:v>
      </x:c>
      <x:c r="AO866" s="37" t="n">
        <x:f>ROUND(MAX(0,MIN(100,(X866*0.35)+(W866/45*100*0.20)+((5-O866)/4*100*0.15)+((5-P866)/4*100*0.10)+((6-Y866)/5*100*0.10)+((100-Z866)*0.10))),1)</x:f>
        <x:v>57.7</x:v>
      </x:c>
      <x:c r="AP866" s="37" t="str">
        <x:f>IF(AO866&gt;=70,"High",IF(AO866&gt;=40,"Moderate","Low"))</x:f>
        <x:v>Moderate</x:v>
      </x:c>
      <x:c r="AQ866" s="37" t="n">
        <x:f>ROUND(MAX(0,MIN(100,(O866/4*100*0.25)+(P866/4*100*0.20)+(Q866/4*100*0.15)+(Y866/5*100*0.20)+(100-AO866)*0.20)),1)</x:f>
        <x:v>76</x:v>
      </x:c>
      <x:c r="AR866" s="37" t="n">
        <x:f>ROUND((AI866*0.20+AJ866*0.15+AN866*0.18+AG866*0.12+Z866*0.15+AQ866*0.20),1)</x:f>
        <x:v>81.6</x:v>
      </x:c>
      <x:c r="AS866" s="39" t="n">
        <x:f>ROUND((AC866*AF866*120)+(AH866*350)+(MAX(0,AI866-75)*220)+(MAX(0,AQ866-60)*100),0)</x:f>
        <x:v>29448</x:v>
      </x:c>
    </x:row>
    <x:row r="867">
      <x:c r="A867" s="35" t="n">
        <x:v>866</x:v>
      </x:c>
      <x:c r="B867" s="35" t="n">
        <x:v>31</x:v>
      </x:c>
      <x:c r="C867" s="35" t="str">
        <x:v>Male</x:v>
      </x:c>
      <x:c r="D867" s="35" t="str">
        <x:v>Research &amp; Development</x:v>
      </x:c>
      <x:c r="E867" s="35" t="str">
        <x:v>Laboratory Technician</x:v>
      </x:c>
      <x:c r="F867" s="35" t="str">
        <x:v>Marketing</x:v>
      </x:c>
      <x:c r="G867" s="35" t="str">
        <x:v>Divorced</x:v>
      </x:c>
      <x:c r="H867" s="35" t="n">
        <x:v>1</x:v>
      </x:c>
      <x:c r="I867" s="36" t="n">
        <x:v>6550</x:v>
      </x:c>
      <x:c r="J867" s="35" t="n">
        <x:v>5</x:v>
      </x:c>
      <x:c r="K867" s="35" t="n">
        <x:v>4</x:v>
      </x:c>
      <x:c r="L867" s="35" t="n">
        <x:v>1</x:v>
      </x:c>
      <x:c r="M867" s="35" t="n">
        <x:v>13</x:v>
      </x:c>
      <x:c r="N867" s="35" t="str">
        <x:v>No</x:v>
      </x:c>
      <x:c r="O867" s="35" t="n">
        <x:v>2</x:v>
      </x:c>
      <x:c r="P867" s="35" t="n">
        <x:v>3</x:v>
      </x:c>
      <x:c r="Q867" s="35" t="n">
        <x:v>4</x:v>
      </x:c>
      <x:c r="R867" s="35" t="n">
        <x:v>2</x:v>
      </x:c>
      <x:c r="S867" s="35" t="n">
        <x:v>3</x:v>
      </x:c>
      <x:c r="T867" s="35" t="n">
        <x:v>3</x:v>
      </x:c>
      <x:c r="U867" s="35" t="n">
        <x:v>0</x:v>
      </x:c>
      <x:c r="V867" s="35" t="n">
        <x:v>0</x:v>
      </x:c>
      <x:c r="W867" s="35" t="n">
        <x:v>0</x:v>
      </x:c>
      <x:c r="X867" s="35" t="n">
        <x:v>56</x:v>
      </x:c>
      <x:c r="Y867" s="35" t="n">
        <x:v>4</x:v>
      </x:c>
      <x:c r="Z867" s="35" t="n">
        <x:v>93</x:v>
      </x:c>
      <x:c r="AA867" s="35" t="n">
        <x:v>7</x:v>
      </x:c>
      <x:c r="AB867" s="35" t="n">
        <x:v>5</x:v>
      </x:c>
      <x:c r="AC867" s="35" t="n">
        <x:v>5</x:v>
      </x:c>
      <x:c r="AD867" s="35" t="n">
        <x:v>82</x:v>
      </x:c>
      <x:c r="AE867" s="35" t="n">
        <x:v>88</x:v>
      </x:c>
      <x:c r="AF867" s="35" t="n">
        <x:v>86</x:v>
      </x:c>
      <x:c r="AG867" s="35" t="n">
        <x:v>96</x:v>
      </x:c>
      <x:c r="AH867" s="35" t="n">
        <x:v>7</x:v>
      </x:c>
      <x:c r="AI867" s="37" t="n">
        <x:v>98.2</x:v>
      </x:c>
      <x:c r="AJ867" s="37" t="n">
        <x:v>96.8</x:v>
      </x:c>
      <x:c r="AK867" s="35" t="str">
        <x:v>No</x:v>
      </x:c>
      <x:c r="AL867" s="38" t="n">
        <x:f>IF(AA867=0,0,AB867/AA867)</x:f>
        <x:v>0.7142857142857143</x:v>
      </x:c>
      <x:c r="AM867" s="38" t="n">
        <x:f>IF(AB867=0,0,AC867/AB867)</x:f>
        <x:v>1</x:v>
      </x:c>
      <x:c r="AN867" s="37" t="n">
        <x:f>ROUND((AD867*0.20+AE867*0.20+AF867*0.25+AG867*0.15+MIN(100,AC867*12)*0.20),1)</x:f>
        <x:v>81.9</x:v>
      </x:c>
      <x:c r="AO867" s="37" t="n">
        <x:f>ROUND(MAX(0,MIN(100,(X867*0.35)+(W867/45*100*0.20)+((5-O867)/4*100*0.15)+((5-P867)/4*100*0.10)+((6-Y867)/5*100*0.10)+((100-Z867)*0.10))),1)</x:f>
        <x:v>40.6</x:v>
      </x:c>
      <x:c r="AP867" s="37" t="str">
        <x:f>IF(AO867&gt;=70,"High",IF(AO867&gt;=40,"Moderate","Low"))</x:f>
        <x:v>Moderate</x:v>
      </x:c>
      <x:c r="AQ867" s="37" t="n">
        <x:f>ROUND(MAX(0,MIN(100,(O867/4*100*0.25)+(P867/4*100*0.20)+(Q867/4*100*0.15)+(Y867/5*100*0.20)+(100-AO867)*0.20)),1)</x:f>
        <x:v>70.4</x:v>
      </x:c>
      <x:c r="AR867" s="37" t="n">
        <x:f>ROUND((AI867*0.20+AJ867*0.15+AN867*0.18+AG867*0.12+Z867*0.15+AQ867*0.20),1)</x:f>
        <x:v>88.5</x:v>
      </x:c>
      <x:c r="AS867" s="39" t="n">
        <x:f>ROUND((AC867*AF867*120)+(AH867*350)+(MAX(0,AI867-75)*220)+(MAX(0,AQ867-60)*100),0)</x:f>
        <x:v>60194</x:v>
      </x:c>
    </x:row>
    <x:row r="868">
      <x:c r="A868" s="35" t="n">
        <x:v>867</x:v>
      </x:c>
      <x:c r="B868" s="35" t="n">
        <x:v>41</x:v>
      </x:c>
      <x:c r="C868" s="35" t="str">
        <x:v>Female</x:v>
      </x:c>
      <x:c r="D868" s="35" t="str">
        <x:v>Sales</x:v>
      </x:c>
      <x:c r="E868" s="35" t="str">
        <x:v>Sales Executive</x:v>
      </x:c>
      <x:c r="F868" s="35" t="str">
        <x:v>Computer Science</x:v>
      </x:c>
      <x:c r="G868" s="35" t="str">
        <x:v>Single</x:v>
      </x:c>
      <x:c r="H868" s="35" t="n">
        <x:v>3</x:v>
      </x:c>
      <x:c r="I868" s="36" t="n">
        <x:v>14590</x:v>
      </x:c>
      <x:c r="J868" s="35" t="n">
        <x:v>18</x:v>
      </x:c>
      <x:c r="K868" s="35" t="n">
        <x:v>10</x:v>
      </x:c>
      <x:c r="L868" s="35" t="n">
        <x:v>5</x:v>
      </x:c>
      <x:c r="M868" s="35" t="n">
        <x:v>10</x:v>
      </x:c>
      <x:c r="N868" s="35" t="str">
        <x:v>No</x:v>
      </x:c>
      <x:c r="O868" s="35" t="n">
        <x:v>4</x:v>
      </x:c>
      <x:c r="P868" s="35" t="n">
        <x:v>1</x:v>
      </x:c>
      <x:c r="Q868" s="35" t="n">
        <x:v>3</x:v>
      </x:c>
      <x:c r="R868" s="35" t="n">
        <x:v>3</x:v>
      </x:c>
      <x:c r="S868" s="35" t="n">
        <x:v>3</x:v>
      </x:c>
      <x:c r="T868" s="35" t="n">
        <x:v>2</x:v>
      </x:c>
      <x:c r="U868" s="35" t="n">
        <x:v>1</x:v>
      </x:c>
      <x:c r="V868" s="35" t="n">
        <x:v>10</x:v>
      </x:c>
      <x:c r="W868" s="35" t="n">
        <x:v>4</x:v>
      </x:c>
      <x:c r="X868" s="35" t="n">
        <x:v>83</x:v>
      </x:c>
      <x:c r="Y868" s="35" t="n">
        <x:v>4</x:v>
      </x:c>
      <x:c r="Z868" s="35" t="n">
        <x:v>80</x:v>
      </x:c>
      <x:c r="AA868" s="35" t="n">
        <x:v>8</x:v>
      </x:c>
      <x:c r="AB868" s="35" t="n">
        <x:v>6</x:v>
      </x:c>
      <x:c r="AC868" s="35" t="n">
        <x:v>5</x:v>
      </x:c>
      <x:c r="AD868" s="35" t="n">
        <x:v>85</x:v>
      </x:c>
      <x:c r="AE868" s="35" t="n">
        <x:v>79</x:v>
      </x:c>
      <x:c r="AF868" s="35" t="n">
        <x:v>79</x:v>
      </x:c>
      <x:c r="AG868" s="35" t="n">
        <x:v>87</x:v>
      </x:c>
      <x:c r="AH868" s="35" t="n">
        <x:v>8</x:v>
      </x:c>
      <x:c r="AI868" s="37" t="n">
        <x:v>100</x:v>
      </x:c>
      <x:c r="AJ868" s="37" t="n">
        <x:v>95.8</x:v>
      </x:c>
      <x:c r="AK868" s="35" t="str">
        <x:v>No</x:v>
      </x:c>
      <x:c r="AL868" s="38" t="n">
        <x:f>IF(AA868=0,0,AB868/AA868)</x:f>
        <x:v>0.75</x:v>
      </x:c>
      <x:c r="AM868" s="38" t="n">
        <x:f>IF(AB868=0,0,AC868/AB868)</x:f>
        <x:v>0.8333333333333334</x:v>
      </x:c>
      <x:c r="AN868" s="37" t="n">
        <x:f>ROUND((AD868*0.20+AE868*0.20+AF868*0.25+AG868*0.15+MIN(100,AC868*12)*0.20),1)</x:f>
        <x:v>77.6</x:v>
      </x:c>
      <x:c r="AO868" s="37" t="n">
        <x:f>ROUND(MAX(0,MIN(100,(X868*0.35)+(W868/45*100*0.20)+((5-O868)/4*100*0.15)+((5-P868)/4*100*0.10)+((6-Y868)/5*100*0.10)+((100-Z868)*0.10))),1)</x:f>
        <x:v>50.6</x:v>
      </x:c>
      <x:c r="AP868" s="37" t="str">
        <x:f>IF(AO868&gt;=70,"High",IF(AO868&gt;=40,"Moderate","Low"))</x:f>
        <x:v>Moderate</x:v>
      </x:c>
      <x:c r="AQ868" s="37" t="n">
        <x:f>ROUND(MAX(0,MIN(100,(O868/4*100*0.25)+(P868/4*100*0.20)+(Q868/4*100*0.15)+(Y868/5*100*0.20)+(100-AO868)*0.20)),1)</x:f>
        <x:v>67.1</x:v>
      </x:c>
      <x:c r="AR868" s="37" t="n">
        <x:f>ROUND((AI868*0.20+AJ868*0.15+AN868*0.18+AG868*0.12+Z868*0.15+AQ868*0.20),1)</x:f>
        <x:v>84.2</x:v>
      </x:c>
      <x:c r="AS868" s="39" t="n">
        <x:f>ROUND((AC868*AF868*120)+(AH868*350)+(MAX(0,AI868-75)*220)+(MAX(0,AQ868-60)*100),0)</x:f>
        <x:v>56410</x:v>
      </x:c>
    </x:row>
    <x:row r="869">
      <x:c r="A869" s="35" t="n">
        <x:v>868</x:v>
      </x:c>
      <x:c r="B869" s="35" t="n">
        <x:v>42</x:v>
      </x:c>
      <x:c r="C869" s="35" t="str">
        <x:v>Female</x:v>
      </x:c>
      <x:c r="D869" s="35" t="str">
        <x:v>Sales</x:v>
      </x:c>
      <x:c r="E869" s="35" t="str">
        <x:v>Sales Representative</x:v>
      </x:c>
      <x:c r="F869" s="35" t="str">
        <x:v>Medical</x:v>
      </x:c>
      <x:c r="G869" s="35" t="str">
        <x:v>Married</x:v>
      </x:c>
      <x:c r="H869" s="35" t="n">
        <x:v>3</x:v>
      </x:c>
      <x:c r="I869" s="36" t="n">
        <x:v>14880</x:v>
      </x:c>
      <x:c r="J869" s="35" t="n">
        <x:v>17</x:v>
      </x:c>
      <x:c r="K869" s="35" t="n">
        <x:v>13</x:v>
      </x:c>
      <x:c r="L869" s="35" t="n">
        <x:v>7</x:v>
      </x:c>
      <x:c r="M869" s="35" t="n">
        <x:v>15</x:v>
      </x:c>
      <x:c r="N869" s="35" t="str">
        <x:v>No</x:v>
      </x:c>
      <x:c r="O869" s="35" t="n">
        <x:v>2</x:v>
      </x:c>
      <x:c r="P869" s="35" t="n">
        <x:v>3</x:v>
      </x:c>
      <x:c r="Q869" s="35" t="n">
        <x:v>4</x:v>
      </x:c>
      <x:c r="R869" s="35" t="n">
        <x:v>2</x:v>
      </x:c>
      <x:c r="S869" s="35" t="n">
        <x:v>3</x:v>
      </x:c>
      <x:c r="T869" s="35" t="n">
        <x:v>5</x:v>
      </x:c>
      <x:c r="U869" s="35" t="n">
        <x:v>1</x:v>
      </x:c>
      <x:c r="V869" s="35" t="n">
        <x:v>5</x:v>
      </x:c>
      <x:c r="W869" s="35" t="n">
        <x:v>7</x:v>
      </x:c>
      <x:c r="X869" s="35" t="n">
        <x:v>57</x:v>
      </x:c>
      <x:c r="Y869" s="35" t="n">
        <x:v>5</x:v>
      </x:c>
      <x:c r="Z869" s="35" t="n">
        <x:v>95</x:v>
      </x:c>
      <x:c r="AA869" s="35" t="n">
        <x:v>7</x:v>
      </x:c>
      <x:c r="AB869" s="35" t="n">
        <x:v>5</x:v>
      </x:c>
      <x:c r="AC869" s="35" t="n">
        <x:v>4</x:v>
      </x:c>
      <x:c r="AD869" s="35" t="n">
        <x:v>64</x:v>
      </x:c>
      <x:c r="AE869" s="35" t="n">
        <x:v>65</x:v>
      </x:c>
      <x:c r="AF869" s="35" t="n">
        <x:v>84</x:v>
      </x:c>
      <x:c r="AG869" s="35" t="n">
        <x:v>79</x:v>
      </x:c>
      <x:c r="AH869" s="35" t="n">
        <x:v>6</x:v>
      </x:c>
      <x:c r="AI869" s="37" t="n">
        <x:v>98.4</x:v>
      </x:c>
      <x:c r="AJ869" s="37" t="n">
        <x:v>93.4</x:v>
      </x:c>
      <x:c r="AK869" s="35" t="str">
        <x:v>Yes</x:v>
      </x:c>
      <x:c r="AL869" s="38" t="n">
        <x:f>IF(AA869=0,0,AB869/AA869)</x:f>
        <x:v>0.7142857142857143</x:v>
      </x:c>
      <x:c r="AM869" s="38" t="n">
        <x:f>IF(AB869=0,0,AC869/AB869)</x:f>
        <x:v>0.8</x:v>
      </x:c>
      <x:c r="AN869" s="37" t="n">
        <x:f>ROUND((AD869*0.20+AE869*0.20+AF869*0.25+AG869*0.15+MIN(100,AC869*12)*0.20),1)</x:f>
        <x:v>68.3</x:v>
      </x:c>
      <x:c r="AO869" s="37" t="n">
        <x:f>ROUND(MAX(0,MIN(100,(X869*0.35)+(W869/45*100*0.20)+((5-O869)/4*100*0.15)+((5-P869)/4*100*0.10)+((6-Y869)/5*100*0.10)+((100-Z869)*0.10))),1)</x:f>
        <x:v>41.8</x:v>
      </x:c>
      <x:c r="AP869" s="37" t="str">
        <x:f>IF(AO869&gt;=70,"High",IF(AO869&gt;=40,"Moderate","Low"))</x:f>
        <x:v>Moderate</x:v>
      </x:c>
      <x:c r="AQ869" s="37" t="n">
        <x:f>ROUND(MAX(0,MIN(100,(O869/4*100*0.25)+(P869/4*100*0.20)+(Q869/4*100*0.15)+(Y869/5*100*0.20)+(100-AO869)*0.20)),1)</x:f>
        <x:v>74.1</x:v>
      </x:c>
      <x:c r="AR869" s="37" t="n">
        <x:f>ROUND((AI869*0.20+AJ869*0.15+AN869*0.18+AG869*0.12+Z869*0.15+AQ869*0.20),1)</x:f>
        <x:v>84.5</x:v>
      </x:c>
      <x:c r="AS869" s="39" t="n">
        <x:f>ROUND((AC869*AF869*120)+(AH869*350)+(MAX(0,AI869-75)*220)+(MAX(0,AQ869-60)*100),0)</x:f>
        <x:v>48978</x:v>
      </x:c>
    </x:row>
    <x:row r="870">
      <x:c r="A870" s="35" t="n">
        <x:v>869</x:v>
      </x:c>
      <x:c r="B870" s="35" t="n">
        <x:v>39</x:v>
      </x:c>
      <x:c r="C870" s="35" t="str">
        <x:v>Male</x:v>
      </x:c>
      <x:c r="D870" s="35" t="str">
        <x:v>Human Resources</x:v>
      </x:c>
      <x:c r="E870" s="35" t="str">
        <x:v>Talent Development Specialist</x:v>
      </x:c>
      <x:c r="F870" s="35" t="str">
        <x:v>Marketing</x:v>
      </x:c>
      <x:c r="G870" s="35" t="str">
        <x:v>Single</x:v>
      </x:c>
      <x:c r="H870" s="35" t="n">
        <x:v>2</x:v>
      </x:c>
      <x:c r="I870" s="36" t="n">
        <x:v>7230</x:v>
      </x:c>
      <x:c r="J870" s="35" t="n">
        <x:v>15</x:v>
      </x:c>
      <x:c r="K870" s="35" t="n">
        <x:v>12</x:v>
      </x:c>
      <x:c r="L870" s="35" t="n">
        <x:v>10</x:v>
      </x:c>
      <x:c r="M870" s="35" t="n">
        <x:v>7</x:v>
      </x:c>
      <x:c r="N870" s="35" t="str">
        <x:v>No</x:v>
      </x:c>
      <x:c r="O870" s="35" t="n">
        <x:v>1</x:v>
      </x:c>
      <x:c r="P870" s="35" t="n">
        <x:v>3</x:v>
      </x:c>
      <x:c r="Q870" s="35" t="n">
        <x:v>3</x:v>
      </x:c>
      <x:c r="R870" s="35" t="n">
        <x:v>4</x:v>
      </x:c>
      <x:c r="S870" s="35" t="n">
        <x:v>3</x:v>
      </x:c>
      <x:c r="T870" s="35" t="n">
        <x:v>4</x:v>
      </x:c>
      <x:c r="U870" s="35" t="n">
        <x:v>0</x:v>
      </x:c>
      <x:c r="V870" s="35" t="n">
        <x:v>12</x:v>
      </x:c>
      <x:c r="W870" s="35" t="n">
        <x:v>4</x:v>
      </x:c>
      <x:c r="X870" s="35" t="n">
        <x:v>62</x:v>
      </x:c>
      <x:c r="Y870" s="35" t="n">
        <x:v>4</x:v>
      </x:c>
      <x:c r="Z870" s="35" t="n">
        <x:v>100</x:v>
      </x:c>
      <x:c r="AA870" s="35" t="n">
        <x:v>7</x:v>
      </x:c>
      <x:c r="AB870" s="35" t="n">
        <x:v>3</x:v>
      </x:c>
      <x:c r="AC870" s="35" t="n">
        <x:v>3</x:v>
      </x:c>
      <x:c r="AD870" s="35" t="n">
        <x:v>72</x:v>
      </x:c>
      <x:c r="AE870" s="35" t="n">
        <x:v>47</x:v>
      </x:c>
      <x:c r="AF870" s="35" t="n">
        <x:v>97</x:v>
      </x:c>
      <x:c r="AG870" s="35" t="n">
        <x:v>87</x:v>
      </x:c>
      <x:c r="AH870" s="35" t="n">
        <x:v>7</x:v>
      </x:c>
      <x:c r="AI870" s="37" t="n">
        <x:v>88.2</x:v>
      </x:c>
      <x:c r="AJ870" s="37" t="n">
        <x:v>92.6</x:v>
      </x:c>
      <x:c r="AK870" s="35" t="str">
        <x:v>No</x:v>
      </x:c>
      <x:c r="AL870" s="38" t="n">
        <x:f>IF(AA870=0,0,AB870/AA870)</x:f>
        <x:v>0.42857142857142855</x:v>
      </x:c>
      <x:c r="AM870" s="38" t="n">
        <x:f>IF(AB870=0,0,AC870/AB870)</x:f>
        <x:v>1</x:v>
      </x:c>
      <x:c r="AN870" s="37" t="n">
        <x:f>ROUND((AD870*0.20+AE870*0.20+AF870*0.25+AG870*0.15+MIN(100,AC870*12)*0.20),1)</x:f>
        <x:v>68.3</x:v>
      </x:c>
      <x:c r="AO870" s="37" t="n">
        <x:f>ROUND(MAX(0,MIN(100,(X870*0.35)+(W870/45*100*0.20)+((5-O870)/4*100*0.15)+((5-P870)/4*100*0.10)+((6-Y870)/5*100*0.10)+((100-Z870)*0.10))),1)</x:f>
        <x:v>47.5</x:v>
      </x:c>
      <x:c r="AP870" s="37" t="str">
        <x:f>IF(AO870&gt;=70,"High",IF(AO870&gt;=40,"Moderate","Low"))</x:f>
        <x:v>Moderate</x:v>
      </x:c>
      <x:c r="AQ870" s="37" t="n">
        <x:f>ROUND(MAX(0,MIN(100,(O870/4*100*0.25)+(P870/4*100*0.20)+(Q870/4*100*0.15)+(Y870/5*100*0.20)+(100-AO870)*0.20)),1)</x:f>
        <x:v>59</x:v>
      </x:c>
      <x:c r="AR870" s="37" t="n">
        <x:f>ROUND((AI870*0.20+AJ870*0.15+AN870*0.18+AG870*0.12+Z870*0.15+AQ870*0.20),1)</x:f>
        <x:v>81.1</x:v>
      </x:c>
      <x:c r="AS870" s="39" t="n">
        <x:f>ROUND((AC870*AF870*120)+(AH870*350)+(MAX(0,AI870-75)*220)+(MAX(0,AQ870-60)*100),0)</x:f>
        <x:v>40274</x:v>
      </x:c>
    </x:row>
    <x:row r="871">
      <x:c r="A871" s="35" t="n">
        <x:v>870</x:v>
      </x:c>
      <x:c r="B871" s="35" t="n">
        <x:v>21</x:v>
      </x:c>
      <x:c r="C871" s="35" t="str">
        <x:v>Female</x:v>
      </x:c>
      <x:c r="D871" s="35" t="str">
        <x:v>Sales</x:v>
      </x:c>
      <x:c r="E871" s="35" t="str">
        <x:v>Account Manager</x:v>
      </x:c>
      <x:c r="F871" s="35" t="str">
        <x:v>Medical</x:v>
      </x:c>
      <x:c r="G871" s="35" t="str">
        <x:v>Married</x:v>
      </x:c>
      <x:c r="H871" s="35" t="n">
        <x:v>1</x:v>
      </x:c>
      <x:c r="I871" s="36" t="n">
        <x:v>7140</x:v>
      </x:c>
      <x:c r="J871" s="35" t="n">
        <x:v>0</x:v>
      </x:c>
      <x:c r="K871" s="35" t="n">
        <x:v>0</x:v>
      </x:c>
      <x:c r="L871" s="35" t="n">
        <x:v>0</x:v>
      </x:c>
      <x:c r="M871" s="35" t="n">
        <x:v>12</x:v>
      </x:c>
      <x:c r="N871" s="35" t="str">
        <x:v>No</x:v>
      </x:c>
      <x:c r="O871" s="35" t="n">
        <x:v>3</x:v>
      </x:c>
      <x:c r="P871" s="35" t="n">
        <x:v>3</x:v>
      </x:c>
      <x:c r="Q871" s="35" t="n">
        <x:v>3</x:v>
      </x:c>
      <x:c r="R871" s="35" t="n">
        <x:v>2</x:v>
      </x:c>
      <x:c r="S871" s="35" t="n">
        <x:v>3</x:v>
      </x:c>
      <x:c r="T871" s="35" t="n">
        <x:v>4</x:v>
      </x:c>
      <x:c r="U871" s="35" t="n">
        <x:v>0</x:v>
      </x:c>
      <x:c r="V871" s="35" t="n">
        <x:v>12</x:v>
      </x:c>
      <x:c r="W871" s="35" t="n">
        <x:v>0</x:v>
      </x:c>
      <x:c r="X871" s="35" t="n">
        <x:v>79</x:v>
      </x:c>
      <x:c r="Y871" s="35" t="n">
        <x:v>3</x:v>
      </x:c>
      <x:c r="Z871" s="35" t="n">
        <x:v>82</x:v>
      </x:c>
      <x:c r="AA871" s="35" t="n">
        <x:v>1</x:v>
      </x:c>
      <x:c r="AB871" s="35" t="n">
        <x:v>1</x:v>
      </x:c>
      <x:c r="AC871" s="35" t="n">
        <x:v>1</x:v>
      </x:c>
      <x:c r="AD871" s="35" t="n">
        <x:v>29</x:v>
      </x:c>
      <x:c r="AE871" s="35" t="n">
        <x:v>66</x:v>
      </x:c>
      <x:c r="AF871" s="35" t="n">
        <x:v>65</x:v>
      </x:c>
      <x:c r="AG871" s="35" t="n">
        <x:v>80</x:v>
      </x:c>
      <x:c r="AH871" s="35" t="n">
        <x:v>5</x:v>
      </x:c>
      <x:c r="AI871" s="37" t="n">
        <x:v>100</x:v>
      </x:c>
      <x:c r="AJ871" s="37" t="n">
        <x:v>83.9</x:v>
      </x:c>
      <x:c r="AK871" s="35" t="str">
        <x:v>Yes</x:v>
      </x:c>
      <x:c r="AL871" s="38" t="n">
        <x:f>IF(AA871=0,0,AB871/AA871)</x:f>
        <x:v>1</x:v>
      </x:c>
      <x:c r="AM871" s="38" t="n">
        <x:f>IF(AB871=0,0,AC871/AB871)</x:f>
        <x:v>1</x:v>
      </x:c>
      <x:c r="AN871" s="37" t="n">
        <x:f>ROUND((AD871*0.20+AE871*0.20+AF871*0.25+AG871*0.15+MIN(100,AC871*12)*0.20),1)</x:f>
        <x:v>49.7</x:v>
      </x:c>
      <x:c r="AO871" s="37" t="n">
        <x:f>ROUND(MAX(0,MIN(100,(X871*0.35)+(W871/45*100*0.20)+((5-O871)/4*100*0.15)+((5-P871)/4*100*0.10)+((6-Y871)/5*100*0.10)+((100-Z871)*0.10))),1)</x:f>
        <x:v>47.9</x:v>
      </x:c>
      <x:c r="AP871" s="37" t="str">
        <x:f>IF(AO871&gt;=70,"High",IF(AO871&gt;=40,"Moderate","Low"))</x:f>
        <x:v>Moderate</x:v>
      </x:c>
      <x:c r="AQ871" s="37" t="n">
        <x:f>ROUND(MAX(0,MIN(100,(O871/4*100*0.25)+(P871/4*100*0.20)+(Q871/4*100*0.15)+(Y871/5*100*0.20)+(100-AO871)*0.20)),1)</x:f>
        <x:v>67.4</x:v>
      </x:c>
      <x:c r="AR871" s="37" t="n">
        <x:f>ROUND((AI871*0.20+AJ871*0.15+AN871*0.18+AG871*0.12+Z871*0.15+AQ871*0.20),1)</x:f>
        <x:v>76.9</x:v>
      </x:c>
      <x:c r="AS871" s="39" t="n">
        <x:f>ROUND((AC871*AF871*120)+(AH871*350)+(MAX(0,AI871-75)*220)+(MAX(0,AQ871-60)*100),0)</x:f>
        <x:v>15790</x:v>
      </x:c>
    </x:row>
    <x:row r="872">
      <x:c r="A872" s="35" t="n">
        <x:v>871</x:v>
      </x:c>
      <x:c r="B872" s="35" t="n">
        <x:v>42</x:v>
      </x:c>
      <x:c r="C872" s="35" t="str">
        <x:v>Female</x:v>
      </x:c>
      <x:c r="D872" s="35" t="str">
        <x:v>Finance</x:v>
      </x:c>
      <x:c r="E872" s="35" t="str">
        <x:v>Financial Analyst</x:v>
      </x:c>
      <x:c r="F872" s="35" t="str">
        <x:v>Life Sciences</x:v>
      </x:c>
      <x:c r="G872" s="35" t="str">
        <x:v>Married</x:v>
      </x:c>
      <x:c r="H872" s="35" t="n">
        <x:v>4</x:v>
      </x:c>
      <x:c r="I872" s="36" t="n">
        <x:v>15520</x:v>
      </x:c>
      <x:c r="J872" s="35" t="n">
        <x:v>10</x:v>
      </x:c>
      <x:c r="K872" s="35" t="n">
        <x:v>5</x:v>
      </x:c>
      <x:c r="L872" s="35" t="n">
        <x:v>3</x:v>
      </x:c>
      <x:c r="M872" s="35" t="n">
        <x:v>15</x:v>
      </x:c>
      <x:c r="N872" s="35" t="str">
        <x:v>No</x:v>
      </x:c>
      <x:c r="O872" s="35" t="n">
        <x:v>3</x:v>
      </x:c>
      <x:c r="P872" s="35" t="n">
        <x:v>4</x:v>
      </x:c>
      <x:c r="Q872" s="35" t="n">
        <x:v>3</x:v>
      </x:c>
      <x:c r="R872" s="35" t="n">
        <x:v>3</x:v>
      </x:c>
      <x:c r="S872" s="35" t="n">
        <x:v>4</x:v>
      </x:c>
      <x:c r="T872" s="35" t="n">
        <x:v>1</x:v>
      </x:c>
      <x:c r="U872" s="35" t="n">
        <x:v>3</x:v>
      </x:c>
      <x:c r="V872" s="35" t="n">
        <x:v>10</x:v>
      </x:c>
      <x:c r="W872" s="35" t="n">
        <x:v>0</x:v>
      </x:c>
      <x:c r="X872" s="35" t="n">
        <x:v>53</x:v>
      </x:c>
      <x:c r="Y872" s="35" t="n">
        <x:v>5</x:v>
      </x:c>
      <x:c r="Z872" s="35" t="n">
        <x:v>100</x:v>
      </x:c>
      <x:c r="AA872" s="35" t="n">
        <x:v>5</x:v>
      </x:c>
      <x:c r="AB872" s="35" t="n">
        <x:v>4</x:v>
      </x:c>
      <x:c r="AC872" s="35" t="n">
        <x:v>1</x:v>
      </x:c>
      <x:c r="AD872" s="35" t="n">
        <x:v>75</x:v>
      </x:c>
      <x:c r="AE872" s="35" t="n">
        <x:v>92</x:v>
      </x:c>
      <x:c r="AF872" s="35" t="n">
        <x:v>69</x:v>
      </x:c>
      <x:c r="AG872" s="35" t="n">
        <x:v>99</x:v>
      </x:c>
      <x:c r="AH872" s="35" t="n">
        <x:v>9</x:v>
      </x:c>
      <x:c r="AI872" s="37" t="n">
        <x:v>94.1</x:v>
      </x:c>
      <x:c r="AJ872" s="37" t="n">
        <x:v>94.6</x:v>
      </x:c>
      <x:c r="AK872" s="35" t="str">
        <x:v>No</x:v>
      </x:c>
      <x:c r="AL872" s="38" t="n">
        <x:f>IF(AA872=0,0,AB872/AA872)</x:f>
        <x:v>0.8</x:v>
      </x:c>
      <x:c r="AM872" s="38" t="n">
        <x:f>IF(AB872=0,0,AC872/AB872)</x:f>
        <x:v>0.25</x:v>
      </x:c>
      <x:c r="AN872" s="37" t="n">
        <x:f>ROUND((AD872*0.20+AE872*0.20+AF872*0.25+AG872*0.15+MIN(100,AC872*12)*0.20),1)</x:f>
        <x:v>67.9</x:v>
      </x:c>
      <x:c r="AO872" s="37" t="n">
        <x:f>ROUND(MAX(0,MIN(100,(X872*0.35)+(W872/45*100*0.20)+((5-O872)/4*100*0.15)+((5-P872)/4*100*0.10)+((6-Y872)/5*100*0.10)+((100-Z872)*0.10))),1)</x:f>
        <x:v>30.6</x:v>
      </x:c>
      <x:c r="AP872" s="37" t="str">
        <x:f>IF(AO872&gt;=70,"High",IF(AO872&gt;=40,"Moderate","Low"))</x:f>
        <x:v>Low</x:v>
      </x:c>
      <x:c r="AQ872" s="37" t="n">
        <x:f>ROUND(MAX(0,MIN(100,(O872/4*100*0.25)+(P872/4*100*0.20)+(Q872/4*100*0.15)+(Y872/5*100*0.20)+(100-AO872)*0.20)),1)</x:f>
        <x:v>83.9</x:v>
      </x:c>
      <x:c r="AR872" s="37" t="n">
        <x:f>ROUND((AI872*0.20+AJ872*0.15+AN872*0.18+AG872*0.12+Z872*0.15+AQ872*0.20),1)</x:f>
        <x:v>88.9</x:v>
      </x:c>
      <x:c r="AS872" s="39" t="n">
        <x:f>ROUND((AC872*AF872*120)+(AH872*350)+(MAX(0,AI872-75)*220)+(MAX(0,AQ872-60)*100),0)</x:f>
        <x:v>18022</x:v>
      </x:c>
    </x:row>
    <x:row r="873">
      <x:c r="A873" s="35" t="n">
        <x:v>872</x:v>
      </x:c>
      <x:c r="B873" s="35" t="n">
        <x:v>38</x:v>
      </x:c>
      <x:c r="C873" s="35" t="str">
        <x:v>Female</x:v>
      </x:c>
      <x:c r="D873" s="35" t="str">
        <x:v>Sales</x:v>
      </x:c>
      <x:c r="E873" s="35" t="str">
        <x:v>Account Manager</x:v>
      </x:c>
      <x:c r="F873" s="35" t="str">
        <x:v>Life Sciences</x:v>
      </x:c>
      <x:c r="G873" s="35" t="str">
        <x:v>Single</x:v>
      </x:c>
      <x:c r="H873" s="35" t="n">
        <x:v>1</x:v>
      </x:c>
      <x:c r="I873" s="36" t="n">
        <x:v>4960</x:v>
      </x:c>
      <x:c r="J873" s="35" t="n">
        <x:v>14</x:v>
      </x:c>
      <x:c r="K873" s="35" t="n">
        <x:v>5</x:v>
      </x:c>
      <x:c r="L873" s="35" t="n">
        <x:v>2</x:v>
      </x:c>
      <x:c r="M873" s="35" t="n">
        <x:v>3</x:v>
      </x:c>
      <x:c r="N873" s="35" t="str">
        <x:v>Yes</x:v>
      </x:c>
      <x:c r="O873" s="35" t="n">
        <x:v>3</x:v>
      </x:c>
      <x:c r="P873" s="35" t="n">
        <x:v>3</x:v>
      </x:c>
      <x:c r="Q873" s="35" t="n">
        <x:v>3</x:v>
      </x:c>
      <x:c r="R873" s="35" t="n">
        <x:v>3</x:v>
      </x:c>
      <x:c r="S873" s="35" t="n">
        <x:v>3</x:v>
      </x:c>
      <x:c r="T873" s="35" t="n">
        <x:v>4</x:v>
      </x:c>
      <x:c r="U873" s="35" t="n">
        <x:v>0</x:v>
      </x:c>
      <x:c r="V873" s="35" t="n">
        <x:v>4</x:v>
      </x:c>
      <x:c r="W873" s="35" t="n">
        <x:v>25</x:v>
      </x:c>
      <x:c r="X873" s="35" t="n">
        <x:v>96</x:v>
      </x:c>
      <x:c r="Y873" s="35" t="n">
        <x:v>3</x:v>
      </x:c>
      <x:c r="Z873" s="35" t="n">
        <x:v>100</x:v>
      </x:c>
      <x:c r="AA873" s="35" t="n">
        <x:v>6</x:v>
      </x:c>
      <x:c r="AB873" s="35" t="n">
        <x:v>6</x:v>
      </x:c>
      <x:c r="AC873" s="35" t="n">
        <x:v>5</x:v>
      </x:c>
      <x:c r="AD873" s="35" t="n">
        <x:v>64</x:v>
      </x:c>
      <x:c r="AE873" s="35" t="n">
        <x:v>91</x:v>
      </x:c>
      <x:c r="AF873" s="35" t="n">
        <x:v>69</x:v>
      </x:c>
      <x:c r="AG873" s="35" t="n">
        <x:v>100</x:v>
      </x:c>
      <x:c r="AH873" s="35" t="n">
        <x:v>10</x:v>
      </x:c>
      <x:c r="AI873" s="37" t="n">
        <x:v>97.9</x:v>
      </x:c>
      <x:c r="AJ873" s="37" t="n">
        <x:v>93.3</x:v>
      </x:c>
      <x:c r="AK873" s="35" t="str">
        <x:v>Yes</x:v>
      </x:c>
      <x:c r="AL873" s="38" t="n">
        <x:f>IF(AA873=0,0,AB873/AA873)</x:f>
        <x:v>1</x:v>
      </x:c>
      <x:c r="AM873" s="38" t="n">
        <x:f>IF(AB873=0,0,AC873/AB873)</x:f>
        <x:v>0.8333333333333334</x:v>
      </x:c>
      <x:c r="AN873" s="37" t="n">
        <x:f>ROUND((AD873*0.20+AE873*0.20+AF873*0.25+AG873*0.15+MIN(100,AC873*12)*0.20),1)</x:f>
        <x:v>75.3</x:v>
      </x:c>
      <x:c r="AO873" s="37" t="n">
        <x:f>ROUND(MAX(0,MIN(100,(X873*0.35)+(W873/45*100*0.20)+((5-O873)/4*100*0.15)+((5-P873)/4*100*0.10)+((6-Y873)/5*100*0.10)+((100-Z873)*0.10))),1)</x:f>
        <x:v>63.2</x:v>
      </x:c>
      <x:c r="AP873" s="37" t="str">
        <x:f>IF(AO873&gt;=70,"High",IF(AO873&gt;=40,"Moderate","Low"))</x:f>
        <x:v>Moderate</x:v>
      </x:c>
      <x:c r="AQ873" s="37" t="n">
        <x:f>ROUND(MAX(0,MIN(100,(O873/4*100*0.25)+(P873/4*100*0.20)+(Q873/4*100*0.15)+(Y873/5*100*0.20)+(100-AO873)*0.20)),1)</x:f>
        <x:v>64.4</x:v>
      </x:c>
      <x:c r="AR873" s="37" t="n">
        <x:f>ROUND((AI873*0.20+AJ873*0.15+AN873*0.18+AG873*0.12+Z873*0.15+AQ873*0.20),1)</x:f>
        <x:v>87</x:v>
      </x:c>
      <x:c r="AS873" s="39" t="n">
        <x:f>ROUND((AC873*AF873*120)+(AH873*350)+(MAX(0,AI873-75)*220)+(MAX(0,AQ873-60)*100),0)</x:f>
        <x:v>50378</x:v>
      </x:c>
    </x:row>
    <x:row r="874">
      <x:c r="A874" s="35" t="n">
        <x:v>873</x:v>
      </x:c>
      <x:c r="B874" s="35" t="n">
        <x:v>45</x:v>
      </x:c>
      <x:c r="C874" s="35" t="str">
        <x:v>Female</x:v>
      </x:c>
      <x:c r="D874" s="35" t="str">
        <x:v>Research &amp; Development</x:v>
      </x:c>
      <x:c r="E874" s="35" t="str">
        <x:v>R&amp;D Manager</x:v>
      </x:c>
      <x:c r="F874" s="35" t="str">
        <x:v>Business</x:v>
      </x:c>
      <x:c r="G874" s="35" t="str">
        <x:v>Single</x:v>
      </x:c>
      <x:c r="H874" s="35" t="n">
        <x:v>3</x:v>
      </x:c>
      <x:c r="I874" s="36" t="n">
        <x:v>11270</x:v>
      </x:c>
      <x:c r="J874" s="35" t="n">
        <x:v>19</x:v>
      </x:c>
      <x:c r="K874" s="35" t="n">
        <x:v>15</x:v>
      </x:c>
      <x:c r="L874" s="35" t="n">
        <x:v>6</x:v>
      </x:c>
      <x:c r="M874" s="35" t="n">
        <x:v>19</x:v>
      </x:c>
      <x:c r="N874" s="35" t="str">
        <x:v>No</x:v>
      </x:c>
      <x:c r="O874" s="35" t="n">
        <x:v>2</x:v>
      </x:c>
      <x:c r="P874" s="35" t="n">
        <x:v>3</x:v>
      </x:c>
      <x:c r="Q874" s="35" t="n">
        <x:v>4</x:v>
      </x:c>
      <x:c r="R874" s="35" t="n">
        <x:v>3</x:v>
      </x:c>
      <x:c r="S874" s="35" t="n">
        <x:v>3</x:v>
      </x:c>
      <x:c r="T874" s="35" t="n">
        <x:v>3</x:v>
      </x:c>
      <x:c r="U874" s="35" t="n">
        <x:v>1</x:v>
      </x:c>
      <x:c r="V874" s="35" t="n">
        <x:v>7</x:v>
      </x:c>
      <x:c r="W874" s="35" t="n">
        <x:v>8</x:v>
      </x:c>
      <x:c r="X874" s="35" t="n">
        <x:v>58</x:v>
      </x:c>
      <x:c r="Y874" s="35" t="n">
        <x:v>5</x:v>
      </x:c>
      <x:c r="Z874" s="35" t="n">
        <x:v>100</x:v>
      </x:c>
      <x:c r="AA874" s="35" t="n">
        <x:v>5</x:v>
      </x:c>
      <x:c r="AB874" s="35" t="n">
        <x:v>4</x:v>
      </x:c>
      <x:c r="AC874" s="35" t="n">
        <x:v>3</x:v>
      </x:c>
      <x:c r="AD874" s="35" t="n">
        <x:v>86</x:v>
      </x:c>
      <x:c r="AE874" s="35" t="n">
        <x:v>72</x:v>
      </x:c>
      <x:c r="AF874" s="35" t="n">
        <x:v>79</x:v>
      </x:c>
      <x:c r="AG874" s="35" t="n">
        <x:v>98</x:v>
      </x:c>
      <x:c r="AH874" s="35" t="n">
        <x:v>8</x:v>
      </x:c>
      <x:c r="AI874" s="37" t="n">
        <x:v>100</x:v>
      </x:c>
      <x:c r="AJ874" s="37" t="n">
        <x:v>98.1</x:v>
      </x:c>
      <x:c r="AK874" s="35" t="str">
        <x:v>No</x:v>
      </x:c>
      <x:c r="AL874" s="38" t="n">
        <x:f>IF(AA874=0,0,AB874/AA874)</x:f>
        <x:v>0.8</x:v>
      </x:c>
      <x:c r="AM874" s="38" t="n">
        <x:f>IF(AB874=0,0,AC874/AB874)</x:f>
        <x:v>0.75</x:v>
      </x:c>
      <x:c r="AN874" s="37" t="n">
        <x:f>ROUND((AD874*0.20+AE874*0.20+AF874*0.25+AG874*0.15+MIN(100,AC874*12)*0.20),1)</x:f>
        <x:v>73.3</x:v>
      </x:c>
      <x:c r="AO874" s="37" t="n">
        <x:f>ROUND(MAX(0,MIN(100,(X874*0.35)+(W874/45*100*0.20)+((5-O874)/4*100*0.15)+((5-P874)/4*100*0.10)+((6-Y874)/5*100*0.10)+((100-Z874)*0.10))),1)</x:f>
        <x:v>42.1</x:v>
      </x:c>
      <x:c r="AP874" s="37" t="str">
        <x:f>IF(AO874&gt;=70,"High",IF(AO874&gt;=40,"Moderate","Low"))</x:f>
        <x:v>Moderate</x:v>
      </x:c>
      <x:c r="AQ874" s="37" t="n">
        <x:f>ROUND(MAX(0,MIN(100,(O874/4*100*0.25)+(P874/4*100*0.20)+(Q874/4*100*0.15)+(Y874/5*100*0.20)+(100-AO874)*0.20)),1)</x:f>
        <x:v>74.1</x:v>
      </x:c>
      <x:c r="AR874" s="37" t="n">
        <x:f>ROUND((AI874*0.20+AJ874*0.15+AN874*0.18+AG874*0.12+Z874*0.15+AQ874*0.20),1)</x:f>
        <x:v>89.5</x:v>
      </x:c>
      <x:c r="AS874" s="39" t="n">
        <x:f>ROUND((AC874*AF874*120)+(AH874*350)+(MAX(0,AI874-75)*220)+(MAX(0,AQ874-60)*100),0)</x:f>
        <x:v>38150</x:v>
      </x:c>
    </x:row>
    <x:row r="875">
      <x:c r="A875" s="35" t="n">
        <x:v>874</x:v>
      </x:c>
      <x:c r="B875" s="35" t="n">
        <x:v>34</x:v>
      </x:c>
      <x:c r="C875" s="35" t="str">
        <x:v>Female</x:v>
      </x:c>
      <x:c r="D875" s="35" t="str">
        <x:v>Research &amp; Development</x:v>
      </x:c>
      <x:c r="E875" s="35" t="str">
        <x:v>Data Scientist</x:v>
      </x:c>
      <x:c r="F875" s="35" t="str">
        <x:v>Marketing</x:v>
      </x:c>
      <x:c r="G875" s="35" t="str">
        <x:v>Married</x:v>
      </x:c>
      <x:c r="H875" s="35" t="n">
        <x:v>2</x:v>
      </x:c>
      <x:c r="I875" s="36" t="n">
        <x:v>8470</x:v>
      </x:c>
      <x:c r="J875" s="35" t="n">
        <x:v>11</x:v>
      </x:c>
      <x:c r="K875" s="35" t="n">
        <x:v>7</x:v>
      </x:c>
      <x:c r="L875" s="35" t="n">
        <x:v>5</x:v>
      </x:c>
      <x:c r="M875" s="35" t="n">
        <x:v>17</x:v>
      </x:c>
      <x:c r="N875" s="35" t="str">
        <x:v>No</x:v>
      </x:c>
      <x:c r="O875" s="35" t="n">
        <x:v>3</x:v>
      </x:c>
      <x:c r="P875" s="35" t="n">
        <x:v>2</x:v>
      </x:c>
      <x:c r="Q875" s="35" t="n">
        <x:v>2</x:v>
      </x:c>
      <x:c r="R875" s="35" t="n">
        <x:v>3</x:v>
      </x:c>
      <x:c r="S875" s="35" t="n">
        <x:v>3</x:v>
      </x:c>
      <x:c r="T875" s="35" t="n">
        <x:v>5</x:v>
      </x:c>
      <x:c r="U875" s="35" t="n">
        <x:v>2</x:v>
      </x:c>
      <x:c r="V875" s="35" t="n">
        <x:v>5</x:v>
      </x:c>
      <x:c r="W875" s="35" t="n">
        <x:v>6</x:v>
      </x:c>
      <x:c r="X875" s="35" t="n">
        <x:v>82</x:v>
      </x:c>
      <x:c r="Y875" s="35" t="n">
        <x:v>5</x:v>
      </x:c>
      <x:c r="Z875" s="35" t="n">
        <x:v>100</x:v>
      </x:c>
      <x:c r="AA875" s="35" t="n">
        <x:v>6</x:v>
      </x:c>
      <x:c r="AB875" s="35" t="n">
        <x:v>5</x:v>
      </x:c>
      <x:c r="AC875" s="35" t="n">
        <x:v>3</x:v>
      </x:c>
      <x:c r="AD875" s="35" t="n">
        <x:v>71</x:v>
      </x:c>
      <x:c r="AE875" s="35" t="n">
        <x:v>88</x:v>
      </x:c>
      <x:c r="AF875" s="35" t="n">
        <x:v>91</x:v>
      </x:c>
      <x:c r="AG875" s="35" t="n">
        <x:v>78</x:v>
      </x:c>
      <x:c r="AH875" s="35" t="n">
        <x:v>3</x:v>
      </x:c>
      <x:c r="AI875" s="37" t="n">
        <x:v>100</x:v>
      </x:c>
      <x:c r="AJ875" s="37" t="n">
        <x:v>88.3</x:v>
      </x:c>
      <x:c r="AK875" s="35" t="str">
        <x:v>No</x:v>
      </x:c>
      <x:c r="AL875" s="38" t="n">
        <x:f>IF(AA875=0,0,AB875/AA875)</x:f>
        <x:v>0.8333333333333334</x:v>
      </x:c>
      <x:c r="AM875" s="38" t="n">
        <x:f>IF(AB875=0,0,AC875/AB875)</x:f>
        <x:v>0.6</x:v>
      </x:c>
      <x:c r="AN875" s="37" t="n">
        <x:f>ROUND((AD875*0.20+AE875*0.20+AF875*0.25+AG875*0.15+MIN(100,AC875*12)*0.20),1)</x:f>
        <x:v>73.5</x:v>
      </x:c>
      <x:c r="AO875" s="37" t="n">
        <x:f>ROUND(MAX(0,MIN(100,(X875*0.35)+(W875/45*100*0.20)+((5-O875)/4*100*0.15)+((5-P875)/4*100*0.10)+((6-Y875)/5*100*0.10)+((100-Z875)*0.10))),1)</x:f>
        <x:v>48.4</x:v>
      </x:c>
      <x:c r="AP875" s="37" t="str">
        <x:f>IF(AO875&gt;=70,"High",IF(AO875&gt;=40,"Moderate","Low"))</x:f>
        <x:v>Moderate</x:v>
      </x:c>
      <x:c r="AQ875" s="37" t="n">
        <x:f>ROUND(MAX(0,MIN(100,(O875/4*100*0.25)+(P875/4*100*0.20)+(Q875/4*100*0.15)+(Y875/5*100*0.20)+(100-AO875)*0.20)),1)</x:f>
        <x:v>66.6</x:v>
      </x:c>
      <x:c r="AR875" s="37" t="n">
        <x:f>ROUND((AI875*0.20+AJ875*0.15+AN875*0.18+AG875*0.12+Z875*0.15+AQ875*0.20),1)</x:f>
        <x:v>84.2</x:v>
      </x:c>
      <x:c r="AS875" s="39" t="n">
        <x:f>ROUND((AC875*AF875*120)+(AH875*350)+(MAX(0,AI875-75)*220)+(MAX(0,AQ875-60)*100),0)</x:f>
        <x:v>39970</x:v>
      </x:c>
    </x:row>
    <x:row r="876">
      <x:c r="A876" s="35" t="n">
        <x:v>875</x:v>
      </x:c>
      <x:c r="B876" s="35" t="n">
        <x:v>36</x:v>
      </x:c>
      <x:c r="C876" s="35" t="str">
        <x:v>Male</x:v>
      </x:c>
      <x:c r="D876" s="35" t="str">
        <x:v>Information Technology</x:v>
      </x:c>
      <x:c r="E876" s="35" t="str">
        <x:v>IT Support</x:v>
      </x:c>
      <x:c r="F876" s="35" t="str">
        <x:v>Computer Science</x:v>
      </x:c>
      <x:c r="G876" s="35" t="str">
        <x:v>Married</x:v>
      </x:c>
      <x:c r="H876" s="35" t="n">
        <x:v>3</x:v>
      </x:c>
      <x:c r="I876" s="36" t="n">
        <x:v>13660</x:v>
      </x:c>
      <x:c r="J876" s="35" t="n">
        <x:v>12</x:v>
      </x:c>
      <x:c r="K876" s="35" t="n">
        <x:v>7</x:v>
      </x:c>
      <x:c r="L876" s="35" t="n">
        <x:v>5</x:v>
      </x:c>
      <x:c r="M876" s="35" t="n">
        <x:v>5</x:v>
      </x:c>
      <x:c r="N876" s="35" t="str">
        <x:v>Yes</x:v>
      </x:c>
      <x:c r="O876" s="35" t="n">
        <x:v>2</x:v>
      </x:c>
      <x:c r="P876" s="35" t="n">
        <x:v>3</x:v>
      </x:c>
      <x:c r="Q876" s="35" t="n">
        <x:v>3</x:v>
      </x:c>
      <x:c r="R876" s="35" t="n">
        <x:v>3</x:v>
      </x:c>
      <x:c r="S876" s="35" t="n">
        <x:v>3</x:v>
      </x:c>
      <x:c r="T876" s="35" t="n">
        <x:v>3</x:v>
      </x:c>
      <x:c r="U876" s="35" t="n">
        <x:v>1</x:v>
      </x:c>
      <x:c r="V876" s="35" t="n">
        <x:v>6</x:v>
      </x:c>
      <x:c r="W876" s="35" t="n">
        <x:v>15</x:v>
      </x:c>
      <x:c r="X876" s="35" t="n">
        <x:v>70</x:v>
      </x:c>
      <x:c r="Y876" s="35" t="n">
        <x:v>5</x:v>
      </x:c>
      <x:c r="Z876" s="35" t="n">
        <x:v>100</x:v>
      </x:c>
      <x:c r="AA876" s="35" t="n">
        <x:v>10</x:v>
      </x:c>
      <x:c r="AB876" s="35" t="n">
        <x:v>10</x:v>
      </x:c>
      <x:c r="AC876" s="35" t="n">
        <x:v>8</x:v>
      </x:c>
      <x:c r="AD876" s="35" t="n">
        <x:v>100</x:v>
      </x:c>
      <x:c r="AE876" s="35" t="n">
        <x:v>88</x:v>
      </x:c>
      <x:c r="AF876" s="35" t="n">
        <x:v>100</x:v>
      </x:c>
      <x:c r="AG876" s="35" t="n">
        <x:v>100</x:v>
      </x:c>
      <x:c r="AH876" s="35" t="n">
        <x:v>9</x:v>
      </x:c>
      <x:c r="AI876" s="37" t="n">
        <x:v>100</x:v>
      </x:c>
      <x:c r="AJ876" s="37" t="n">
        <x:v>97.1</x:v>
      </x:c>
      <x:c r="AK876" s="35" t="str">
        <x:v>No</x:v>
      </x:c>
      <x:c r="AL876" s="38" t="n">
        <x:f>IF(AA876=0,0,AB876/AA876)</x:f>
        <x:v>1</x:v>
      </x:c>
      <x:c r="AM876" s="38" t="n">
        <x:f>IF(AB876=0,0,AC876/AB876)</x:f>
        <x:v>0.8</x:v>
      </x:c>
      <x:c r="AN876" s="37" t="n">
        <x:f>ROUND((AD876*0.20+AE876*0.20+AF876*0.25+AG876*0.15+MIN(100,AC876*12)*0.20),1)</x:f>
        <x:v>96.8</x:v>
      </x:c>
      <x:c r="AO876" s="37" t="n">
        <x:f>ROUND(MAX(0,MIN(100,(X876*0.35)+(W876/45*100*0.20)+((5-O876)/4*100*0.15)+((5-P876)/4*100*0.10)+((6-Y876)/5*100*0.10)+((100-Z876)*0.10))),1)</x:f>
        <x:v>49.4</x:v>
      </x:c>
      <x:c r="AP876" s="37" t="str">
        <x:f>IF(AO876&gt;=70,"High",IF(AO876&gt;=40,"Moderate","Low"))</x:f>
        <x:v>Moderate</x:v>
      </x:c>
      <x:c r="AQ876" s="37" t="n">
        <x:f>ROUND(MAX(0,MIN(100,(O876/4*100*0.25)+(P876/4*100*0.20)+(Q876/4*100*0.15)+(Y876/5*100*0.20)+(100-AO876)*0.20)),1)</x:f>
        <x:v>68.9</x:v>
      </x:c>
      <x:c r="AR876" s="37" t="n">
        <x:f>ROUND((AI876*0.20+AJ876*0.15+AN876*0.18+AG876*0.12+Z876*0.15+AQ876*0.20),1)</x:f>
        <x:v>92.8</x:v>
      </x:c>
      <x:c r="AS876" s="39" t="n">
        <x:f>ROUND((AC876*AF876*120)+(AH876*350)+(MAX(0,AI876-75)*220)+(MAX(0,AQ876-60)*100),0)</x:f>
        <x:v>105540</x:v>
      </x:c>
    </x:row>
    <x:row r="877">
      <x:c r="A877" s="35" t="n">
        <x:v>876</x:v>
      </x:c>
      <x:c r="B877" s="35" t="n">
        <x:v>46</x:v>
      </x:c>
      <x:c r="C877" s="35" t="str">
        <x:v>Male</x:v>
      </x:c>
      <x:c r="D877" s="35" t="str">
        <x:v>Research &amp; Development</x:v>
      </x:c>
      <x:c r="E877" s="35" t="str">
        <x:v>Data Scientist</x:v>
      </x:c>
      <x:c r="F877" s="35" t="str">
        <x:v>Life Sciences</x:v>
      </x:c>
      <x:c r="G877" s="35" t="str">
        <x:v>Married</x:v>
      </x:c>
      <x:c r="H877" s="35" t="n">
        <x:v>3</x:v>
      </x:c>
      <x:c r="I877" s="36" t="n">
        <x:v>13850</x:v>
      </x:c>
      <x:c r="J877" s="35" t="n">
        <x:v>20</x:v>
      </x:c>
      <x:c r="K877" s="35" t="n">
        <x:v>17</x:v>
      </x:c>
      <x:c r="L877" s="35" t="n">
        <x:v>13</x:v>
      </x:c>
      <x:c r="M877" s="35" t="n">
        <x:v>8</x:v>
      </x:c>
      <x:c r="N877" s="35" t="str">
        <x:v>Yes</x:v>
      </x:c>
      <x:c r="O877" s="35" t="n">
        <x:v>3</x:v>
      </x:c>
      <x:c r="P877" s="35" t="n">
        <x:v>3</x:v>
      </x:c>
      <x:c r="Q877" s="35" t="n">
        <x:v>3</x:v>
      </x:c>
      <x:c r="R877" s="35" t="n">
        <x:v>2</x:v>
      </x:c>
      <x:c r="S877" s="35" t="n">
        <x:v>4</x:v>
      </x:c>
      <x:c r="T877" s="35" t="n">
        <x:v>3</x:v>
      </x:c>
      <x:c r="U877" s="35" t="n">
        <x:v>1</x:v>
      </x:c>
      <x:c r="V877" s="35" t="n">
        <x:v>9</x:v>
      </x:c>
      <x:c r="W877" s="35" t="n">
        <x:v>22</x:v>
      </x:c>
      <x:c r="X877" s="35" t="n">
        <x:v>86</x:v>
      </x:c>
      <x:c r="Y877" s="35" t="n">
        <x:v>3</x:v>
      </x:c>
      <x:c r="Z877" s="35" t="n">
        <x:v>89</x:v>
      </x:c>
      <x:c r="AA877" s="35" t="n">
        <x:v>4</x:v>
      </x:c>
      <x:c r="AB877" s="35" t="n">
        <x:v>3</x:v>
      </x:c>
      <x:c r="AC877" s="35" t="n">
        <x:v>3</x:v>
      </x:c>
      <x:c r="AD877" s="35" t="n">
        <x:v>85</x:v>
      </x:c>
      <x:c r="AE877" s="35" t="n">
        <x:v>76</x:v>
      </x:c>
      <x:c r="AF877" s="35" t="n">
        <x:v>84</x:v>
      </x:c>
      <x:c r="AG877" s="35" t="n">
        <x:v>87</x:v>
      </x:c>
      <x:c r="AH877" s="35" t="n">
        <x:v>11</x:v>
      </x:c>
      <x:c r="AI877" s="37" t="n">
        <x:v>99.1</x:v>
      </x:c>
      <x:c r="AJ877" s="37" t="n">
        <x:v>100</x:v>
      </x:c>
      <x:c r="AK877" s="35" t="str">
        <x:v>Yes</x:v>
      </x:c>
      <x:c r="AL877" s="38" t="n">
        <x:f>IF(AA877=0,0,AB877/AA877)</x:f>
        <x:v>0.75</x:v>
      </x:c>
      <x:c r="AM877" s="38" t="n">
        <x:f>IF(AB877=0,0,AC877/AB877)</x:f>
        <x:v>1</x:v>
      </x:c>
      <x:c r="AN877" s="37" t="n">
        <x:f>ROUND((AD877*0.20+AE877*0.20+AF877*0.25+AG877*0.15+MIN(100,AC877*12)*0.20),1)</x:f>
        <x:v>73.5</x:v>
      </x:c>
      <x:c r="AO877" s="37" t="n">
        <x:f>ROUND(MAX(0,MIN(100,(X877*0.35)+(W877/45*100*0.20)+((5-O877)/4*100*0.15)+((5-P877)/4*100*0.10)+((6-Y877)/5*100*0.10)+((100-Z877)*0.10))),1)</x:f>
        <x:v>59.5</x:v>
      </x:c>
      <x:c r="AP877" s="37" t="str">
        <x:f>IF(AO877&gt;=70,"High",IF(AO877&gt;=40,"Moderate","Low"))</x:f>
        <x:v>Moderate</x:v>
      </x:c>
      <x:c r="AQ877" s="37" t="n">
        <x:f>ROUND(MAX(0,MIN(100,(O877/4*100*0.25)+(P877/4*100*0.20)+(Q877/4*100*0.15)+(Y877/5*100*0.20)+(100-AO877)*0.20)),1)</x:f>
        <x:v>65.1</x:v>
      </x:c>
      <x:c r="AR877" s="37" t="n">
        <x:f>ROUND((AI877*0.20+AJ877*0.15+AN877*0.18+AG877*0.12+Z877*0.15+AQ877*0.20),1)</x:f>
        <x:v>84.9</x:v>
      </x:c>
      <x:c r="AS877" s="39" t="n">
        <x:f>ROUND((AC877*AF877*120)+(AH877*350)+(MAX(0,AI877-75)*220)+(MAX(0,AQ877-60)*100),0)</x:f>
        <x:v>39902</x:v>
      </x:c>
    </x:row>
    <x:row r="878">
      <x:c r="A878" s="35" t="n">
        <x:v>877</x:v>
      </x:c>
      <x:c r="B878" s="35" t="n">
        <x:v>41</x:v>
      </x:c>
      <x:c r="C878" s="35" t="str">
        <x:v>Male</x:v>
      </x:c>
      <x:c r="D878" s="35" t="str">
        <x:v>Research &amp; Development</x:v>
      </x:c>
      <x:c r="E878" s="35" t="str">
        <x:v>Data Scientist</x:v>
      </x:c>
      <x:c r="F878" s="35" t="str">
        <x:v>Medical</x:v>
      </x:c>
      <x:c r="G878" s="35" t="str">
        <x:v>Married</x:v>
      </x:c>
      <x:c r="H878" s="35" t="n">
        <x:v>3</x:v>
      </x:c>
      <x:c r="I878" s="36" t="n">
        <x:v>13440</x:v>
      </x:c>
      <x:c r="J878" s="35" t="n">
        <x:v>9</x:v>
      </x:c>
      <x:c r="K878" s="35" t="n">
        <x:v>5</x:v>
      </x:c>
      <x:c r="L878" s="35" t="n">
        <x:v>2</x:v>
      </x:c>
      <x:c r="M878" s="35" t="n">
        <x:v>15</x:v>
      </x:c>
      <x:c r="N878" s="35" t="str">
        <x:v>No</x:v>
      </x:c>
      <x:c r="O878" s="35" t="n">
        <x:v>3</x:v>
      </x:c>
      <x:c r="P878" s="35" t="n">
        <x:v>3</x:v>
      </x:c>
      <x:c r="Q878" s="35" t="n">
        <x:v>3</x:v>
      </x:c>
      <x:c r="R878" s="35" t="n">
        <x:v>3</x:v>
      </x:c>
      <x:c r="S878" s="35" t="n">
        <x:v>3</x:v>
      </x:c>
      <x:c r="T878" s="35" t="n">
        <x:v>4</x:v>
      </x:c>
      <x:c r="U878" s="35" t="n">
        <x:v>2</x:v>
      </x:c>
      <x:c r="V878" s="35" t="n">
        <x:v>6</x:v>
      </x:c>
      <x:c r="W878" s="35" t="n">
        <x:v>4</x:v>
      </x:c>
      <x:c r="X878" s="35" t="n">
        <x:v>74</x:v>
      </x:c>
      <x:c r="Y878" s="35" t="n">
        <x:v>4</x:v>
      </x:c>
      <x:c r="Z878" s="35" t="n">
        <x:v>99</x:v>
      </x:c>
      <x:c r="AA878" s="35" t="n">
        <x:v>3</x:v>
      </x:c>
      <x:c r="AB878" s="35" t="n">
        <x:v>0</x:v>
      </x:c>
      <x:c r="AC878" s="35" t="n">
        <x:v>0</x:v>
      </x:c>
      <x:c r="AD878" s="35" t="n">
        <x:v>89</x:v>
      </x:c>
      <x:c r="AE878" s="35" t="n">
        <x:v>73</x:v>
      </x:c>
      <x:c r="AF878" s="35" t="n">
        <x:v>75</x:v>
      </x:c>
      <x:c r="AG878" s="35" t="n">
        <x:v>96</x:v>
      </x:c>
      <x:c r="AH878" s="35" t="n">
        <x:v>0</x:v>
      </x:c>
      <x:c r="AI878" s="37" t="n">
        <x:v>100</x:v>
      </x:c>
      <x:c r="AJ878" s="37" t="n">
        <x:v>91.6</x:v>
      </x:c>
      <x:c r="AK878" s="35" t="str">
        <x:v>No</x:v>
      </x:c>
      <x:c r="AL878" s="38" t="n">
        <x:f>IF(AA878=0,0,AB878/AA878)</x:f>
        <x:v>0</x:v>
      </x:c>
      <x:c r="AM878" s="38" t="n">
        <x:f>IF(AB878=0,0,AC878/AB878)</x:f>
        <x:v>0</x:v>
      </x:c>
      <x:c r="AN878" s="37" t="n">
        <x:f>ROUND((AD878*0.20+AE878*0.20+AF878*0.25+AG878*0.15+MIN(100,AC878*12)*0.20),1)</x:f>
        <x:v>65.6</x:v>
      </x:c>
      <x:c r="AO878" s="37" t="n">
        <x:f>ROUND(MAX(0,MIN(100,(X878*0.35)+(W878/45*100*0.20)+((5-O878)/4*100*0.15)+((5-P878)/4*100*0.10)+((6-Y878)/5*100*0.10)+((100-Z878)*0.10))),1)</x:f>
        <x:v>44.3</x:v>
      </x:c>
      <x:c r="AP878" s="37" t="str">
        <x:f>IF(AO878&gt;=70,"High",IF(AO878&gt;=40,"Moderate","Low"))</x:f>
        <x:v>Moderate</x:v>
      </x:c>
      <x:c r="AQ878" s="37" t="n">
        <x:f>ROUND(MAX(0,MIN(100,(O878/4*100*0.25)+(P878/4*100*0.20)+(Q878/4*100*0.15)+(Y878/5*100*0.20)+(100-AO878)*0.20)),1)</x:f>
        <x:v>72.1</x:v>
      </x:c>
      <x:c r="AR878" s="37" t="n">
        <x:f>ROUND((AI878*0.20+AJ878*0.15+AN878*0.18+AG878*0.12+Z878*0.15+AQ878*0.20),1)</x:f>
        <x:v>86.3</x:v>
      </x:c>
      <x:c r="AS878" s="39" t="n">
        <x:f>ROUND((AC878*AF878*120)+(AH878*350)+(MAX(0,AI878-75)*220)+(MAX(0,AQ878-60)*100),0)</x:f>
        <x:v>6710</x:v>
      </x:c>
    </x:row>
    <x:row r="879">
      <x:c r="A879" s="35" t="n">
        <x:v>878</x:v>
      </x:c>
      <x:c r="B879" s="35" t="n">
        <x:v>33</x:v>
      </x:c>
      <x:c r="C879" s="35" t="str">
        <x:v>Female</x:v>
      </x:c>
      <x:c r="D879" s="35" t="str">
        <x:v>Sales</x:v>
      </x:c>
      <x:c r="E879" s="35" t="str">
        <x:v>Sales Representative</x:v>
      </x:c>
      <x:c r="F879" s="35" t="str">
        <x:v>Human Resources</x:v>
      </x:c>
      <x:c r="G879" s="35" t="str">
        <x:v>Married</x:v>
      </x:c>
      <x:c r="H879" s="35" t="n">
        <x:v>2</x:v>
      </x:c>
      <x:c r="I879" s="36" t="n">
        <x:v>8340</x:v>
      </x:c>
      <x:c r="J879" s="35" t="n">
        <x:v>8</x:v>
      </x:c>
      <x:c r="K879" s="35" t="n">
        <x:v>6</x:v>
      </x:c>
      <x:c r="L879" s="35" t="n">
        <x:v>4</x:v>
      </x:c>
      <x:c r="M879" s="35" t="n">
        <x:v>20</x:v>
      </x:c>
      <x:c r="N879" s="35" t="str">
        <x:v>Yes</x:v>
      </x:c>
      <x:c r="O879" s="35" t="n">
        <x:v>3</x:v>
      </x:c>
      <x:c r="P879" s="35" t="n">
        <x:v>3</x:v>
      </x:c>
      <x:c r="Q879" s="35" t="n">
        <x:v>2</x:v>
      </x:c>
      <x:c r="R879" s="35" t="n">
        <x:v>3</x:v>
      </x:c>
      <x:c r="S879" s="35" t="n">
        <x:v>3</x:v>
      </x:c>
      <x:c r="T879" s="35" t="n">
        <x:v>3</x:v>
      </x:c>
      <x:c r="U879" s="35" t="n">
        <x:v>0</x:v>
      </x:c>
      <x:c r="V879" s="35" t="n">
        <x:v>11</x:v>
      </x:c>
      <x:c r="W879" s="35" t="n">
        <x:v>29</x:v>
      </x:c>
      <x:c r="X879" s="35" t="n">
        <x:v>84</x:v>
      </x:c>
      <x:c r="Y879" s="35" t="n">
        <x:v>3</x:v>
      </x:c>
      <x:c r="Z879" s="35" t="n">
        <x:v>89</x:v>
      </x:c>
      <x:c r="AA879" s="35" t="n">
        <x:v>3</x:v>
      </x:c>
      <x:c r="AB879" s="35" t="n">
        <x:v>0</x:v>
      </x:c>
      <x:c r="AC879" s="35" t="n">
        <x:v>0</x:v>
      </x:c>
      <x:c r="AD879" s="35" t="n">
        <x:v>54</x:v>
      </x:c>
      <x:c r="AE879" s="35" t="n">
        <x:v>75</x:v>
      </x:c>
      <x:c r="AF879" s="35" t="n">
        <x:v>73</x:v>
      </x:c>
      <x:c r="AG879" s="35" t="n">
        <x:v>90</x:v>
      </x:c>
      <x:c r="AH879" s="35" t="n">
        <x:v>7</x:v>
      </x:c>
      <x:c r="AI879" s="37" t="n">
        <x:v>96.2</x:v>
      </x:c>
      <x:c r="AJ879" s="37" t="n">
        <x:v>92.6</x:v>
      </x:c>
      <x:c r="AK879" s="35" t="str">
        <x:v>No</x:v>
      </x:c>
      <x:c r="AL879" s="38" t="n">
        <x:f>IF(AA879=0,0,AB879/AA879)</x:f>
        <x:v>0</x:v>
      </x:c>
      <x:c r="AM879" s="38" t="n">
        <x:f>IF(AB879=0,0,AC879/AB879)</x:f>
        <x:v>0</x:v>
      </x:c>
      <x:c r="AN879" s="37" t="n">
        <x:f>ROUND((AD879*0.20+AE879*0.20+AF879*0.25+AG879*0.15+MIN(100,AC879*12)*0.20),1)</x:f>
        <x:v>57.6</x:v>
      </x:c>
      <x:c r="AO879" s="37" t="n">
        <x:f>ROUND(MAX(0,MIN(100,(X879*0.35)+(W879/45*100*0.20)+((5-O879)/4*100*0.15)+((5-P879)/4*100*0.10)+((6-Y879)/5*100*0.10)+((100-Z879)*0.10))),1)</x:f>
        <x:v>61.9</x:v>
      </x:c>
      <x:c r="AP879" s="37" t="str">
        <x:f>IF(AO879&gt;=70,"High",IF(AO879&gt;=40,"Moderate","Low"))</x:f>
        <x:v>Moderate</x:v>
      </x:c>
      <x:c r="AQ879" s="37" t="n">
        <x:f>ROUND(MAX(0,MIN(100,(O879/4*100*0.25)+(P879/4*100*0.20)+(Q879/4*100*0.15)+(Y879/5*100*0.20)+(100-AO879)*0.20)),1)</x:f>
        <x:v>60.9</x:v>
      </x:c>
      <x:c r="AR879" s="37" t="n">
        <x:f>ROUND((AI879*0.20+AJ879*0.15+AN879*0.18+AG879*0.12+Z879*0.15+AQ879*0.20),1)</x:f>
        <x:v>79.8</x:v>
      </x:c>
      <x:c r="AS879" s="39" t="n">
        <x:f>ROUND((AC879*AF879*120)+(AH879*350)+(MAX(0,AI879-75)*220)+(MAX(0,AQ879-60)*100),0)</x:f>
        <x:v>7204</x:v>
      </x:c>
    </x:row>
    <x:row r="880">
      <x:c r="A880" s="35" t="n">
        <x:v>879</x:v>
      </x:c>
      <x:c r="B880" s="35" t="n">
        <x:v>45</x:v>
      </x:c>
      <x:c r="C880" s="35" t="str">
        <x:v>Male</x:v>
      </x:c>
      <x:c r="D880" s="35" t="str">
        <x:v>Sales</x:v>
      </x:c>
      <x:c r="E880" s="35" t="str">
        <x:v>Sales Executive</x:v>
      </x:c>
      <x:c r="F880" s="35" t="str">
        <x:v>Medical</x:v>
      </x:c>
      <x:c r="G880" s="35" t="str">
        <x:v>Married</x:v>
      </x:c>
      <x:c r="H880" s="35" t="n">
        <x:v>3</x:v>
      </x:c>
      <x:c r="I880" s="36" t="n">
        <x:v>10170</x:v>
      </x:c>
      <x:c r="J880" s="35" t="n">
        <x:v>18</x:v>
      </x:c>
      <x:c r="K880" s="35" t="n">
        <x:v>14</x:v>
      </x:c>
      <x:c r="L880" s="35" t="n">
        <x:v>4</x:v>
      </x:c>
      <x:c r="M880" s="35" t="n">
        <x:v>6</x:v>
      </x:c>
      <x:c r="N880" s="35" t="str">
        <x:v>Yes</x:v>
      </x:c>
      <x:c r="O880" s="35" t="n">
        <x:v>4</x:v>
      </x:c>
      <x:c r="P880" s="35" t="n">
        <x:v>4</x:v>
      </x:c>
      <x:c r="Q880" s="35" t="n">
        <x:v>3</x:v>
      </x:c>
      <x:c r="R880" s="35" t="n">
        <x:v>3</x:v>
      </x:c>
      <x:c r="S880" s="35" t="n">
        <x:v>3</x:v>
      </x:c>
      <x:c r="T880" s="35" t="n">
        <x:v>3</x:v>
      </x:c>
      <x:c r="U880" s="35" t="n">
        <x:v>1</x:v>
      </x:c>
      <x:c r="V880" s="35" t="n">
        <x:v>3</x:v>
      </x:c>
      <x:c r="W880" s="35" t="n">
        <x:v>15</x:v>
      </x:c>
      <x:c r="X880" s="35" t="n">
        <x:v>73</x:v>
      </x:c>
      <x:c r="Y880" s="35" t="n">
        <x:v>4</x:v>
      </x:c>
      <x:c r="Z880" s="35" t="n">
        <x:v>100</x:v>
      </x:c>
      <x:c r="AA880" s="35" t="n">
        <x:v>2</x:v>
      </x:c>
      <x:c r="AB880" s="35" t="n">
        <x:v>2</x:v>
      </x:c>
      <x:c r="AC880" s="35" t="n">
        <x:v>2</x:v>
      </x:c>
      <x:c r="AD880" s="35" t="n">
        <x:v>81</x:v>
      </x:c>
      <x:c r="AE880" s="35" t="n">
        <x:v>80</x:v>
      </x:c>
      <x:c r="AF880" s="35" t="n">
        <x:v>82</x:v>
      </x:c>
      <x:c r="AG880" s="35" t="n">
        <x:v>95</x:v>
      </x:c>
      <x:c r="AH880" s="35" t="n">
        <x:v>6</x:v>
      </x:c>
      <x:c r="AI880" s="37" t="n">
        <x:v>100</x:v>
      </x:c>
      <x:c r="AJ880" s="37" t="n">
        <x:v>97.4</x:v>
      </x:c>
      <x:c r="AK880" s="35" t="str">
        <x:v>No</x:v>
      </x:c>
      <x:c r="AL880" s="38" t="n">
        <x:f>IF(AA880=0,0,AB880/AA880)</x:f>
        <x:v>1</x:v>
      </x:c>
      <x:c r="AM880" s="38" t="n">
        <x:f>IF(AB880=0,0,AC880/AB880)</x:f>
        <x:v>1</x:v>
      </x:c>
      <x:c r="AN880" s="37" t="n">
        <x:f>ROUND((AD880*0.20+AE880*0.20+AF880*0.25+AG880*0.15+MIN(100,AC880*12)*0.20),1)</x:f>
        <x:v>71.8</x:v>
      </x:c>
      <x:c r="AO880" s="37" t="n">
        <x:f>ROUND(MAX(0,MIN(100,(X880*0.35)+(W880/45*100*0.20)+((5-O880)/4*100*0.15)+((5-P880)/4*100*0.10)+((6-Y880)/5*100*0.10)+((100-Z880)*0.10))),1)</x:f>
        <x:v>42.5</x:v>
      </x:c>
      <x:c r="AP880" s="37" t="str">
        <x:f>IF(AO880&gt;=70,"High",IF(AO880&gt;=40,"Moderate","Low"))</x:f>
        <x:v>Moderate</x:v>
      </x:c>
      <x:c r="AQ880" s="37" t="n">
        <x:f>ROUND(MAX(0,MIN(100,(O880/4*100*0.25)+(P880/4*100*0.20)+(Q880/4*100*0.15)+(Y880/5*100*0.20)+(100-AO880)*0.20)),1)</x:f>
        <x:v>83.8</x:v>
      </x:c>
      <x:c r="AR880" s="37" t="n">
        <x:f>ROUND((AI880*0.20+AJ880*0.15+AN880*0.18+AG880*0.12+Z880*0.15+AQ880*0.20),1)</x:f>
        <x:v>90.7</x:v>
      </x:c>
      <x:c r="AS880" s="39" t="n">
        <x:f>ROUND((AC880*AF880*120)+(AH880*350)+(MAX(0,AI880-75)*220)+(MAX(0,AQ880-60)*100),0)</x:f>
        <x:v>29660</x:v>
      </x:c>
    </x:row>
    <x:row r="881">
      <x:c r="A881" s="35" t="n">
        <x:v>880</x:v>
      </x:c>
      <x:c r="B881" s="35" t="n">
        <x:v>30</x:v>
      </x:c>
      <x:c r="C881" s="35" t="str">
        <x:v>Female</x:v>
      </x:c>
      <x:c r="D881" s="35" t="str">
        <x:v>Marketing</x:v>
      </x:c>
      <x:c r="E881" s="35" t="str">
        <x:v>Marketing Specialist</x:v>
      </x:c>
      <x:c r="F881" s="35" t="str">
        <x:v>Life Sciences</x:v>
      </x:c>
      <x:c r="G881" s="35" t="str">
        <x:v>Married</x:v>
      </x:c>
      <x:c r="H881" s="35" t="n">
        <x:v>2</x:v>
      </x:c>
      <x:c r="I881" s="36" t="n">
        <x:v>9890</x:v>
      </x:c>
      <x:c r="J881" s="35" t="n">
        <x:v>5</x:v>
      </x:c>
      <x:c r="K881" s="35" t="n">
        <x:v>4</x:v>
      </x:c>
      <x:c r="L881" s="35" t="n">
        <x:v>1</x:v>
      </x:c>
      <x:c r="M881" s="35" t="n">
        <x:v>8</x:v>
      </x:c>
      <x:c r="N881" s="35" t="str">
        <x:v>No</x:v>
      </x:c>
      <x:c r="O881" s="35" t="n">
        <x:v>3</x:v>
      </x:c>
      <x:c r="P881" s="35" t="n">
        <x:v>3</x:v>
      </x:c>
      <x:c r="Q881" s="35" t="n">
        <x:v>3</x:v>
      </x:c>
      <x:c r="R881" s="35" t="n">
        <x:v>4</x:v>
      </x:c>
      <x:c r="S881" s="35" t="n">
        <x:v>3</x:v>
      </x:c>
      <x:c r="T881" s="35" t="n">
        <x:v>4</x:v>
      </x:c>
      <x:c r="U881" s="35" t="n">
        <x:v>0</x:v>
      </x:c>
      <x:c r="V881" s="35" t="n">
        <x:v>5</x:v>
      </x:c>
      <x:c r="W881" s="35" t="n">
        <x:v>0</x:v>
      </x:c>
      <x:c r="X881" s="35" t="n">
        <x:v>71</x:v>
      </x:c>
      <x:c r="Y881" s="35" t="n">
        <x:v>4</x:v>
      </x:c>
      <x:c r="Z881" s="35" t="n">
        <x:v>100</x:v>
      </x:c>
      <x:c r="AA881" s="35" t="n">
        <x:v>7</x:v>
      </x:c>
      <x:c r="AB881" s="35" t="n">
        <x:v>6</x:v>
      </x:c>
      <x:c r="AC881" s="35" t="n">
        <x:v>4</x:v>
      </x:c>
      <x:c r="AD881" s="35" t="n">
        <x:v>60</x:v>
      </x:c>
      <x:c r="AE881" s="35" t="n">
        <x:v>84</x:v>
      </x:c>
      <x:c r="AF881" s="35" t="n">
        <x:v>71</x:v>
      </x:c>
      <x:c r="AG881" s="35" t="n">
        <x:v>100</x:v>
      </x:c>
      <x:c r="AH881" s="35" t="n">
        <x:v>7</x:v>
      </x:c>
      <x:c r="AI881" s="37" t="n">
        <x:v>97</x:v>
      </x:c>
      <x:c r="AJ881" s="37" t="n">
        <x:v>95.1</x:v>
      </x:c>
      <x:c r="AK881" s="35" t="str">
        <x:v>No</x:v>
      </x:c>
      <x:c r="AL881" s="38" t="n">
        <x:f>IF(AA881=0,0,AB881/AA881)</x:f>
        <x:v>0.8571428571428571</x:v>
      </x:c>
      <x:c r="AM881" s="38" t="n">
        <x:f>IF(AB881=0,0,AC881/AB881)</x:f>
        <x:v>0.6666666666666666</x:v>
      </x:c>
      <x:c r="AN881" s="37" t="n">
        <x:f>ROUND((AD881*0.20+AE881*0.20+AF881*0.25+AG881*0.15+MIN(100,AC881*12)*0.20),1)</x:f>
        <x:v>71.2</x:v>
      </x:c>
      <x:c r="AO881" s="37" t="n">
        <x:f>ROUND(MAX(0,MIN(100,(X881*0.35)+(W881/45*100*0.20)+((5-O881)/4*100*0.15)+((5-P881)/4*100*0.10)+((6-Y881)/5*100*0.10)+((100-Z881)*0.10))),1)</x:f>
        <x:v>41.3</x:v>
      </x:c>
      <x:c r="AP881" s="37" t="str">
        <x:f>IF(AO881&gt;=70,"High",IF(AO881&gt;=40,"Moderate","Low"))</x:f>
        <x:v>Moderate</x:v>
      </x:c>
      <x:c r="AQ881" s="37" t="n">
        <x:f>ROUND(MAX(0,MIN(100,(O881/4*100*0.25)+(P881/4*100*0.20)+(Q881/4*100*0.15)+(Y881/5*100*0.20)+(100-AO881)*0.20)),1)</x:f>
        <x:v>72.7</x:v>
      </x:c>
      <x:c r="AR881" s="37" t="n">
        <x:f>ROUND((AI881*0.20+AJ881*0.15+AN881*0.18+AG881*0.12+Z881*0.15+AQ881*0.20),1)</x:f>
        <x:v>88</x:v>
      </x:c>
      <x:c r="AS881" s="39" t="n">
        <x:f>ROUND((AC881*AF881*120)+(AH881*350)+(MAX(0,AI881-75)*220)+(MAX(0,AQ881-60)*100),0)</x:f>
        <x:v>42640</x:v>
      </x:c>
    </x:row>
    <x:row r="882">
      <x:c r="A882" s="35" t="n">
        <x:v>881</x:v>
      </x:c>
      <x:c r="B882" s="35" t="n">
        <x:v>37</x:v>
      </x:c>
      <x:c r="C882" s="35" t="str">
        <x:v>Female</x:v>
      </x:c>
      <x:c r="D882" s="35" t="str">
        <x:v>Sales</x:v>
      </x:c>
      <x:c r="E882" s="35" t="str">
        <x:v>Account Manager</x:v>
      </x:c>
      <x:c r="F882" s="35" t="str">
        <x:v>Technical Degree</x:v>
      </x:c>
      <x:c r="G882" s="35" t="str">
        <x:v>Married</x:v>
      </x:c>
      <x:c r="H882" s="35" t="n">
        <x:v>2</x:v>
      </x:c>
      <x:c r="I882" s="36" t="n">
        <x:v>8730</x:v>
      </x:c>
      <x:c r="J882" s="35" t="n">
        <x:v>9</x:v>
      </x:c>
      <x:c r="K882" s="35" t="n">
        <x:v>5</x:v>
      </x:c>
      <x:c r="L882" s="35" t="n">
        <x:v>2</x:v>
      </x:c>
      <x:c r="M882" s="35" t="n">
        <x:v>5</x:v>
      </x:c>
      <x:c r="N882" s="35" t="str">
        <x:v>No</x:v>
      </x:c>
      <x:c r="O882" s="35" t="n">
        <x:v>2</x:v>
      </x:c>
      <x:c r="P882" s="35" t="n">
        <x:v>2</x:v>
      </x:c>
      <x:c r="Q882" s="35" t="n">
        <x:v>4</x:v>
      </x:c>
      <x:c r="R882" s="35" t="n">
        <x:v>3</x:v>
      </x:c>
      <x:c r="S882" s="35" t="n">
        <x:v>3</x:v>
      </x:c>
      <x:c r="T882" s="35" t="n">
        <x:v>5</x:v>
      </x:c>
      <x:c r="U882" s="35" t="n">
        <x:v>1</x:v>
      </x:c>
      <x:c r="V882" s="35" t="n">
        <x:v>11</x:v>
      </x:c>
      <x:c r="W882" s="35" t="n">
        <x:v>11</x:v>
      </x:c>
      <x:c r="X882" s="35" t="n">
        <x:v>60</x:v>
      </x:c>
      <x:c r="Y882" s="35" t="n">
        <x:v>5</x:v>
      </x:c>
      <x:c r="Z882" s="35" t="n">
        <x:v>100</x:v>
      </x:c>
      <x:c r="AA882" s="35" t="n">
        <x:v>15</x:v>
      </x:c>
      <x:c r="AB882" s="35" t="n">
        <x:v>13</x:v>
      </x:c>
      <x:c r="AC882" s="35" t="n">
        <x:v>10</x:v>
      </x:c>
      <x:c r="AD882" s="35" t="n">
        <x:v>100</x:v>
      </x:c>
      <x:c r="AE882" s="35" t="n">
        <x:v>100</x:v>
      </x:c>
      <x:c r="AF882" s="35" t="n">
        <x:v>76</x:v>
      </x:c>
      <x:c r="AG882" s="35" t="n">
        <x:v>99</x:v>
      </x:c>
      <x:c r="AH882" s="35" t="n">
        <x:v>12</x:v>
      </x:c>
      <x:c r="AI882" s="37" t="n">
        <x:v>100</x:v>
      </x:c>
      <x:c r="AJ882" s="37" t="n">
        <x:v>91.8</x:v>
      </x:c>
      <x:c r="AK882" s="35" t="str">
        <x:v>No</x:v>
      </x:c>
      <x:c r="AL882" s="38" t="n">
        <x:f>IF(AA882=0,0,AB882/AA882)</x:f>
        <x:v>0.8666666666666667</x:v>
      </x:c>
      <x:c r="AM882" s="38" t="n">
        <x:f>IF(AB882=0,0,AC882/AB882)</x:f>
        <x:v>0.7692307692307693</x:v>
      </x:c>
      <x:c r="AN882" s="37" t="n">
        <x:f>ROUND((AD882*0.20+AE882*0.20+AF882*0.25+AG882*0.15+MIN(100,AC882*12)*0.20),1)</x:f>
        <x:v>93.9</x:v>
      </x:c>
      <x:c r="AO882" s="37" t="n">
        <x:f>ROUND(MAX(0,MIN(100,(X882*0.35)+(W882/45*100*0.20)+((5-O882)/4*100*0.15)+((5-P882)/4*100*0.10)+((6-Y882)/5*100*0.10)+((100-Z882)*0.10))),1)</x:f>
        <x:v>46.6</x:v>
      </x:c>
      <x:c r="AP882" s="37" t="str">
        <x:f>IF(AO882&gt;=70,"High",IF(AO882&gt;=40,"Moderate","Low"))</x:f>
        <x:v>Moderate</x:v>
      </x:c>
      <x:c r="AQ882" s="37" t="n">
        <x:f>ROUND(MAX(0,MIN(100,(O882/4*100*0.25)+(P882/4*100*0.20)+(Q882/4*100*0.15)+(Y882/5*100*0.20)+(100-AO882)*0.20)),1)</x:f>
        <x:v>68.2</x:v>
      </x:c>
      <x:c r="AR882" s="37" t="n">
        <x:f>ROUND((AI882*0.20+AJ882*0.15+AN882*0.18+AG882*0.12+Z882*0.15+AQ882*0.20),1)</x:f>
        <x:v>91.2</x:v>
      </x:c>
      <x:c r="AS882" s="39" t="n">
        <x:f>ROUND((AC882*AF882*120)+(AH882*350)+(MAX(0,AI882-75)*220)+(MAX(0,AQ882-60)*100),0)</x:f>
        <x:v>101720</x:v>
      </x:c>
    </x:row>
    <x:row r="883">
      <x:c r="A883" s="35" t="n">
        <x:v>882</x:v>
      </x:c>
      <x:c r="B883" s="35" t="n">
        <x:v>31</x:v>
      </x:c>
      <x:c r="C883" s="35" t="str">
        <x:v>Male</x:v>
      </x:c>
      <x:c r="D883" s="35" t="str">
        <x:v>Sales</x:v>
      </x:c>
      <x:c r="E883" s="35" t="str">
        <x:v>Sales Executive</x:v>
      </x:c>
      <x:c r="F883" s="35" t="str">
        <x:v>Computer Science</x:v>
      </x:c>
      <x:c r="G883" s="35" t="str">
        <x:v>Married</x:v>
      </x:c>
      <x:c r="H883" s="35" t="n">
        <x:v>1</x:v>
      </x:c>
      <x:c r="I883" s="36" t="n">
        <x:v>4780</x:v>
      </x:c>
      <x:c r="J883" s="35" t="n">
        <x:v>8</x:v>
      </x:c>
      <x:c r="K883" s="35" t="n">
        <x:v>5</x:v>
      </x:c>
      <x:c r="L883" s="35" t="n">
        <x:v>3</x:v>
      </x:c>
      <x:c r="M883" s="35" t="n">
        <x:v>14</x:v>
      </x:c>
      <x:c r="N883" s="35" t="str">
        <x:v>No</x:v>
      </x:c>
      <x:c r="O883" s="35" t="n">
        <x:v>3</x:v>
      </x:c>
      <x:c r="P883" s="35" t="n">
        <x:v>2</x:v>
      </x:c>
      <x:c r="Q883" s="35" t="n">
        <x:v>2</x:v>
      </x:c>
      <x:c r="R883" s="35" t="n">
        <x:v>4</x:v>
      </x:c>
      <x:c r="S883" s="35" t="n">
        <x:v>3</x:v>
      </x:c>
      <x:c r="T883" s="35" t="n">
        <x:v>4</x:v>
      </x:c>
      <x:c r="U883" s="35" t="n">
        <x:v>1</x:v>
      </x:c>
      <x:c r="V883" s="35" t="n">
        <x:v>0</x:v>
      </x:c>
      <x:c r="W883" s="35" t="n">
        <x:v>9</x:v>
      </x:c>
      <x:c r="X883" s="35" t="n">
        <x:v>72</x:v>
      </x:c>
      <x:c r="Y883" s="35" t="n">
        <x:v>5</x:v>
      </x:c>
      <x:c r="Z883" s="35" t="n">
        <x:v>100</x:v>
      </x:c>
      <x:c r="AA883" s="35" t="n">
        <x:v>9</x:v>
      </x:c>
      <x:c r="AB883" s="35" t="n">
        <x:v>8</x:v>
      </x:c>
      <x:c r="AC883" s="35" t="n">
        <x:v>8</x:v>
      </x:c>
      <x:c r="AD883" s="35" t="n">
        <x:v>82</x:v>
      </x:c>
      <x:c r="AE883" s="35" t="n">
        <x:v>98</x:v>
      </x:c>
      <x:c r="AF883" s="35" t="n">
        <x:v>100</x:v>
      </x:c>
      <x:c r="AG883" s="35" t="n">
        <x:v>92</x:v>
      </x:c>
      <x:c r="AH883" s="35" t="n">
        <x:v>12</x:v>
      </x:c>
      <x:c r="AI883" s="37" t="n">
        <x:v>100</x:v>
      </x:c>
      <x:c r="AJ883" s="37" t="n">
        <x:v>100</x:v>
      </x:c>
      <x:c r="AK883" s="35" t="str">
        <x:v>No</x:v>
      </x:c>
      <x:c r="AL883" s="38" t="n">
        <x:f>IF(AA883=0,0,AB883/AA883)</x:f>
        <x:v>0.8888888888888888</x:v>
      </x:c>
      <x:c r="AM883" s="38" t="n">
        <x:f>IF(AB883=0,0,AC883/AB883)</x:f>
        <x:v>1</x:v>
      </x:c>
      <x:c r="AN883" s="37" t="n">
        <x:f>ROUND((AD883*0.20+AE883*0.20+AF883*0.25+AG883*0.15+MIN(100,AC883*12)*0.20),1)</x:f>
        <x:v>94</x:v>
      </x:c>
      <x:c r="AO883" s="37" t="n">
        <x:f>ROUND(MAX(0,MIN(100,(X883*0.35)+(W883/45*100*0.20)+((5-O883)/4*100*0.15)+((5-P883)/4*100*0.10)+((6-Y883)/5*100*0.10)+((100-Z883)*0.10))),1)</x:f>
        <x:v>46.2</x:v>
      </x:c>
      <x:c r="AP883" s="37" t="str">
        <x:f>IF(AO883&gt;=70,"High",IF(AO883&gt;=40,"Moderate","Low"))</x:f>
        <x:v>Moderate</x:v>
      </x:c>
      <x:c r="AQ883" s="37" t="n">
        <x:f>ROUND(MAX(0,MIN(100,(O883/4*100*0.25)+(P883/4*100*0.20)+(Q883/4*100*0.15)+(Y883/5*100*0.20)+(100-AO883)*0.20)),1)</x:f>
        <x:v>67</x:v>
      </x:c>
      <x:c r="AR883" s="37" t="n">
        <x:f>ROUND((AI883*0.20+AJ883*0.15+AN883*0.18+AG883*0.12+Z883*0.15+AQ883*0.20),1)</x:f>
        <x:v>91.4</x:v>
      </x:c>
      <x:c r="AS883" s="39" t="n">
        <x:f>ROUND((AC883*AF883*120)+(AH883*350)+(MAX(0,AI883-75)*220)+(MAX(0,AQ883-60)*100),0)</x:f>
        <x:v>106400</x:v>
      </x:c>
    </x:row>
    <x:row r="884">
      <x:c r="A884" s="35" t="n">
        <x:v>883</x:v>
      </x:c>
      <x:c r="B884" s="35" t="n">
        <x:v>33</x:v>
      </x:c>
      <x:c r="C884" s="35" t="str">
        <x:v>Male</x:v>
      </x:c>
      <x:c r="D884" s="35" t="str">
        <x:v>Human Resources</x:v>
      </x:c>
      <x:c r="E884" s="35" t="str">
        <x:v>HR Specialist</x:v>
      </x:c>
      <x:c r="F884" s="35" t="str">
        <x:v>Computer Science</x:v>
      </x:c>
      <x:c r="G884" s="35" t="str">
        <x:v>Single</x:v>
      </x:c>
      <x:c r="H884" s="35" t="n">
        <x:v>1</x:v>
      </x:c>
      <x:c r="I884" s="36" t="n">
        <x:v>5690</x:v>
      </x:c>
      <x:c r="J884" s="35" t="n">
        <x:v>6</x:v>
      </x:c>
      <x:c r="K884" s="35" t="n">
        <x:v>3</x:v>
      </x:c>
      <x:c r="L884" s="35" t="n">
        <x:v>2</x:v>
      </x:c>
      <x:c r="M884" s="35" t="n">
        <x:v>14</x:v>
      </x:c>
      <x:c r="N884" s="35" t="str">
        <x:v>No</x:v>
      </x:c>
      <x:c r="O884" s="35" t="n">
        <x:v>2</x:v>
      </x:c>
      <x:c r="P884" s="35" t="n">
        <x:v>3</x:v>
      </x:c>
      <x:c r="Q884" s="35" t="n">
        <x:v>3</x:v>
      </x:c>
      <x:c r="R884" s="35" t="n">
        <x:v>2</x:v>
      </x:c>
      <x:c r="S884" s="35" t="n">
        <x:v>3</x:v>
      </x:c>
      <x:c r="T884" s="35" t="n">
        <x:v>4</x:v>
      </x:c>
      <x:c r="U884" s="35" t="n">
        <x:v>2</x:v>
      </x:c>
      <x:c r="V884" s="35" t="n">
        <x:v>6</x:v>
      </x:c>
      <x:c r="W884" s="35" t="n">
        <x:v>15</x:v>
      </x:c>
      <x:c r="X884" s="35" t="n">
        <x:v>71</x:v>
      </x:c>
      <x:c r="Y884" s="35" t="n">
        <x:v>3</x:v>
      </x:c>
      <x:c r="Z884" s="35" t="n">
        <x:v>99</x:v>
      </x:c>
      <x:c r="AA884" s="35" t="n">
        <x:v>6</x:v>
      </x:c>
      <x:c r="AB884" s="35" t="n">
        <x:v>6</x:v>
      </x:c>
      <x:c r="AC884" s="35" t="n">
        <x:v>6</x:v>
      </x:c>
      <x:c r="AD884" s="35" t="n">
        <x:v>64</x:v>
      </x:c>
      <x:c r="AE884" s="35" t="n">
        <x:v>96</x:v>
      </x:c>
      <x:c r="AF884" s="35" t="n">
        <x:v>75</x:v>
      </x:c>
      <x:c r="AG884" s="35" t="n">
        <x:v>89</x:v>
      </x:c>
      <x:c r="AH884" s="35" t="n">
        <x:v>10</x:v>
      </x:c>
      <x:c r="AI884" s="37" t="n">
        <x:v>88</x:v>
      </x:c>
      <x:c r="AJ884" s="37" t="n">
        <x:v>91.5</x:v>
      </x:c>
      <x:c r="AK884" s="35" t="str">
        <x:v>No</x:v>
      </x:c>
      <x:c r="AL884" s="38" t="n">
        <x:f>IF(AA884=0,0,AB884/AA884)</x:f>
        <x:v>1</x:v>
      </x:c>
      <x:c r="AM884" s="38" t="n">
        <x:f>IF(AB884=0,0,AC884/AB884)</x:f>
        <x:v>1</x:v>
      </x:c>
      <x:c r="AN884" s="37" t="n">
        <x:f>ROUND((AD884*0.20+AE884*0.20+AF884*0.25+AG884*0.15+MIN(100,AC884*12)*0.20),1)</x:f>
        <x:v>78.5</x:v>
      </x:c>
      <x:c r="AO884" s="37" t="n">
        <x:f>ROUND(MAX(0,MIN(100,(X884*0.35)+(W884/45*100*0.20)+((5-O884)/4*100*0.15)+((5-P884)/4*100*0.10)+((6-Y884)/5*100*0.10)+((100-Z884)*0.10))),1)</x:f>
        <x:v>53.9</x:v>
      </x:c>
      <x:c r="AP884" s="37" t="str">
        <x:f>IF(AO884&gt;=70,"High",IF(AO884&gt;=40,"Moderate","Low"))</x:f>
        <x:v>Moderate</x:v>
      </x:c>
      <x:c r="AQ884" s="37" t="n">
        <x:f>ROUND(MAX(0,MIN(100,(O884/4*100*0.25)+(P884/4*100*0.20)+(Q884/4*100*0.15)+(Y884/5*100*0.20)+(100-AO884)*0.20)),1)</x:f>
        <x:v>60</x:v>
      </x:c>
      <x:c r="AR884" s="37" t="n">
        <x:f>ROUND((AI884*0.20+AJ884*0.15+AN884*0.18+AG884*0.12+Z884*0.15+AQ884*0.20),1)</x:f>
        <x:v>83</x:v>
      </x:c>
      <x:c r="AS884" s="39" t="n">
        <x:f>ROUND((AC884*AF884*120)+(AH884*350)+(MAX(0,AI884-75)*220)+(MAX(0,AQ884-60)*100),0)</x:f>
        <x:v>60360</x:v>
      </x:c>
    </x:row>
    <x:row r="885">
      <x:c r="A885" s="35" t="n">
        <x:v>884</x:v>
      </x:c>
      <x:c r="B885" s="35" t="n">
        <x:v>36</x:v>
      </x:c>
      <x:c r="C885" s="35" t="str">
        <x:v>Male</x:v>
      </x:c>
      <x:c r="D885" s="35" t="str">
        <x:v>Research &amp; Development</x:v>
      </x:c>
      <x:c r="E885" s="35" t="str">
        <x:v>Laboratory Technician</x:v>
      </x:c>
      <x:c r="F885" s="35" t="str">
        <x:v>Medical</x:v>
      </x:c>
      <x:c r="G885" s="35" t="str">
        <x:v>Single</x:v>
      </x:c>
      <x:c r="H885" s="35" t="n">
        <x:v>2</x:v>
      </x:c>
      <x:c r="I885" s="36" t="n">
        <x:v>7260</x:v>
      </x:c>
      <x:c r="J885" s="35" t="n">
        <x:v>8</x:v>
      </x:c>
      <x:c r="K885" s="35" t="n">
        <x:v>5</x:v>
      </x:c>
      <x:c r="L885" s="35" t="n">
        <x:v>3</x:v>
      </x:c>
      <x:c r="M885" s="35" t="n">
        <x:v>5</x:v>
      </x:c>
      <x:c r="N885" s="35" t="str">
        <x:v>No</x:v>
      </x:c>
      <x:c r="O885" s="35" t="n">
        <x:v>3</x:v>
      </x:c>
      <x:c r="P885" s="35" t="n">
        <x:v>3</x:v>
      </x:c>
      <x:c r="Q885" s="35" t="n">
        <x:v>3</x:v>
      </x:c>
      <x:c r="R885" s="35" t="n">
        <x:v>3</x:v>
      </x:c>
      <x:c r="S885" s="35" t="n">
        <x:v>3</x:v>
      </x:c>
      <x:c r="T885" s="35" t="n">
        <x:v>4</x:v>
      </x:c>
      <x:c r="U885" s="35" t="n">
        <x:v>2</x:v>
      </x:c>
      <x:c r="V885" s="35" t="n">
        <x:v>7</x:v>
      </x:c>
      <x:c r="W885" s="35" t="n">
        <x:v>1</x:v>
      </x:c>
      <x:c r="X885" s="35" t="n">
        <x:v>61</x:v>
      </x:c>
      <x:c r="Y885" s="35" t="n">
        <x:v>5</x:v>
      </x:c>
      <x:c r="Z885" s="35" t="n">
        <x:v>100</x:v>
      </x:c>
      <x:c r="AA885" s="35" t="n">
        <x:v>7</x:v>
      </x:c>
      <x:c r="AB885" s="35" t="n">
        <x:v>4</x:v>
      </x:c>
      <x:c r="AC885" s="35" t="n">
        <x:v>3</x:v>
      </x:c>
      <x:c r="AD885" s="35" t="n">
        <x:v>83</x:v>
      </x:c>
      <x:c r="AE885" s="35" t="n">
        <x:v>85</x:v>
      </x:c>
      <x:c r="AF885" s="35" t="n">
        <x:v>70</x:v>
      </x:c>
      <x:c r="AG885" s="35" t="n">
        <x:v>100</x:v>
      </x:c>
      <x:c r="AH885" s="35" t="n">
        <x:v>7</x:v>
      </x:c>
      <x:c r="AI885" s="37" t="n">
        <x:v>98.2</x:v>
      </x:c>
      <x:c r="AJ885" s="37" t="n">
        <x:v>83.9</x:v>
      </x:c>
      <x:c r="AK885" s="35" t="str">
        <x:v>No</x:v>
      </x:c>
      <x:c r="AL885" s="38" t="n">
        <x:f>IF(AA885=0,0,AB885/AA885)</x:f>
        <x:v>0.5714285714285714</x:v>
      </x:c>
      <x:c r="AM885" s="38" t="n">
        <x:f>IF(AB885=0,0,AC885/AB885)</x:f>
        <x:v>0.75</x:v>
      </x:c>
      <x:c r="AN885" s="37" t="n">
        <x:f>ROUND((AD885*0.20+AE885*0.20+AF885*0.25+AG885*0.15+MIN(100,AC885*12)*0.20),1)</x:f>
        <x:v>73.3</x:v>
      </x:c>
      <x:c r="AO885" s="37" t="n">
        <x:f>ROUND(MAX(0,MIN(100,(X885*0.35)+(W885/45*100*0.20)+((5-O885)/4*100*0.15)+((5-P885)/4*100*0.10)+((6-Y885)/5*100*0.10)+((100-Z885)*0.10))),1)</x:f>
        <x:v>36.3</x:v>
      </x:c>
      <x:c r="AP885" s="37" t="str">
        <x:f>IF(AO885&gt;=70,"High",IF(AO885&gt;=40,"Moderate","Low"))</x:f>
        <x:v>Low</x:v>
      </x:c>
      <x:c r="AQ885" s="37" t="n">
        <x:f>ROUND(MAX(0,MIN(100,(O885/4*100*0.25)+(P885/4*100*0.20)+(Q885/4*100*0.15)+(Y885/5*100*0.20)+(100-AO885)*0.20)),1)</x:f>
        <x:v>77.7</x:v>
      </x:c>
      <x:c r="AR885" s="37" t="n">
        <x:f>ROUND((AI885*0.20+AJ885*0.15+AN885*0.18+AG885*0.12+Z885*0.15+AQ885*0.20),1)</x:f>
        <x:v>88</x:v>
      </x:c>
      <x:c r="AS885" s="39" t="n">
        <x:f>ROUND((AC885*AF885*120)+(AH885*350)+(MAX(0,AI885-75)*220)+(MAX(0,AQ885-60)*100),0)</x:f>
        <x:v>34524</x:v>
      </x:c>
    </x:row>
    <x:row r="886">
      <x:c r="A886" s="35" t="n">
        <x:v>885</x:v>
      </x:c>
      <x:c r="B886" s="35" t="n">
        <x:v>42</x:v>
      </x:c>
      <x:c r="C886" s="35" t="str">
        <x:v>Male</x:v>
      </x:c>
      <x:c r="D886" s="35" t="str">
        <x:v>Research &amp; Development</x:v>
      </x:c>
      <x:c r="E886" s="35" t="str">
        <x:v>Data Scientist</x:v>
      </x:c>
      <x:c r="F886" s="35" t="str">
        <x:v>Marketing</x:v>
      </x:c>
      <x:c r="G886" s="35" t="str">
        <x:v>Single</x:v>
      </x:c>
      <x:c r="H886" s="35" t="n">
        <x:v>3</x:v>
      </x:c>
      <x:c r="I886" s="36" t="n">
        <x:v>15610</x:v>
      </x:c>
      <x:c r="J886" s="35" t="n">
        <x:v>12</x:v>
      </x:c>
      <x:c r="K886" s="35" t="n">
        <x:v>3</x:v>
      </x:c>
      <x:c r="L886" s="35" t="n">
        <x:v>2</x:v>
      </x:c>
      <x:c r="M886" s="35" t="n">
        <x:v>16</x:v>
      </x:c>
      <x:c r="N886" s="35" t="str">
        <x:v>Yes</x:v>
      </x:c>
      <x:c r="O886" s="35" t="n">
        <x:v>3</x:v>
      </x:c>
      <x:c r="P886" s="35" t="n">
        <x:v>4</x:v>
      </x:c>
      <x:c r="Q886" s="35" t="n">
        <x:v>2</x:v>
      </x:c>
      <x:c r="R886" s="35" t="n">
        <x:v>4</x:v>
      </x:c>
      <x:c r="S886" s="35" t="n">
        <x:v>3</x:v>
      </x:c>
      <x:c r="T886" s="35" t="n">
        <x:v>3</x:v>
      </x:c>
      <x:c r="U886" s="35" t="n">
        <x:v>0</x:v>
      </x:c>
      <x:c r="V886" s="35" t="n">
        <x:v>11</x:v>
      </x:c>
      <x:c r="W886" s="35" t="n">
        <x:v>13</x:v>
      </x:c>
      <x:c r="X886" s="35" t="n">
        <x:v>86</x:v>
      </x:c>
      <x:c r="Y886" s="35" t="n">
        <x:v>4</x:v>
      </x:c>
      <x:c r="Z886" s="35" t="n">
        <x:v>100</x:v>
      </x:c>
      <x:c r="AA886" s="35" t="n">
        <x:v>2</x:v>
      </x:c>
      <x:c r="AB886" s="35" t="n">
        <x:v>2</x:v>
      </x:c>
      <x:c r="AC886" s="35" t="n">
        <x:v>2</x:v>
      </x:c>
      <x:c r="AD886" s="35" t="n">
        <x:v>76</x:v>
      </x:c>
      <x:c r="AE886" s="35" t="n">
        <x:v>79</x:v>
      </x:c>
      <x:c r="AF886" s="35" t="n">
        <x:v>69</x:v>
      </x:c>
      <x:c r="AG886" s="35" t="n">
        <x:v>90</x:v>
      </x:c>
      <x:c r="AH886" s="35" t="n">
        <x:v>6</x:v>
      </x:c>
      <x:c r="AI886" s="37" t="n">
        <x:v>94.1</x:v>
      </x:c>
      <x:c r="AJ886" s="37" t="n">
        <x:v>96.9</x:v>
      </x:c>
      <x:c r="AK886" s="35" t="str">
        <x:v>No</x:v>
      </x:c>
      <x:c r="AL886" s="38" t="n">
        <x:f>IF(AA886=0,0,AB886/AA886)</x:f>
        <x:v>1</x:v>
      </x:c>
      <x:c r="AM886" s="38" t="n">
        <x:f>IF(AB886=0,0,AC886/AB886)</x:f>
        <x:v>1</x:v>
      </x:c>
      <x:c r="AN886" s="37" t="n">
        <x:f>ROUND((AD886*0.20+AE886*0.20+AF886*0.25+AG886*0.15+MIN(100,AC886*12)*0.20),1)</x:f>
        <x:v>66.6</x:v>
      </x:c>
      <x:c r="AO886" s="37" t="n">
        <x:f>ROUND(MAX(0,MIN(100,(X886*0.35)+(W886/45*100*0.20)+((5-O886)/4*100*0.15)+((5-P886)/4*100*0.10)+((6-Y886)/5*100*0.10)+((100-Z886)*0.10))),1)</x:f>
        <x:v>49.9</x:v>
      </x:c>
      <x:c r="AP886" s="37" t="str">
        <x:f>IF(AO886&gt;=70,"High",IF(AO886&gt;=40,"Moderate","Low"))</x:f>
        <x:v>Moderate</x:v>
      </x:c>
      <x:c r="AQ886" s="37" t="n">
        <x:f>ROUND(MAX(0,MIN(100,(O886/4*100*0.25)+(P886/4*100*0.20)+(Q886/4*100*0.15)+(Y886/5*100*0.20)+(100-AO886)*0.20)),1)</x:f>
        <x:v>72.3</x:v>
      </x:c>
      <x:c r="AR886" s="37" t="n">
        <x:f>ROUND((AI886*0.20+AJ886*0.15+AN886*0.18+AG886*0.12+Z886*0.15+AQ886*0.20),1)</x:f>
        <x:v>85.6</x:v>
      </x:c>
      <x:c r="AS886" s="39" t="n">
        <x:f>ROUND((AC886*AF886*120)+(AH886*350)+(MAX(0,AI886-75)*220)+(MAX(0,AQ886-60)*100),0)</x:f>
        <x:v>24092</x:v>
      </x:c>
    </x:row>
    <x:row r="887">
      <x:c r="A887" s="35" t="n">
        <x:v>886</x:v>
      </x:c>
      <x:c r="B887" s="35" t="n">
        <x:v>27</x:v>
      </x:c>
      <x:c r="C887" s="35" t="str">
        <x:v>Female</x:v>
      </x:c>
      <x:c r="D887" s="35" t="str">
        <x:v>Information Technology</x:v>
      </x:c>
      <x:c r="E887" s="35" t="str">
        <x:v>Software Engineer</x:v>
      </x:c>
      <x:c r="F887" s="35" t="str">
        <x:v>Medical</x:v>
      </x:c>
      <x:c r="G887" s="35" t="str">
        <x:v>Divorced</x:v>
      </x:c>
      <x:c r="H887" s="35" t="n">
        <x:v>1</x:v>
      </x:c>
      <x:c r="I887" s="36" t="n">
        <x:v>5360</x:v>
      </x:c>
      <x:c r="J887" s="35" t="n">
        <x:v>3</x:v>
      </x:c>
      <x:c r="K887" s="35" t="n">
        <x:v>2</x:v>
      </x:c>
      <x:c r="L887" s="35" t="n">
        <x:v>1</x:v>
      </x:c>
      <x:c r="M887" s="35" t="n">
        <x:v>5</x:v>
      </x:c>
      <x:c r="N887" s="35" t="str">
        <x:v>Yes</x:v>
      </x:c>
      <x:c r="O887" s="35" t="n">
        <x:v>4</x:v>
      </x:c>
      <x:c r="P887" s="35" t="n">
        <x:v>3</x:v>
      </x:c>
      <x:c r="Q887" s="35" t="n">
        <x:v>4</x:v>
      </x:c>
      <x:c r="R887" s="35" t="n">
        <x:v>2</x:v>
      </x:c>
      <x:c r="S887" s="35" t="n">
        <x:v>3</x:v>
      </x:c>
      <x:c r="T887" s="35" t="n">
        <x:v>2</x:v>
      </x:c>
      <x:c r="U887" s="35" t="n">
        <x:v>0</x:v>
      </x:c>
      <x:c r="V887" s="35" t="n">
        <x:v>5</x:v>
      </x:c>
      <x:c r="W887" s="35" t="n">
        <x:v>23</x:v>
      </x:c>
      <x:c r="X887" s="35" t="n">
        <x:v>80</x:v>
      </x:c>
      <x:c r="Y887" s="35" t="n">
        <x:v>5</x:v>
      </x:c>
      <x:c r="Z887" s="35" t="n">
        <x:v>100</x:v>
      </x:c>
      <x:c r="AA887" s="35" t="n">
        <x:v>5</x:v>
      </x:c>
      <x:c r="AB887" s="35" t="n">
        <x:v>3</x:v>
      </x:c>
      <x:c r="AC887" s="35" t="n">
        <x:v>2</x:v>
      </x:c>
      <x:c r="AD887" s="35" t="n">
        <x:v>59</x:v>
      </x:c>
      <x:c r="AE887" s="35" t="n">
        <x:v>71</x:v>
      </x:c>
      <x:c r="AF887" s="35" t="n">
        <x:v>63</x:v>
      </x:c>
      <x:c r="AG887" s="35" t="n">
        <x:v>81</x:v>
      </x:c>
      <x:c r="AH887" s="35" t="n">
        <x:v>4</x:v>
      </x:c>
      <x:c r="AI887" s="37" t="n">
        <x:v>100</x:v>
      </x:c>
      <x:c r="AJ887" s="37" t="n">
        <x:v>94</x:v>
      </x:c>
      <x:c r="AK887" s="35" t="str">
        <x:v>No</x:v>
      </x:c>
      <x:c r="AL887" s="38" t="n">
        <x:f>IF(AA887=0,0,AB887/AA887)</x:f>
        <x:v>0.6</x:v>
      </x:c>
      <x:c r="AM887" s="38" t="n">
        <x:f>IF(AB887=0,0,AC887/AB887)</x:f>
        <x:v>0.6666666666666666</x:v>
      </x:c>
      <x:c r="AN887" s="37" t="n">
        <x:f>ROUND((AD887*0.20+AE887*0.20+AF887*0.25+AG887*0.15+MIN(100,AC887*12)*0.20),1)</x:f>
        <x:v>58.7</x:v>
      </x:c>
      <x:c r="AO887" s="37" t="n">
        <x:f>ROUND(MAX(0,MIN(100,(X887*0.35)+(W887/45*100*0.20)+((5-O887)/4*100*0.15)+((5-P887)/4*100*0.10)+((6-Y887)/5*100*0.10)+((100-Z887)*0.10))),1)</x:f>
        <x:v>49</x:v>
      </x:c>
      <x:c r="AP887" s="37" t="str">
        <x:f>IF(AO887&gt;=70,"High",IF(AO887&gt;=40,"Moderate","Low"))</x:f>
        <x:v>Moderate</x:v>
      </x:c>
      <x:c r="AQ887" s="37" t="n">
        <x:f>ROUND(MAX(0,MIN(100,(O887/4*100*0.25)+(P887/4*100*0.20)+(Q887/4*100*0.15)+(Y887/5*100*0.20)+(100-AO887)*0.20)),1)</x:f>
        <x:v>85.2</x:v>
      </x:c>
      <x:c r="AR887" s="37" t="n">
        <x:f>ROUND((AI887*0.20+AJ887*0.15+AN887*0.18+AG887*0.12+Z887*0.15+AQ887*0.20),1)</x:f>
        <x:v>86.4</x:v>
      </x:c>
      <x:c r="AS887" s="39" t="n">
        <x:f>ROUND((AC887*AF887*120)+(AH887*350)+(MAX(0,AI887-75)*220)+(MAX(0,AQ887-60)*100),0)</x:f>
        <x:v>24540</x:v>
      </x:c>
    </x:row>
    <x:row r="888">
      <x:c r="A888" s="35" t="n">
        <x:v>887</x:v>
      </x:c>
      <x:c r="B888" s="35" t="n">
        <x:v>38</x:v>
      </x:c>
      <x:c r="C888" s="35" t="str">
        <x:v>Female</x:v>
      </x:c>
      <x:c r="D888" s="35" t="str">
        <x:v>Human Resources</x:v>
      </x:c>
      <x:c r="E888" s="35" t="str">
        <x:v>HR Manager</x:v>
      </x:c>
      <x:c r="F888" s="35" t="str">
        <x:v>Medical</x:v>
      </x:c>
      <x:c r="G888" s="35" t="str">
        <x:v>Married</x:v>
      </x:c>
      <x:c r="H888" s="35" t="n">
        <x:v>1</x:v>
      </x:c>
      <x:c r="I888" s="36" t="n">
        <x:v>5280</x:v>
      </x:c>
      <x:c r="J888" s="35" t="n">
        <x:v>8</x:v>
      </x:c>
      <x:c r="K888" s="35" t="n">
        <x:v>3</x:v>
      </x:c>
      <x:c r="L888" s="35" t="n">
        <x:v>2</x:v>
      </x:c>
      <x:c r="M888" s="35" t="n">
        <x:v>6</x:v>
      </x:c>
      <x:c r="N888" s="35" t="str">
        <x:v>No</x:v>
      </x:c>
      <x:c r="O888" s="35" t="n">
        <x:v>2</x:v>
      </x:c>
      <x:c r="P888" s="35" t="n">
        <x:v>3</x:v>
      </x:c>
      <x:c r="Q888" s="35" t="n">
        <x:v>2</x:v>
      </x:c>
      <x:c r="R888" s="35" t="n">
        <x:v>3</x:v>
      </x:c>
      <x:c r="S888" s="35" t="n">
        <x:v>3</x:v>
      </x:c>
      <x:c r="T888" s="35" t="n">
        <x:v>0</x:v>
      </x:c>
      <x:c r="U888" s="35" t="n">
        <x:v>1</x:v>
      </x:c>
      <x:c r="V888" s="35" t="n">
        <x:v>14</x:v>
      </x:c>
      <x:c r="W888" s="35" t="n">
        <x:v>21</x:v>
      </x:c>
      <x:c r="X888" s="35" t="n">
        <x:v>31</x:v>
      </x:c>
      <x:c r="Y888" s="35" t="n">
        <x:v>5</x:v>
      </x:c>
      <x:c r="Z888" s="35" t="n">
        <x:v>100</x:v>
      </x:c>
      <x:c r="AA888" s="35" t="n">
        <x:v>5</x:v>
      </x:c>
      <x:c r="AB888" s="35" t="n">
        <x:v>2</x:v>
      </x:c>
      <x:c r="AC888" s="35" t="n">
        <x:v>1</x:v>
      </x:c>
      <x:c r="AD888" s="35" t="n">
        <x:v>58</x:v>
      </x:c>
      <x:c r="AE888" s="35" t="n">
        <x:v>58</x:v>
      </x:c>
      <x:c r="AF888" s="35" t="n">
        <x:v>68</x:v>
      </x:c>
      <x:c r="AG888" s="35" t="n">
        <x:v>93</x:v>
      </x:c>
      <x:c r="AH888" s="35" t="n">
        <x:v>4</x:v>
      </x:c>
      <x:c r="AI888" s="37" t="n">
        <x:v>95.3</x:v>
      </x:c>
      <x:c r="AJ888" s="37" t="n">
        <x:v>100</x:v>
      </x:c>
      <x:c r="AK888" s="35" t="str">
        <x:v>No</x:v>
      </x:c>
      <x:c r="AL888" s="38" t="n">
        <x:f>IF(AA888=0,0,AB888/AA888)</x:f>
        <x:v>0.4</x:v>
      </x:c>
      <x:c r="AM888" s="38" t="n">
        <x:f>IF(AB888=0,0,AC888/AB888)</x:f>
        <x:v>0.5</x:v>
      </x:c>
      <x:c r="AN888" s="37" t="n">
        <x:f>ROUND((AD888*0.20+AE888*0.20+AF888*0.25+AG888*0.15+MIN(100,AC888*12)*0.20),1)</x:f>
        <x:v>56.6</x:v>
      </x:c>
      <x:c r="AO888" s="37" t="n">
        <x:f>ROUND(MAX(0,MIN(100,(X888*0.35)+(W888/45*100*0.20)+((5-O888)/4*100*0.15)+((5-P888)/4*100*0.10)+((6-Y888)/5*100*0.10)+((100-Z888)*0.10))),1)</x:f>
        <x:v>38.4</x:v>
      </x:c>
      <x:c r="AP888" s="37" t="str">
        <x:f>IF(AO888&gt;=70,"High",IF(AO888&gt;=40,"Moderate","Low"))</x:f>
        <x:v>Low</x:v>
      </x:c>
      <x:c r="AQ888" s="37" t="n">
        <x:f>ROUND(MAX(0,MIN(100,(O888/4*100*0.25)+(P888/4*100*0.20)+(Q888/4*100*0.15)+(Y888/5*100*0.20)+(100-AO888)*0.20)),1)</x:f>
        <x:v>67.3</x:v>
      </x:c>
      <x:c r="AR888" s="37" t="n">
        <x:f>ROUND((AI888*0.20+AJ888*0.15+AN888*0.18+AG888*0.12+Z888*0.15+AQ888*0.20),1)</x:f>
        <x:v>83.9</x:v>
      </x:c>
      <x:c r="AS888" s="39" t="n">
        <x:f>ROUND((AC888*AF888*120)+(AH888*350)+(MAX(0,AI888-75)*220)+(MAX(0,AQ888-60)*100),0)</x:f>
        <x:v>14756</x:v>
      </x:c>
    </x:row>
    <x:row r="889">
      <x:c r="A889" s="35" t="n">
        <x:v>888</x:v>
      </x:c>
      <x:c r="B889" s="35" t="n">
        <x:v>41</x:v>
      </x:c>
      <x:c r="C889" s="35" t="str">
        <x:v>Female</x:v>
      </x:c>
      <x:c r="D889" s="35" t="str">
        <x:v>Sales</x:v>
      </x:c>
      <x:c r="E889" s="35" t="str">
        <x:v>Account Manager</x:v>
      </x:c>
      <x:c r="F889" s="35" t="str">
        <x:v>Marketing</x:v>
      </x:c>
      <x:c r="G889" s="35" t="str">
        <x:v>Single</x:v>
      </x:c>
      <x:c r="H889" s="35" t="n">
        <x:v>3</x:v>
      </x:c>
      <x:c r="I889" s="36" t="n">
        <x:v>12790</x:v>
      </x:c>
      <x:c r="J889" s="35" t="n">
        <x:v>10</x:v>
      </x:c>
      <x:c r="K889" s="35" t="n">
        <x:v>7</x:v>
      </x:c>
      <x:c r="L889" s="35" t="n">
        <x:v>4</x:v>
      </x:c>
      <x:c r="M889" s="35" t="n">
        <x:v>22</x:v>
      </x:c>
      <x:c r="N889" s="35" t="str">
        <x:v>Yes</x:v>
      </x:c>
      <x:c r="O889" s="35" t="n">
        <x:v>3</x:v>
      </x:c>
      <x:c r="P889" s="35" t="n">
        <x:v>3</x:v>
      </x:c>
      <x:c r="Q889" s="35" t="n">
        <x:v>2</x:v>
      </x:c>
      <x:c r="R889" s="35" t="n">
        <x:v>3</x:v>
      </x:c>
      <x:c r="S889" s="35" t="n">
        <x:v>3</x:v>
      </x:c>
      <x:c r="T889" s="35" t="n">
        <x:v>5</x:v>
      </x:c>
      <x:c r="U889" s="35" t="n">
        <x:v>1</x:v>
      </x:c>
      <x:c r="V889" s="35" t="n">
        <x:v>3</x:v>
      </x:c>
      <x:c r="W889" s="35" t="n">
        <x:v>17</x:v>
      </x:c>
      <x:c r="X889" s="35" t="n">
        <x:v>64</x:v>
      </x:c>
      <x:c r="Y889" s="35" t="n">
        <x:v>4</x:v>
      </x:c>
      <x:c r="Z889" s="35" t="n">
        <x:v>100</x:v>
      </x:c>
      <x:c r="AA889" s="35" t="n">
        <x:v>8</x:v>
      </x:c>
      <x:c r="AB889" s="35" t="n">
        <x:v>4</x:v>
      </x:c>
      <x:c r="AC889" s="35" t="n">
        <x:v>3</x:v>
      </x:c>
      <x:c r="AD889" s="35" t="n">
        <x:v>63</x:v>
      </x:c>
      <x:c r="AE889" s="35" t="n">
        <x:v>94</x:v>
      </x:c>
      <x:c r="AF889" s="35" t="n">
        <x:v>88</x:v>
      </x:c>
      <x:c r="AG889" s="35" t="n">
        <x:v>92</x:v>
      </x:c>
      <x:c r="AH889" s="35" t="n">
        <x:v>6</x:v>
      </x:c>
      <x:c r="AI889" s="37" t="n">
        <x:v>93</x:v>
      </x:c>
      <x:c r="AJ889" s="37" t="n">
        <x:v>94.2</x:v>
      </x:c>
      <x:c r="AK889" s="35" t="str">
        <x:v>No</x:v>
      </x:c>
      <x:c r="AL889" s="38" t="n">
        <x:f>IF(AA889=0,0,AB889/AA889)</x:f>
        <x:v>0.5</x:v>
      </x:c>
      <x:c r="AM889" s="38" t="n">
        <x:f>IF(AB889=0,0,AC889/AB889)</x:f>
        <x:v>0.75</x:v>
      </x:c>
      <x:c r="AN889" s="37" t="n">
        <x:f>ROUND((AD889*0.20+AE889*0.20+AF889*0.25+AG889*0.15+MIN(100,AC889*12)*0.20),1)</x:f>
        <x:v>74.4</x:v>
      </x:c>
      <x:c r="AO889" s="37" t="n">
        <x:f>ROUND(MAX(0,MIN(100,(X889*0.35)+(W889/45*100*0.20)+((5-O889)/4*100*0.15)+((5-P889)/4*100*0.10)+((6-Y889)/5*100*0.10)+((100-Z889)*0.10))),1)</x:f>
        <x:v>46.5</x:v>
      </x:c>
      <x:c r="AP889" s="37" t="str">
        <x:f>IF(AO889&gt;=70,"High",IF(AO889&gt;=40,"Moderate","Low"))</x:f>
        <x:v>Moderate</x:v>
      </x:c>
      <x:c r="AQ889" s="37" t="n">
        <x:f>ROUND(MAX(0,MIN(100,(O889/4*100*0.25)+(P889/4*100*0.20)+(Q889/4*100*0.15)+(Y889/5*100*0.20)+(100-AO889)*0.20)),1)</x:f>
        <x:v>68</x:v>
      </x:c>
      <x:c r="AR889" s="37" t="n">
        <x:f>ROUND((AI889*0.20+AJ889*0.15+AN889*0.18+AG889*0.12+Z889*0.15+AQ889*0.20),1)</x:f>
        <x:v>85.8</x:v>
      </x:c>
      <x:c r="AS889" s="39" t="n">
        <x:f>ROUND((AC889*AF889*120)+(AH889*350)+(MAX(0,AI889-75)*220)+(MAX(0,AQ889-60)*100),0)</x:f>
        <x:v>38540</x:v>
      </x:c>
    </x:row>
    <x:row r="890">
      <x:c r="A890" s="35" t="n">
        <x:v>889</x:v>
      </x:c>
      <x:c r="B890" s="35" t="n">
        <x:v>60</x:v>
      </x:c>
      <x:c r="C890" s="35" t="str">
        <x:v>Male</x:v>
      </x:c>
      <x:c r="D890" s="35" t="str">
        <x:v>Operations</x:v>
      </x:c>
      <x:c r="E890" s="35" t="str">
        <x:v>Operations Specialist</x:v>
      </x:c>
      <x:c r="F890" s="35" t="str">
        <x:v>Human Resources</x:v>
      </x:c>
      <x:c r="G890" s="35" t="str">
        <x:v>Divorced</x:v>
      </x:c>
      <x:c r="H890" s="35" t="n">
        <x:v>5</x:v>
      </x:c>
      <x:c r="I890" s="36" t="n">
        <x:v>14360</x:v>
      </x:c>
      <x:c r="J890" s="35" t="n">
        <x:v>35</x:v>
      </x:c>
      <x:c r="K890" s="35" t="n">
        <x:v>9</x:v>
      </x:c>
      <x:c r="L890" s="35" t="n">
        <x:v>5</x:v>
      </x:c>
      <x:c r="M890" s="35" t="n">
        <x:v>16</x:v>
      </x:c>
      <x:c r="N890" s="35" t="str">
        <x:v>No</x:v>
      </x:c>
      <x:c r="O890" s="35" t="n">
        <x:v>2</x:v>
      </x:c>
      <x:c r="P890" s="35" t="n">
        <x:v>4</x:v>
      </x:c>
      <x:c r="Q890" s="35" t="n">
        <x:v>1</x:v>
      </x:c>
      <x:c r="R890" s="35" t="n">
        <x:v>2</x:v>
      </x:c>
      <x:c r="S890" s="35" t="n">
        <x:v>4</x:v>
      </x:c>
      <x:c r="T890" s="35" t="n">
        <x:v>4</x:v>
      </x:c>
      <x:c r="U890" s="35" t="n">
        <x:v>0</x:v>
      </x:c>
      <x:c r="V890" s="35" t="n">
        <x:v>7</x:v>
      </x:c>
      <x:c r="W890" s="35" t="n">
        <x:v>0</x:v>
      </x:c>
      <x:c r="X890" s="35" t="n">
        <x:v>80</x:v>
      </x:c>
      <x:c r="Y890" s="35" t="n">
        <x:v>5</x:v>
      </x:c>
      <x:c r="Z890" s="35" t="n">
        <x:v>96</x:v>
      </x:c>
      <x:c r="AA890" s="35" t="n">
        <x:v>13</x:v>
      </x:c>
      <x:c r="AB890" s="35" t="n">
        <x:v>12</x:v>
      </x:c>
      <x:c r="AC890" s="35" t="n">
        <x:v>10</x:v>
      </x:c>
      <x:c r="AD890" s="35" t="n">
        <x:v>100</x:v>
      </x:c>
      <x:c r="AE890" s="35" t="n">
        <x:v>90</x:v>
      </x:c>
      <x:c r="AF890" s="35" t="n">
        <x:v>100</x:v>
      </x:c>
      <x:c r="AG890" s="35" t="n">
        <x:v>83</x:v>
      </x:c>
      <x:c r="AH890" s="35" t="n">
        <x:v>12</x:v>
      </x:c>
      <x:c r="AI890" s="37" t="n">
        <x:v>96.6</x:v>
      </x:c>
      <x:c r="AJ890" s="37" t="n">
        <x:v>84.4</x:v>
      </x:c>
      <x:c r="AK890" s="35" t="str">
        <x:v>No</x:v>
      </x:c>
      <x:c r="AL890" s="38" t="n">
        <x:f>IF(AA890=0,0,AB890/AA890)</x:f>
        <x:v>0.9230769230769231</x:v>
      </x:c>
      <x:c r="AM890" s="38" t="n">
        <x:f>IF(AB890=0,0,AC890/AB890)</x:f>
        <x:v>0.8333333333333334</x:v>
      </x:c>
      <x:c r="AN890" s="37" t="n">
        <x:f>ROUND((AD890*0.20+AE890*0.20+AF890*0.25+AG890*0.15+MIN(100,AC890*12)*0.20),1)</x:f>
        <x:v>95.5</x:v>
      </x:c>
      <x:c r="AO890" s="37" t="n">
        <x:f>ROUND(MAX(0,MIN(100,(X890*0.35)+(W890/45*100*0.20)+((5-O890)/4*100*0.15)+((5-P890)/4*100*0.10)+((6-Y890)/5*100*0.10)+((100-Z890)*0.10))),1)</x:f>
        <x:v>44.2</x:v>
      </x:c>
      <x:c r="AP890" s="37" t="str">
        <x:f>IF(AO890&gt;=70,"High",IF(AO890&gt;=40,"Moderate","Low"))</x:f>
        <x:v>Moderate</x:v>
      </x:c>
      <x:c r="AQ890" s="37" t="n">
        <x:f>ROUND(MAX(0,MIN(100,(O890/4*100*0.25)+(P890/4*100*0.20)+(Q890/4*100*0.15)+(Y890/5*100*0.20)+(100-AO890)*0.20)),1)</x:f>
        <x:v>67.4</x:v>
      </x:c>
      <x:c r="AR890" s="37" t="n">
        <x:f>ROUND((AI890*0.20+AJ890*0.15+AN890*0.18+AG890*0.12+Z890*0.15+AQ890*0.20),1)</x:f>
        <x:v>87</x:v>
      </x:c>
      <x:c r="AS890" s="39" t="n">
        <x:f>ROUND((AC890*AF890*120)+(AH890*350)+(MAX(0,AI890-75)*220)+(MAX(0,AQ890-60)*100),0)</x:f>
        <x:v>129692</x:v>
      </x:c>
    </x:row>
    <x:row r="891">
      <x:c r="A891" s="35" t="n">
        <x:v>890</x:v>
      </x:c>
      <x:c r="B891" s="35" t="n">
        <x:v>32</x:v>
      </x:c>
      <x:c r="C891" s="35" t="str">
        <x:v>Female</x:v>
      </x:c>
      <x:c r="D891" s="35" t="str">
        <x:v>Information Technology</x:v>
      </x:c>
      <x:c r="E891" s="35" t="str">
        <x:v>IT Manager</x:v>
      </x:c>
      <x:c r="F891" s="35" t="str">
        <x:v>Marketing</x:v>
      </x:c>
      <x:c r="G891" s="35" t="str">
        <x:v>Single</x:v>
      </x:c>
      <x:c r="H891" s="35" t="n">
        <x:v>2</x:v>
      </x:c>
      <x:c r="I891" s="36" t="n">
        <x:v>9550</x:v>
      </x:c>
      <x:c r="J891" s="35" t="n">
        <x:v>9</x:v>
      </x:c>
      <x:c r="K891" s="35" t="n">
        <x:v>4</x:v>
      </x:c>
      <x:c r="L891" s="35" t="n">
        <x:v>2</x:v>
      </x:c>
      <x:c r="M891" s="35" t="n">
        <x:v>8</x:v>
      </x:c>
      <x:c r="N891" s="35" t="str">
        <x:v>Yes</x:v>
      </x:c>
      <x:c r="O891" s="35" t="n">
        <x:v>3</x:v>
      </x:c>
      <x:c r="P891" s="35" t="n">
        <x:v>3</x:v>
      </x:c>
      <x:c r="Q891" s="35" t="n">
        <x:v>4</x:v>
      </x:c>
      <x:c r="R891" s="35" t="n">
        <x:v>3</x:v>
      </x:c>
      <x:c r="S891" s="35" t="n">
        <x:v>3</x:v>
      </x:c>
      <x:c r="T891" s="35" t="n">
        <x:v>4</x:v>
      </x:c>
      <x:c r="U891" s="35" t="n">
        <x:v>0</x:v>
      </x:c>
      <x:c r="V891" s="35" t="n">
        <x:v>12</x:v>
      </x:c>
      <x:c r="W891" s="35" t="n">
        <x:v>21</x:v>
      </x:c>
      <x:c r="X891" s="35" t="n">
        <x:v>69</x:v>
      </x:c>
      <x:c r="Y891" s="35" t="n">
        <x:v>3</x:v>
      </x:c>
      <x:c r="Z891" s="35" t="n">
        <x:v>100</x:v>
      </x:c>
      <x:c r="AA891" s="35" t="n">
        <x:v>5</x:v>
      </x:c>
      <x:c r="AB891" s="35" t="n">
        <x:v>5</x:v>
      </x:c>
      <x:c r="AC891" s="35" t="n">
        <x:v>4</x:v>
      </x:c>
      <x:c r="AD891" s="35" t="n">
        <x:v>87</x:v>
      </x:c>
      <x:c r="AE891" s="35" t="n">
        <x:v>93</x:v>
      </x:c>
      <x:c r="AF891" s="35" t="n">
        <x:v>80</x:v>
      </x:c>
      <x:c r="AG891" s="35" t="n">
        <x:v>73</x:v>
      </x:c>
      <x:c r="AH891" s="35" t="n">
        <x:v>8</x:v>
      </x:c>
      <x:c r="AI891" s="37" t="n">
        <x:v>100</x:v>
      </x:c>
      <x:c r="AJ891" s="37" t="n">
        <x:v>89</x:v>
      </x:c>
      <x:c r="AK891" s="35" t="str">
        <x:v>No</x:v>
      </x:c>
      <x:c r="AL891" s="38" t="n">
        <x:f>IF(AA891=0,0,AB891/AA891)</x:f>
        <x:v>1</x:v>
      </x:c>
      <x:c r="AM891" s="38" t="n">
        <x:f>IF(AB891=0,0,AC891/AB891)</x:f>
        <x:v>0.8</x:v>
      </x:c>
      <x:c r="AN891" s="37" t="n">
        <x:f>ROUND((AD891*0.20+AE891*0.20+AF891*0.25+AG891*0.15+MIN(100,AC891*12)*0.20),1)</x:f>
        <x:v>76.6</x:v>
      </x:c>
      <x:c r="AO891" s="37" t="n">
        <x:f>ROUND(MAX(0,MIN(100,(X891*0.35)+(W891/45*100*0.20)+((5-O891)/4*100*0.15)+((5-P891)/4*100*0.10)+((6-Y891)/5*100*0.10)+((100-Z891)*0.10))),1)</x:f>
        <x:v>52</x:v>
      </x:c>
      <x:c r="AP891" s="37" t="str">
        <x:f>IF(AO891&gt;=70,"High",IF(AO891&gt;=40,"Moderate","Low"))</x:f>
        <x:v>Moderate</x:v>
      </x:c>
      <x:c r="AQ891" s="37" t="n">
        <x:f>ROUND(MAX(0,MIN(100,(O891/4*100*0.25)+(P891/4*100*0.20)+(Q891/4*100*0.15)+(Y891/5*100*0.20)+(100-AO891)*0.20)),1)</x:f>
        <x:v>70.4</x:v>
      </x:c>
      <x:c r="AR891" s="37" t="n">
        <x:f>ROUND((AI891*0.20+AJ891*0.15+AN891*0.18+AG891*0.12+Z891*0.15+AQ891*0.20),1)</x:f>
        <x:v>85</x:v>
      </x:c>
      <x:c r="AS891" s="39" t="n">
        <x:f>ROUND((AC891*AF891*120)+(AH891*350)+(MAX(0,AI891-75)*220)+(MAX(0,AQ891-60)*100),0)</x:f>
        <x:v>47740</x:v>
      </x:c>
    </x:row>
    <x:row r="892">
      <x:c r="A892" s="35" t="n">
        <x:v>891</x:v>
      </x:c>
      <x:c r="B892" s="35" t="n">
        <x:v>29</x:v>
      </x:c>
      <x:c r="C892" s="35" t="str">
        <x:v>Male</x:v>
      </x:c>
      <x:c r="D892" s="35" t="str">
        <x:v>Research &amp; Development</x:v>
      </x:c>
      <x:c r="E892" s="35" t="str">
        <x:v>R&amp;D Manager</x:v>
      </x:c>
      <x:c r="F892" s="35" t="str">
        <x:v>Business</x:v>
      </x:c>
      <x:c r="G892" s="35" t="str">
        <x:v>Married</x:v>
      </x:c>
      <x:c r="H892" s="35" t="n">
        <x:v>2</x:v>
      </x:c>
      <x:c r="I892" s="36" t="n">
        <x:v>8230</x:v>
      </x:c>
      <x:c r="J892" s="35" t="n">
        <x:v>6</x:v>
      </x:c>
      <x:c r="K892" s="35" t="n">
        <x:v>2</x:v>
      </x:c>
      <x:c r="L892" s="35" t="n">
        <x:v>1</x:v>
      </x:c>
      <x:c r="M892" s="35" t="n">
        <x:v>9</x:v>
      </x:c>
      <x:c r="N892" s="35" t="str">
        <x:v>Yes</x:v>
      </x:c>
      <x:c r="O892" s="35" t="n">
        <x:v>2</x:v>
      </x:c>
      <x:c r="P892" s="35" t="n">
        <x:v>2</x:v>
      </x:c>
      <x:c r="Q892" s="35" t="n">
        <x:v>2</x:v>
      </x:c>
      <x:c r="R892" s="35" t="n">
        <x:v>3</x:v>
      </x:c>
      <x:c r="S892" s="35" t="n">
        <x:v>3</x:v>
      </x:c>
      <x:c r="T892" s="35" t="n">
        <x:v>3</x:v>
      </x:c>
      <x:c r="U892" s="35" t="n">
        <x:v>0</x:v>
      </x:c>
      <x:c r="V892" s="35" t="n">
        <x:v>6</x:v>
      </x:c>
      <x:c r="W892" s="35" t="n">
        <x:v>26</x:v>
      </x:c>
      <x:c r="X892" s="35" t="n">
        <x:v>48</x:v>
      </x:c>
      <x:c r="Y892" s="35" t="n">
        <x:v>4</x:v>
      </x:c>
      <x:c r="Z892" s="35" t="n">
        <x:v>95</x:v>
      </x:c>
      <x:c r="AA892" s="35" t="n">
        <x:v>3</x:v>
      </x:c>
      <x:c r="AB892" s="35" t="n">
        <x:v>3</x:v>
      </x:c>
      <x:c r="AC892" s="35" t="n">
        <x:v>2</x:v>
      </x:c>
      <x:c r="AD892" s="35" t="n">
        <x:v>84</x:v>
      </x:c>
      <x:c r="AE892" s="35" t="n">
        <x:v>100</x:v>
      </x:c>
      <x:c r="AF892" s="35" t="n">
        <x:v>73</x:v>
      </x:c>
      <x:c r="AG892" s="35" t="n">
        <x:v>78</x:v>
      </x:c>
      <x:c r="AH892" s="35" t="n">
        <x:v>6</x:v>
      </x:c>
      <x:c r="AI892" s="37" t="n">
        <x:v>91.8</x:v>
      </x:c>
      <x:c r="AJ892" s="37" t="n">
        <x:v>89.1</x:v>
      </x:c>
      <x:c r="AK892" s="35" t="str">
        <x:v>No</x:v>
      </x:c>
      <x:c r="AL892" s="38" t="n">
        <x:f>IF(AA892=0,0,AB892/AA892)</x:f>
        <x:v>1</x:v>
      </x:c>
      <x:c r="AM892" s="38" t="n">
        <x:f>IF(AB892=0,0,AC892/AB892)</x:f>
        <x:v>0.6666666666666666</x:v>
      </x:c>
      <x:c r="AN892" s="37" t="n">
        <x:f>ROUND((AD892*0.20+AE892*0.20+AF892*0.25+AG892*0.15+MIN(100,AC892*12)*0.20),1)</x:f>
        <x:v>71.6</x:v>
      </x:c>
      <x:c r="AO892" s="37" t="n">
        <x:f>ROUND(MAX(0,MIN(100,(X892*0.35)+(W892/45*100*0.20)+((5-O892)/4*100*0.15)+((5-P892)/4*100*0.10)+((6-Y892)/5*100*0.10)+((100-Z892)*0.10))),1)</x:f>
        <x:v>51.6</x:v>
      </x:c>
      <x:c r="AP892" s="37" t="str">
        <x:f>IF(AO892&gt;=70,"High",IF(AO892&gt;=40,"Moderate","Low"))</x:f>
        <x:v>Moderate</x:v>
      </x:c>
      <x:c r="AQ892" s="37" t="n">
        <x:f>ROUND(MAX(0,MIN(100,(O892/4*100*0.25)+(P892/4*100*0.20)+(Q892/4*100*0.15)+(Y892/5*100*0.20)+(100-AO892)*0.20)),1)</x:f>
        <x:v>55.7</x:v>
      </x:c>
      <x:c r="AR892" s="37" t="n">
        <x:f>ROUND((AI892*0.20+AJ892*0.15+AN892*0.18+AG892*0.12+Z892*0.15+AQ892*0.20),1)</x:f>
        <x:v>79.4</x:v>
      </x:c>
      <x:c r="AS892" s="39" t="n">
        <x:f>ROUND((AC892*AF892*120)+(AH892*350)+(MAX(0,AI892-75)*220)+(MAX(0,AQ892-60)*100),0)</x:f>
        <x:v>23316</x:v>
      </x:c>
    </x:row>
    <x:row r="893">
      <x:c r="A893" s="35" t="n">
        <x:v>892</x:v>
      </x:c>
      <x:c r="B893" s="35" t="n">
        <x:v>32</x:v>
      </x:c>
      <x:c r="C893" s="35" t="str">
        <x:v>Male</x:v>
      </x:c>
      <x:c r="D893" s="35" t="str">
        <x:v>Human Resources</x:v>
      </x:c>
      <x:c r="E893" s="35" t="str">
        <x:v>HR Manager</x:v>
      </x:c>
      <x:c r="F893" s="35" t="str">
        <x:v>Business</x:v>
      </x:c>
      <x:c r="G893" s="35" t="str">
        <x:v>Single</x:v>
      </x:c>
      <x:c r="H893" s="35" t="n">
        <x:v>3</x:v>
      </x:c>
      <x:c r="I893" s="36" t="n">
        <x:v>13110</x:v>
      </x:c>
      <x:c r="J893" s="35" t="n">
        <x:v>8</x:v>
      </x:c>
      <x:c r="K893" s="35" t="n">
        <x:v>7</x:v>
      </x:c>
      <x:c r="L893" s="35" t="n">
        <x:v>3</x:v>
      </x:c>
      <x:c r="M893" s="35" t="n">
        <x:v>9</x:v>
      </x:c>
      <x:c r="N893" s="35" t="str">
        <x:v>No</x:v>
      </x:c>
      <x:c r="O893" s="35" t="n">
        <x:v>2</x:v>
      </x:c>
      <x:c r="P893" s="35" t="n">
        <x:v>3</x:v>
      </x:c>
      <x:c r="Q893" s="35" t="n">
        <x:v>2</x:v>
      </x:c>
      <x:c r="R893" s="35" t="n">
        <x:v>4</x:v>
      </x:c>
      <x:c r="S893" s="35" t="n">
        <x:v>3</x:v>
      </x:c>
      <x:c r="T893" s="35" t="n">
        <x:v>4</x:v>
      </x:c>
      <x:c r="U893" s="35" t="n">
        <x:v>1</x:v>
      </x:c>
      <x:c r="V893" s="35" t="n">
        <x:v>0</x:v>
      </x:c>
      <x:c r="W893" s="35" t="n">
        <x:v>5</x:v>
      </x:c>
      <x:c r="X893" s="35" t="n">
        <x:v>68</x:v>
      </x:c>
      <x:c r="Y893" s="35" t="n">
        <x:v>4</x:v>
      </x:c>
      <x:c r="Z893" s="35" t="n">
        <x:v>100</x:v>
      </x:c>
      <x:c r="AA893" s="35" t="n">
        <x:v>5</x:v>
      </x:c>
      <x:c r="AB893" s="35" t="n">
        <x:v>1</x:v>
      </x:c>
      <x:c r="AC893" s="35" t="n">
        <x:v>1</x:v>
      </x:c>
      <x:c r="AD893" s="35" t="n">
        <x:v>70</x:v>
      </x:c>
      <x:c r="AE893" s="35" t="n">
        <x:v>81</x:v>
      </x:c>
      <x:c r="AF893" s="35" t="n">
        <x:v>72</x:v>
      </x:c>
      <x:c r="AG893" s="35" t="n">
        <x:v>97</x:v>
      </x:c>
      <x:c r="AH893" s="35" t="n">
        <x:v>8</x:v>
      </x:c>
      <x:c r="AI893" s="37" t="n">
        <x:v>96.2</x:v>
      </x:c>
      <x:c r="AJ893" s="37" t="n">
        <x:v>96.6</x:v>
      </x:c>
      <x:c r="AK893" s="35" t="str">
        <x:v>No</x:v>
      </x:c>
      <x:c r="AL893" s="38" t="n">
        <x:f>IF(AA893=0,0,AB893/AA893)</x:f>
        <x:v>0.2</x:v>
      </x:c>
      <x:c r="AM893" s="38" t="n">
        <x:f>IF(AB893=0,0,AC893/AB893)</x:f>
        <x:v>1</x:v>
      </x:c>
      <x:c r="AN893" s="37" t="n">
        <x:f>ROUND((AD893*0.20+AE893*0.20+AF893*0.25+AG893*0.15+MIN(100,AC893*12)*0.20),1)</x:f>
        <x:v>65.2</x:v>
      </x:c>
      <x:c r="AO893" s="37" t="n">
        <x:f>ROUND(MAX(0,MIN(100,(X893*0.35)+(W893/45*100*0.20)+((5-O893)/4*100*0.15)+((5-P893)/4*100*0.10)+((6-Y893)/5*100*0.10)+((100-Z893)*0.10))),1)</x:f>
        <x:v>46.3</x:v>
      </x:c>
      <x:c r="AP893" s="37" t="str">
        <x:f>IF(AO893&gt;=70,"High",IF(AO893&gt;=40,"Moderate","Low"))</x:f>
        <x:v>Moderate</x:v>
      </x:c>
      <x:c r="AQ893" s="37" t="n">
        <x:f>ROUND(MAX(0,MIN(100,(O893/4*100*0.25)+(P893/4*100*0.20)+(Q893/4*100*0.15)+(Y893/5*100*0.20)+(100-AO893)*0.20)),1)</x:f>
        <x:v>61.7</x:v>
      </x:c>
      <x:c r="AR893" s="37" t="n">
        <x:f>ROUND((AI893*0.20+AJ893*0.15+AN893*0.18+AG893*0.12+Z893*0.15+AQ893*0.20),1)</x:f>
        <x:v>84.4</x:v>
      </x:c>
      <x:c r="AS893" s="39" t="n">
        <x:f>ROUND((AC893*AF893*120)+(AH893*350)+(MAX(0,AI893-75)*220)+(MAX(0,AQ893-60)*100),0)</x:f>
        <x:v>16274</x:v>
      </x:c>
    </x:row>
    <x:row r="894">
      <x:c r="A894" s="35" t="n">
        <x:v>893</x:v>
      </x:c>
      <x:c r="B894" s="35" t="n">
        <x:v>39</x:v>
      </x:c>
      <x:c r="C894" s="35" t="str">
        <x:v>Male</x:v>
      </x:c>
      <x:c r="D894" s="35" t="str">
        <x:v>Finance</x:v>
      </x:c>
      <x:c r="E894" s="35" t="str">
        <x:v>Finance Manager</x:v>
      </x:c>
      <x:c r="F894" s="35" t="str">
        <x:v>Marketing</x:v>
      </x:c>
      <x:c r="G894" s="35" t="str">
        <x:v>Married</x:v>
      </x:c>
      <x:c r="H894" s="35" t="n">
        <x:v>2</x:v>
      </x:c>
      <x:c r="I894" s="36" t="n">
        <x:v>9690</x:v>
      </x:c>
      <x:c r="J894" s="35" t="n">
        <x:v>10</x:v>
      </x:c>
      <x:c r="K894" s="35" t="n">
        <x:v>7</x:v>
      </x:c>
      <x:c r="L894" s="35" t="n">
        <x:v>4</x:v>
      </x:c>
      <x:c r="M894" s="35" t="n">
        <x:v>17</x:v>
      </x:c>
      <x:c r="N894" s="35" t="str">
        <x:v>No</x:v>
      </x:c>
      <x:c r="O894" s="35" t="n">
        <x:v>3</x:v>
      </x:c>
      <x:c r="P894" s="35" t="n">
        <x:v>2</x:v>
      </x:c>
      <x:c r="Q894" s="35" t="n">
        <x:v>2</x:v>
      </x:c>
      <x:c r="R894" s="35" t="n">
        <x:v>3</x:v>
      </x:c>
      <x:c r="S894" s="35" t="n">
        <x:v>3</x:v>
      </x:c>
      <x:c r="T894" s="35" t="n">
        <x:v>0</x:v>
      </x:c>
      <x:c r="U894" s="35" t="n">
        <x:v>0</x:v>
      </x:c>
      <x:c r="V894" s="35" t="n">
        <x:v>10</x:v>
      </x:c>
      <x:c r="W894" s="35" t="n">
        <x:v>16</x:v>
      </x:c>
      <x:c r="X894" s="35" t="n">
        <x:v>57</x:v>
      </x:c>
      <x:c r="Y894" s="35" t="n">
        <x:v>4</x:v>
      </x:c>
      <x:c r="Z894" s="35" t="n">
        <x:v>95</x:v>
      </x:c>
      <x:c r="AA894" s="35" t="n">
        <x:v>3</x:v>
      </x:c>
      <x:c r="AB894" s="35" t="n">
        <x:v>2</x:v>
      </x:c>
      <x:c r="AC894" s="35" t="n">
        <x:v>2</x:v>
      </x:c>
      <x:c r="AD894" s="35" t="n">
        <x:v>52</x:v>
      </x:c>
      <x:c r="AE894" s="35" t="n">
        <x:v>90</x:v>
      </x:c>
      <x:c r="AF894" s="35" t="n">
        <x:v>56</x:v>
      </x:c>
      <x:c r="AG894" s="35" t="n">
        <x:v>77</x:v>
      </x:c>
      <x:c r="AH894" s="35" t="n">
        <x:v>5</x:v>
      </x:c>
      <x:c r="AI894" s="37" t="n">
        <x:v>99.7</x:v>
      </x:c>
      <x:c r="AJ894" s="37" t="n">
        <x:v>95.5</x:v>
      </x:c>
      <x:c r="AK894" s="35" t="str">
        <x:v>No</x:v>
      </x:c>
      <x:c r="AL894" s="38" t="n">
        <x:f>IF(AA894=0,0,AB894/AA894)</x:f>
        <x:v>0.6666666666666666</x:v>
      </x:c>
      <x:c r="AM894" s="38" t="n">
        <x:f>IF(AB894=0,0,AC894/AB894)</x:f>
        <x:v>1</x:v>
      </x:c>
      <x:c r="AN894" s="37" t="n">
        <x:f>ROUND((AD894*0.20+AE894*0.20+AF894*0.25+AG894*0.15+MIN(100,AC894*12)*0.20),1)</x:f>
        <x:v>58.8</x:v>
      </x:c>
      <x:c r="AO894" s="37" t="n">
        <x:f>ROUND(MAX(0,MIN(100,(X894*0.35)+(W894/45*100*0.20)+((5-O894)/4*100*0.15)+((5-P894)/4*100*0.10)+((6-Y894)/5*100*0.10)+((100-Z894)*0.10))),1)</x:f>
        <x:v>46.6</x:v>
      </x:c>
      <x:c r="AP894" s="37" t="str">
        <x:f>IF(AO894&gt;=70,"High",IF(AO894&gt;=40,"Moderate","Low"))</x:f>
        <x:v>Moderate</x:v>
      </x:c>
      <x:c r="AQ894" s="37" t="n">
        <x:f>ROUND(MAX(0,MIN(100,(O894/4*100*0.25)+(P894/4*100*0.20)+(Q894/4*100*0.15)+(Y894/5*100*0.20)+(100-AO894)*0.20)),1)</x:f>
        <x:v>62.9</x:v>
      </x:c>
      <x:c r="AR894" s="37" t="n">
        <x:f>ROUND((AI894*0.20+AJ894*0.15+AN894*0.18+AG894*0.12+Z894*0.15+AQ894*0.20),1)</x:f>
        <x:v>80.9</x:v>
      </x:c>
      <x:c r="AS894" s="39" t="n">
        <x:f>ROUND((AC894*AF894*120)+(AH894*350)+(MAX(0,AI894-75)*220)+(MAX(0,AQ894-60)*100),0)</x:f>
        <x:v>20914</x:v>
      </x:c>
    </x:row>
    <x:row r="895">
      <x:c r="A895" s="35" t="n">
        <x:v>894</x:v>
      </x:c>
      <x:c r="B895" s="35" t="n">
        <x:v>30</x:v>
      </x:c>
      <x:c r="C895" s="35" t="str">
        <x:v>Male</x:v>
      </x:c>
      <x:c r="D895" s="35" t="str">
        <x:v>Operations</x:v>
      </x:c>
      <x:c r="E895" s="35" t="str">
        <x:v>Quality Specialist</x:v>
      </x:c>
      <x:c r="F895" s="35" t="str">
        <x:v>Business</x:v>
      </x:c>
      <x:c r="G895" s="35" t="str">
        <x:v>Married</x:v>
      </x:c>
      <x:c r="H895" s="35" t="n">
        <x:v>1</x:v>
      </x:c>
      <x:c r="I895" s="36" t="n">
        <x:v>4000</x:v>
      </x:c>
      <x:c r="J895" s="35" t="n">
        <x:v>4</x:v>
      </x:c>
      <x:c r="K895" s="35" t="n">
        <x:v>3</x:v>
      </x:c>
      <x:c r="L895" s="35" t="n">
        <x:v>2</x:v>
      </x:c>
      <x:c r="M895" s="35" t="n">
        <x:v>8</x:v>
      </x:c>
      <x:c r="N895" s="35" t="str">
        <x:v>Yes</x:v>
      </x:c>
      <x:c r="O895" s="35" t="n">
        <x:v>2</x:v>
      </x:c>
      <x:c r="P895" s="35" t="n">
        <x:v>3</x:v>
      </x:c>
      <x:c r="Q895" s="35" t="n">
        <x:v>3</x:v>
      </x:c>
      <x:c r="R895" s="35" t="n">
        <x:v>3</x:v>
      </x:c>
      <x:c r="S895" s="35" t="n">
        <x:v>3</x:v>
      </x:c>
      <x:c r="T895" s="35" t="n">
        <x:v>4</x:v>
      </x:c>
      <x:c r="U895" s="35" t="n">
        <x:v>1</x:v>
      </x:c>
      <x:c r="V895" s="35" t="n">
        <x:v>10</x:v>
      </x:c>
      <x:c r="W895" s="35" t="n">
        <x:v>10</x:v>
      </x:c>
      <x:c r="X895" s="35" t="n">
        <x:v>78</x:v>
      </x:c>
      <x:c r="Y895" s="35" t="n">
        <x:v>3</x:v>
      </x:c>
      <x:c r="Z895" s="35" t="n">
        <x:v>97</x:v>
      </x:c>
      <x:c r="AA895" s="35" t="n">
        <x:v>6</x:v>
      </x:c>
      <x:c r="AB895" s="35" t="n">
        <x:v>4</x:v>
      </x:c>
      <x:c r="AC895" s="35" t="n">
        <x:v>4</x:v>
      </x:c>
      <x:c r="AD895" s="35" t="n">
        <x:v>64</x:v>
      </x:c>
      <x:c r="AE895" s="35" t="n">
        <x:v>82</x:v>
      </x:c>
      <x:c r="AF895" s="35" t="n">
        <x:v>99</x:v>
      </x:c>
      <x:c r="AG895" s="35" t="n">
        <x:v>91</x:v>
      </x:c>
      <x:c r="AH895" s="35" t="n">
        <x:v>10</x:v>
      </x:c>
      <x:c r="AI895" s="37" t="n">
        <x:v>100</x:v>
      </x:c>
      <x:c r="AJ895" s="37" t="n">
        <x:v>92.3</x:v>
      </x:c>
      <x:c r="AK895" s="35" t="str">
        <x:v>No</x:v>
      </x:c>
      <x:c r="AL895" s="38" t="n">
        <x:f>IF(AA895=0,0,AB895/AA895)</x:f>
        <x:v>0.6666666666666666</x:v>
      </x:c>
      <x:c r="AM895" s="38" t="n">
        <x:f>IF(AB895=0,0,AC895/AB895)</x:f>
        <x:v>1</x:v>
      </x:c>
      <x:c r="AN895" s="37" t="n">
        <x:f>ROUND((AD895*0.20+AE895*0.20+AF895*0.25+AG895*0.15+MIN(100,AC895*12)*0.20),1)</x:f>
        <x:v>77.2</x:v>
      </x:c>
      <x:c r="AO895" s="37" t="n">
        <x:f>ROUND(MAX(0,MIN(100,(X895*0.35)+(W895/45*100*0.20)+((5-O895)/4*100*0.15)+((5-P895)/4*100*0.10)+((6-Y895)/5*100*0.10)+((100-Z895)*0.10))),1)</x:f>
        <x:v>54.3</x:v>
      </x:c>
      <x:c r="AP895" s="37" t="str">
        <x:f>IF(AO895&gt;=70,"High",IF(AO895&gt;=40,"Moderate","Low"))</x:f>
        <x:v>Moderate</x:v>
      </x:c>
      <x:c r="AQ895" s="37" t="n">
        <x:f>ROUND(MAX(0,MIN(100,(O895/4*100*0.25)+(P895/4*100*0.20)+(Q895/4*100*0.15)+(Y895/5*100*0.20)+(100-AO895)*0.20)),1)</x:f>
        <x:v>59.9</x:v>
      </x:c>
      <x:c r="AR895" s="37" t="n">
        <x:f>ROUND((AI895*0.20+AJ895*0.15+AN895*0.18+AG895*0.12+Z895*0.15+AQ895*0.20),1)</x:f>
        <x:v>85.2</x:v>
      </x:c>
      <x:c r="AS895" s="39" t="n">
        <x:f>ROUND((AC895*AF895*120)+(AH895*350)+(MAX(0,AI895-75)*220)+(MAX(0,AQ895-60)*100),0)</x:f>
        <x:v>56520</x:v>
      </x:c>
    </x:row>
    <x:row r="896">
      <x:c r="A896" s="35" t="n">
        <x:v>895</x:v>
      </x:c>
      <x:c r="B896" s="35" t="n">
        <x:v>35</x:v>
      </x:c>
      <x:c r="C896" s="35" t="str">
        <x:v>Male</x:v>
      </x:c>
      <x:c r="D896" s="35" t="str">
        <x:v>Operations</x:v>
      </x:c>
      <x:c r="E896" s="35" t="str">
        <x:v>Operations Manager</x:v>
      </x:c>
      <x:c r="F896" s="35" t="str">
        <x:v>Medical</x:v>
      </x:c>
      <x:c r="G896" s="35" t="str">
        <x:v>Married</x:v>
      </x:c>
      <x:c r="H896" s="35" t="n">
        <x:v>3</x:v>
      </x:c>
      <x:c r="I896" s="36" t="n">
        <x:v>15520</x:v>
      </x:c>
      <x:c r="J896" s="35" t="n">
        <x:v>9</x:v>
      </x:c>
      <x:c r="K896" s="35" t="n">
        <x:v>5</x:v>
      </x:c>
      <x:c r="L896" s="35" t="n">
        <x:v>2</x:v>
      </x:c>
      <x:c r="M896" s="35" t="n">
        <x:v>12</x:v>
      </x:c>
      <x:c r="N896" s="35" t="str">
        <x:v>No</x:v>
      </x:c>
      <x:c r="O896" s="35" t="n">
        <x:v>3</x:v>
      </x:c>
      <x:c r="P896" s="35" t="n">
        <x:v>4</x:v>
      </x:c>
      <x:c r="Q896" s="35" t="n">
        <x:v>4</x:v>
      </x:c>
      <x:c r="R896" s="35" t="n">
        <x:v>3</x:v>
      </x:c>
      <x:c r="S896" s="35" t="n">
        <x:v>3</x:v>
      </x:c>
      <x:c r="T896" s="35" t="n">
        <x:v>2</x:v>
      </x:c>
      <x:c r="U896" s="35" t="n">
        <x:v>0</x:v>
      </x:c>
      <x:c r="V896" s="35" t="n">
        <x:v>2</x:v>
      </x:c>
      <x:c r="W896" s="35" t="n">
        <x:v>7</x:v>
      </x:c>
      <x:c r="X896" s="35" t="n">
        <x:v>67</x:v>
      </x:c>
      <x:c r="Y896" s="35" t="n">
        <x:v>5</x:v>
      </x:c>
      <x:c r="Z896" s="35" t="n">
        <x:v>100</x:v>
      </x:c>
      <x:c r="AA896" s="35" t="n">
        <x:v>10</x:v>
      </x:c>
      <x:c r="AB896" s="35" t="n">
        <x:v>4</x:v>
      </x:c>
      <x:c r="AC896" s="35" t="n">
        <x:v>4</x:v>
      </x:c>
      <x:c r="AD896" s="35" t="n">
        <x:v>73</x:v>
      </x:c>
      <x:c r="AE896" s="35" t="n">
        <x:v>75</x:v>
      </x:c>
      <x:c r="AF896" s="35" t="n">
        <x:v>77</x:v>
      </x:c>
      <x:c r="AG896" s="35" t="n">
        <x:v>93</x:v>
      </x:c>
      <x:c r="AH896" s="35" t="n">
        <x:v>5</x:v>
      </x:c>
      <x:c r="AI896" s="37" t="n">
        <x:v>98.1</x:v>
      </x:c>
      <x:c r="AJ896" s="37" t="n">
        <x:v>92.1</x:v>
      </x:c>
      <x:c r="AK896" s="35" t="str">
        <x:v>No</x:v>
      </x:c>
      <x:c r="AL896" s="38" t="n">
        <x:f>IF(AA896=0,0,AB896/AA896)</x:f>
        <x:v>0.4</x:v>
      </x:c>
      <x:c r="AM896" s="38" t="n">
        <x:f>IF(AB896=0,0,AC896/AB896)</x:f>
        <x:v>1</x:v>
      </x:c>
      <x:c r="AN896" s="37" t="n">
        <x:f>ROUND((AD896*0.20+AE896*0.20+AF896*0.25+AG896*0.15+MIN(100,AC896*12)*0.20),1)</x:f>
        <x:v>72.4</x:v>
      </x:c>
      <x:c r="AO896" s="37" t="n">
        <x:f>ROUND(MAX(0,MIN(100,(X896*0.35)+(W896/45*100*0.20)+((5-O896)/4*100*0.15)+((5-P896)/4*100*0.10)+((6-Y896)/5*100*0.10)+((100-Z896)*0.10))),1)</x:f>
        <x:v>38.6</x:v>
      </x:c>
      <x:c r="AP896" s="37" t="str">
        <x:f>IF(AO896&gt;=70,"High",IF(AO896&gt;=40,"Moderate","Low"))</x:f>
        <x:v>Low</x:v>
      </x:c>
      <x:c r="AQ896" s="37" t="n">
        <x:f>ROUND(MAX(0,MIN(100,(O896/4*100*0.25)+(P896/4*100*0.20)+(Q896/4*100*0.15)+(Y896/5*100*0.20)+(100-AO896)*0.20)),1)</x:f>
        <x:v>86</x:v>
      </x:c>
      <x:c r="AR896" s="37" t="n">
        <x:f>ROUND((AI896*0.20+AJ896*0.15+AN896*0.18+AG896*0.12+Z896*0.15+AQ896*0.20),1)</x:f>
        <x:v>89.8</x:v>
      </x:c>
      <x:c r="AS896" s="39" t="n">
        <x:f>ROUND((AC896*AF896*120)+(AH896*350)+(MAX(0,AI896-75)*220)+(MAX(0,AQ896-60)*100),0)</x:f>
        <x:v>46392</x:v>
      </x:c>
    </x:row>
    <x:row r="897">
      <x:c r="A897" s="35" t="n">
        <x:v>896</x:v>
      </x:c>
      <x:c r="B897" s="35" t="n">
        <x:v>37</x:v>
      </x:c>
      <x:c r="C897" s="35" t="str">
        <x:v>Male</x:v>
      </x:c>
      <x:c r="D897" s="35" t="str">
        <x:v>Human Resources</x:v>
      </x:c>
      <x:c r="E897" s="35" t="str">
        <x:v>HR Specialist</x:v>
      </x:c>
      <x:c r="F897" s="35" t="str">
        <x:v>Human Resources</x:v>
      </x:c>
      <x:c r="G897" s="35" t="str">
        <x:v>Married</x:v>
      </x:c>
      <x:c r="H897" s="35" t="n">
        <x:v>1</x:v>
      </x:c>
      <x:c r="I897" s="36" t="n">
        <x:v>4250</x:v>
      </x:c>
      <x:c r="J897" s="35" t="n">
        <x:v>11</x:v>
      </x:c>
      <x:c r="K897" s="35" t="n">
        <x:v>8</x:v>
      </x:c>
      <x:c r="L897" s="35" t="n">
        <x:v>2</x:v>
      </x:c>
      <x:c r="M897" s="35" t="n">
        <x:v>2</x:v>
      </x:c>
      <x:c r="N897" s="35" t="str">
        <x:v>No</x:v>
      </x:c>
      <x:c r="O897" s="35" t="n">
        <x:v>4</x:v>
      </x:c>
      <x:c r="P897" s="35" t="n">
        <x:v>3</x:v>
      </x:c>
      <x:c r="Q897" s="35" t="n">
        <x:v>4</x:v>
      </x:c>
      <x:c r="R897" s="35" t="n">
        <x:v>3</x:v>
      </x:c>
      <x:c r="S897" s="35" t="n">
        <x:v>3</x:v>
      </x:c>
      <x:c r="T897" s="35" t="n">
        <x:v>5</x:v>
      </x:c>
      <x:c r="U897" s="35" t="n">
        <x:v>0</x:v>
      </x:c>
      <x:c r="V897" s="35" t="n">
        <x:v>8</x:v>
      </x:c>
      <x:c r="W897" s="35" t="n">
        <x:v>15</x:v>
      </x:c>
      <x:c r="X897" s="35" t="n">
        <x:v>62</x:v>
      </x:c>
      <x:c r="Y897" s="35" t="n">
        <x:v>4</x:v>
      </x:c>
      <x:c r="Z897" s="35" t="n">
        <x:v>97</x:v>
      </x:c>
      <x:c r="AA897" s="35" t="n">
        <x:v>5</x:v>
      </x:c>
      <x:c r="AB897" s="35" t="n">
        <x:v>3</x:v>
      </x:c>
      <x:c r="AC897" s="35" t="n">
        <x:v>3</x:v>
      </x:c>
      <x:c r="AD897" s="35" t="n">
        <x:v>65</x:v>
      </x:c>
      <x:c r="AE897" s="35" t="n">
        <x:v>63</x:v>
      </x:c>
      <x:c r="AF897" s="35" t="n">
        <x:v>73</x:v>
      </x:c>
      <x:c r="AG897" s="35" t="n">
        <x:v>93</x:v>
      </x:c>
      <x:c r="AH897" s="35" t="n">
        <x:v>7</x:v>
      </x:c>
      <x:c r="AI897" s="37" t="n">
        <x:v>98</x:v>
      </x:c>
      <x:c r="AJ897" s="37" t="n">
        <x:v>100</x:v>
      </x:c>
      <x:c r="AK897" s="35" t="str">
        <x:v>No</x:v>
      </x:c>
      <x:c r="AL897" s="38" t="n">
        <x:f>IF(AA897=0,0,AB897/AA897)</x:f>
        <x:v>0.6</x:v>
      </x:c>
      <x:c r="AM897" s="38" t="n">
        <x:f>IF(AB897=0,0,AC897/AB897)</x:f>
        <x:v>1</x:v>
      </x:c>
      <x:c r="AN897" s="37" t="n">
        <x:f>ROUND((AD897*0.20+AE897*0.20+AF897*0.25+AG897*0.15+MIN(100,AC897*12)*0.20),1)</x:f>
        <x:v>65</x:v>
      </x:c>
      <x:c r="AO897" s="37" t="n">
        <x:f>ROUND(MAX(0,MIN(100,(X897*0.35)+(W897/45*100*0.20)+((5-O897)/4*100*0.15)+((5-P897)/4*100*0.10)+((6-Y897)/5*100*0.10)+((100-Z897)*0.10))),1)</x:f>
        <x:v>41.4</x:v>
      </x:c>
      <x:c r="AP897" s="37" t="str">
        <x:f>IF(AO897&gt;=70,"High",IF(AO897&gt;=40,"Moderate","Low"))</x:f>
        <x:v>Moderate</x:v>
      </x:c>
      <x:c r="AQ897" s="37" t="n">
        <x:f>ROUND(MAX(0,MIN(100,(O897/4*100*0.25)+(P897/4*100*0.20)+(Q897/4*100*0.15)+(Y897/5*100*0.20)+(100-AO897)*0.20)),1)</x:f>
        <x:v>82.7</x:v>
      </x:c>
      <x:c r="AR897" s="37" t="n">
        <x:f>ROUND((AI897*0.20+AJ897*0.15+AN897*0.18+AG897*0.12+Z897*0.15+AQ897*0.20),1)</x:f>
        <x:v>88.6</x:v>
      </x:c>
      <x:c r="AS897" s="39" t="n">
        <x:f>ROUND((AC897*AF897*120)+(AH897*350)+(MAX(0,AI897-75)*220)+(MAX(0,AQ897-60)*100),0)</x:f>
        <x:v>36060</x:v>
      </x:c>
    </x:row>
    <x:row r="898">
      <x:c r="A898" s="35" t="n">
        <x:v>897</x:v>
      </x:c>
      <x:c r="B898" s="35" t="n">
        <x:v>22</x:v>
      </x:c>
      <x:c r="C898" s="35" t="str">
        <x:v>Female</x:v>
      </x:c>
      <x:c r="D898" s="35" t="str">
        <x:v>Sales</x:v>
      </x:c>
      <x:c r="E898" s="35" t="str">
        <x:v>Sales Executive</x:v>
      </x:c>
      <x:c r="F898" s="35" t="str">
        <x:v>Human Resources</x:v>
      </x:c>
      <x:c r="G898" s="35" t="str">
        <x:v>Married</x:v>
      </x:c>
      <x:c r="H898" s="35" t="n">
        <x:v>1</x:v>
      </x:c>
      <x:c r="I898" s="36" t="n">
        <x:v>4880</x:v>
      </x:c>
      <x:c r="J898" s="35" t="n">
        <x:v>1</x:v>
      </x:c>
      <x:c r="K898" s="35" t="n">
        <x:v>1</x:v>
      </x:c>
      <x:c r="L898" s="35" t="n">
        <x:v>1</x:v>
      </x:c>
      <x:c r="M898" s="35" t="n">
        <x:v>7</x:v>
      </x:c>
      <x:c r="N898" s="35" t="str">
        <x:v>Yes</x:v>
      </x:c>
      <x:c r="O898" s="35" t="n">
        <x:v>3</x:v>
      </x:c>
      <x:c r="P898" s="35" t="n">
        <x:v>3</x:v>
      </x:c>
      <x:c r="Q898" s="35" t="n">
        <x:v>2</x:v>
      </x:c>
      <x:c r="R898" s="35" t="n">
        <x:v>2</x:v>
      </x:c>
      <x:c r="S898" s="35" t="n">
        <x:v>3</x:v>
      </x:c>
      <x:c r="T898" s="35" t="n">
        <x:v>0</x:v>
      </x:c>
      <x:c r="U898" s="35" t="n">
        <x:v>1</x:v>
      </x:c>
      <x:c r="V898" s="35" t="n">
        <x:v>11</x:v>
      </x:c>
      <x:c r="W898" s="35" t="n">
        <x:v>24</x:v>
      </x:c>
      <x:c r="X898" s="35" t="n">
        <x:v>73</x:v>
      </x:c>
      <x:c r="Y898" s="35" t="n">
        <x:v>4</x:v>
      </x:c>
      <x:c r="Z898" s="35" t="n">
        <x:v>96</x:v>
      </x:c>
      <x:c r="AA898" s="35" t="n">
        <x:v>6</x:v>
      </x:c>
      <x:c r="AB898" s="35" t="n">
        <x:v>4</x:v>
      </x:c>
      <x:c r="AC898" s="35" t="n">
        <x:v>4</x:v>
      </x:c>
      <x:c r="AD898" s="35" t="n">
        <x:v>81</x:v>
      </x:c>
      <x:c r="AE898" s="35" t="n">
        <x:v>80</x:v>
      </x:c>
      <x:c r="AF898" s="35" t="n">
        <x:v>77</x:v>
      </x:c>
      <x:c r="AG898" s="35" t="n">
        <x:v>80</x:v>
      </x:c>
      <x:c r="AH898" s="35" t="n">
        <x:v>4</x:v>
      </x:c>
      <x:c r="AI898" s="37" t="n">
        <x:v>100</x:v>
      </x:c>
      <x:c r="AJ898" s="37" t="n">
        <x:v>85.6</x:v>
      </x:c>
      <x:c r="AK898" s="35" t="str">
        <x:v>No</x:v>
      </x:c>
      <x:c r="AL898" s="38" t="n">
        <x:f>IF(AA898=0,0,AB898/AA898)</x:f>
        <x:v>0.6666666666666666</x:v>
      </x:c>
      <x:c r="AM898" s="38" t="n">
        <x:f>IF(AB898=0,0,AC898/AB898)</x:f>
        <x:v>1</x:v>
      </x:c>
      <x:c r="AN898" s="37" t="n">
        <x:f>ROUND((AD898*0.20+AE898*0.20+AF898*0.25+AG898*0.15+MIN(100,AC898*12)*0.20),1)</x:f>
        <x:v>73.1</x:v>
      </x:c>
      <x:c r="AO898" s="37" t="n">
        <x:f>ROUND(MAX(0,MIN(100,(X898*0.35)+(W898/45*100*0.20)+((5-O898)/4*100*0.15)+((5-P898)/4*100*0.10)+((6-Y898)/5*100*0.10)+((100-Z898)*0.10))),1)</x:f>
        <x:v>53.1</x:v>
      </x:c>
      <x:c r="AP898" s="37" t="str">
        <x:f>IF(AO898&gt;=70,"High",IF(AO898&gt;=40,"Moderate","Low"))</x:f>
        <x:v>Moderate</x:v>
      </x:c>
      <x:c r="AQ898" s="37" t="n">
        <x:f>ROUND(MAX(0,MIN(100,(O898/4*100*0.25)+(P898/4*100*0.20)+(Q898/4*100*0.15)+(Y898/5*100*0.20)+(100-AO898)*0.20)),1)</x:f>
        <x:v>66.6</x:v>
      </x:c>
      <x:c r="AR898" s="37" t="n">
        <x:f>ROUND((AI898*0.20+AJ898*0.15+AN898*0.18+AG898*0.12+Z898*0.15+AQ898*0.20),1)</x:f>
        <x:v>83.3</x:v>
      </x:c>
      <x:c r="AS898" s="39" t="n">
        <x:f>ROUND((AC898*AF898*120)+(AH898*350)+(MAX(0,AI898-75)*220)+(MAX(0,AQ898-60)*100),0)</x:f>
        <x:v>44520</x:v>
      </x:c>
    </x:row>
    <x:row r="899">
      <x:c r="A899" s="35" t="n">
        <x:v>898</x:v>
      </x:c>
      <x:c r="B899" s="35" t="n">
        <x:v>38</x:v>
      </x:c>
      <x:c r="C899" s="35" t="str">
        <x:v>Male</x:v>
      </x:c>
      <x:c r="D899" s="35" t="str">
        <x:v>Sales</x:v>
      </x:c>
      <x:c r="E899" s="35" t="str">
        <x:v>Account Manager</x:v>
      </x:c>
      <x:c r="F899" s="35" t="str">
        <x:v>Human Resources</x:v>
      </x:c>
      <x:c r="G899" s="35" t="str">
        <x:v>Single</x:v>
      </x:c>
      <x:c r="H899" s="35" t="n">
        <x:v>3</x:v>
      </x:c>
      <x:c r="I899" s="36" t="n">
        <x:v>11460</x:v>
      </x:c>
      <x:c r="J899" s="35" t="n">
        <x:v>9</x:v>
      </x:c>
      <x:c r="K899" s="35" t="n">
        <x:v>5</x:v>
      </x:c>
      <x:c r="L899" s="35" t="n">
        <x:v>3</x:v>
      </x:c>
      <x:c r="M899" s="35" t="n">
        <x:v>32</x:v>
      </x:c>
      <x:c r="N899" s="35" t="str">
        <x:v>No</x:v>
      </x:c>
      <x:c r="O899" s="35" t="n">
        <x:v>3</x:v>
      </x:c>
      <x:c r="P899" s="35" t="n">
        <x:v>3</x:v>
      </x:c>
      <x:c r="Q899" s="35" t="n">
        <x:v>3</x:v>
      </x:c>
      <x:c r="R899" s="35" t="n">
        <x:v>4</x:v>
      </x:c>
      <x:c r="S899" s="35" t="n">
        <x:v>3</x:v>
      </x:c>
      <x:c r="T899" s="35" t="n">
        <x:v>3</x:v>
      </x:c>
      <x:c r="U899" s="35" t="n">
        <x:v>1</x:v>
      </x:c>
      <x:c r="V899" s="35" t="n">
        <x:v>7</x:v>
      </x:c>
      <x:c r="W899" s="35" t="n">
        <x:v>10</x:v>
      </x:c>
      <x:c r="X899" s="35" t="n">
        <x:v>73</x:v>
      </x:c>
      <x:c r="Y899" s="35" t="n">
        <x:v>4</x:v>
      </x:c>
      <x:c r="Z899" s="35" t="n">
        <x:v>100</x:v>
      </x:c>
      <x:c r="AA899" s="35" t="n">
        <x:v>8</x:v>
      </x:c>
      <x:c r="AB899" s="35" t="n">
        <x:v>7</x:v>
      </x:c>
      <x:c r="AC899" s="35" t="n">
        <x:v>5</x:v>
      </x:c>
      <x:c r="AD899" s="35" t="n">
        <x:v>79</x:v>
      </x:c>
      <x:c r="AE899" s="35" t="n">
        <x:v>81</x:v>
      </x:c>
      <x:c r="AF899" s="35" t="n">
        <x:v>85</x:v>
      </x:c>
      <x:c r="AG899" s="35" t="n">
        <x:v>97</x:v>
      </x:c>
      <x:c r="AH899" s="35" t="n">
        <x:v>7</x:v>
      </x:c>
      <x:c r="AI899" s="37" t="n">
        <x:v>90.6</x:v>
      </x:c>
      <x:c r="AJ899" s="37" t="n">
        <x:v>93.4</x:v>
      </x:c>
      <x:c r="AK899" s="35" t="str">
        <x:v>No</x:v>
      </x:c>
      <x:c r="AL899" s="38" t="n">
        <x:f>IF(AA899=0,0,AB899/AA899)</x:f>
        <x:v>0.875</x:v>
      </x:c>
      <x:c r="AM899" s="38" t="n">
        <x:f>IF(AB899=0,0,AC899/AB899)</x:f>
        <x:v>0.7142857142857143</x:v>
      </x:c>
      <x:c r="AN899" s="37" t="n">
        <x:f>ROUND((AD899*0.20+AE899*0.20+AF899*0.25+AG899*0.15+MIN(100,AC899*12)*0.20),1)</x:f>
        <x:v>79.8</x:v>
      </x:c>
      <x:c r="AO899" s="37" t="n">
        <x:f>ROUND(MAX(0,MIN(100,(X899*0.35)+(W899/45*100*0.20)+((5-O899)/4*100*0.15)+((5-P899)/4*100*0.10)+((6-Y899)/5*100*0.10)+((100-Z899)*0.10))),1)</x:f>
        <x:v>46.5</x:v>
      </x:c>
      <x:c r="AP899" s="37" t="str">
        <x:f>IF(AO899&gt;=70,"High",IF(AO899&gt;=40,"Moderate","Low"))</x:f>
        <x:v>Moderate</x:v>
      </x:c>
      <x:c r="AQ899" s="37" t="n">
        <x:f>ROUND(MAX(0,MIN(100,(O899/4*100*0.25)+(P899/4*100*0.20)+(Q899/4*100*0.15)+(Y899/5*100*0.20)+(100-AO899)*0.20)),1)</x:f>
        <x:v>71.7</x:v>
      </x:c>
      <x:c r="AR899" s="37" t="n">
        <x:f>ROUND((AI899*0.20+AJ899*0.15+AN899*0.18+AG899*0.12+Z899*0.15+AQ899*0.20),1)</x:f>
        <x:v>87.5</x:v>
      </x:c>
      <x:c r="AS899" s="39" t="n">
        <x:f>ROUND((AC899*AF899*120)+(AH899*350)+(MAX(0,AI899-75)*220)+(MAX(0,AQ899-60)*100),0)</x:f>
        <x:v>58052</x:v>
      </x:c>
    </x:row>
    <x:row r="900">
      <x:c r="A900" s="35" t="n">
        <x:v>899</x:v>
      </x:c>
      <x:c r="B900" s="35" t="n">
        <x:v>34</x:v>
      </x:c>
      <x:c r="C900" s="35" t="str">
        <x:v>Female</x:v>
      </x:c>
      <x:c r="D900" s="35" t="str">
        <x:v>Research &amp; Development</x:v>
      </x:c>
      <x:c r="E900" s="35" t="str">
        <x:v>Laboratory Technician</x:v>
      </x:c>
      <x:c r="F900" s="35" t="str">
        <x:v>Marketing</x:v>
      </x:c>
      <x:c r="G900" s="35" t="str">
        <x:v>Married</x:v>
      </x:c>
      <x:c r="H900" s="35" t="n">
        <x:v>2</x:v>
      </x:c>
      <x:c r="I900" s="36" t="n">
        <x:v>5910</x:v>
      </x:c>
      <x:c r="J900" s="35" t="n">
        <x:v>9</x:v>
      </x:c>
      <x:c r="K900" s="35" t="n">
        <x:v>6</x:v>
      </x:c>
      <x:c r="L900" s="35" t="n">
        <x:v>2</x:v>
      </x:c>
      <x:c r="M900" s="35" t="n">
        <x:v>5</x:v>
      </x:c>
      <x:c r="N900" s="35" t="str">
        <x:v>No</x:v>
      </x:c>
      <x:c r="O900" s="35" t="n">
        <x:v>2</x:v>
      </x:c>
      <x:c r="P900" s="35" t="n">
        <x:v>3</x:v>
      </x:c>
      <x:c r="Q900" s="35" t="n">
        <x:v>3</x:v>
      </x:c>
      <x:c r="R900" s="35" t="n">
        <x:v>4</x:v>
      </x:c>
      <x:c r="S900" s="35" t="n">
        <x:v>3</x:v>
      </x:c>
      <x:c r="T900" s="35" t="n">
        <x:v>2</x:v>
      </x:c>
      <x:c r="U900" s="35" t="n">
        <x:v>0</x:v>
      </x:c>
      <x:c r="V900" s="35" t="n">
        <x:v>5</x:v>
      </x:c>
      <x:c r="W900" s="35" t="n">
        <x:v>1</x:v>
      </x:c>
      <x:c r="X900" s="35" t="n">
        <x:v>79</x:v>
      </x:c>
      <x:c r="Y900" s="35" t="n">
        <x:v>3</x:v>
      </x:c>
      <x:c r="Z900" s="35" t="n">
        <x:v>100</x:v>
      </x:c>
      <x:c r="AA900" s="35" t="n">
        <x:v>4</x:v>
      </x:c>
      <x:c r="AB900" s="35" t="n">
        <x:v>3</x:v>
      </x:c>
      <x:c r="AC900" s="35" t="n">
        <x:v>2</x:v>
      </x:c>
      <x:c r="AD900" s="35" t="n">
        <x:v>70</x:v>
      </x:c>
      <x:c r="AE900" s="35" t="n">
        <x:v>73</x:v>
      </x:c>
      <x:c r="AF900" s="35" t="n">
        <x:v>64</x:v>
      </x:c>
      <x:c r="AG900" s="35" t="n">
        <x:v>99</x:v>
      </x:c>
      <x:c r="AH900" s="35" t="n">
        <x:v>7</x:v>
      </x:c>
      <x:c r="AI900" s="37" t="n">
        <x:v>79.2</x:v>
      </x:c>
      <x:c r="AJ900" s="37" t="n">
        <x:v>96</x:v>
      </x:c>
      <x:c r="AK900" s="35" t="str">
        <x:v>No</x:v>
      </x:c>
      <x:c r="AL900" s="38" t="n">
        <x:f>IF(AA900=0,0,AB900/AA900)</x:f>
        <x:v>0.75</x:v>
      </x:c>
      <x:c r="AM900" s="38" t="n">
        <x:f>IF(AB900=0,0,AC900/AB900)</x:f>
        <x:v>0.6666666666666666</x:v>
      </x:c>
      <x:c r="AN900" s="37" t="n">
        <x:f>ROUND((AD900*0.20+AE900*0.20+AF900*0.25+AG900*0.15+MIN(100,AC900*12)*0.20),1)</x:f>
        <x:v>64.3</x:v>
      </x:c>
      <x:c r="AO900" s="37" t="n">
        <x:f>ROUND(MAX(0,MIN(100,(X900*0.35)+(W900/45*100*0.20)+((5-O900)/4*100*0.15)+((5-P900)/4*100*0.10)+((6-Y900)/5*100*0.10)+((100-Z900)*0.10))),1)</x:f>
        <x:v>50.3</x:v>
      </x:c>
      <x:c r="AP900" s="37" t="str">
        <x:f>IF(AO900&gt;=70,"High",IF(AO900&gt;=40,"Moderate","Low"))</x:f>
        <x:v>Moderate</x:v>
      </x:c>
      <x:c r="AQ900" s="37" t="n">
        <x:f>ROUND(MAX(0,MIN(100,(O900/4*100*0.25)+(P900/4*100*0.20)+(Q900/4*100*0.15)+(Y900/5*100*0.20)+(100-AO900)*0.20)),1)</x:f>
        <x:v>60.7</x:v>
      </x:c>
      <x:c r="AR900" s="37" t="n">
        <x:f>ROUND((AI900*0.20+AJ900*0.15+AN900*0.18+AG900*0.12+Z900*0.15+AQ900*0.20),1)</x:f>
        <x:v>80.8</x:v>
      </x:c>
      <x:c r="AS900" s="39" t="n">
        <x:f>ROUND((AC900*AF900*120)+(AH900*350)+(MAX(0,AI900-75)*220)+(MAX(0,AQ900-60)*100),0)</x:f>
        <x:v>18804</x:v>
      </x:c>
    </x:row>
    <x:row r="901">
      <x:c r="A901" s="35" t="n">
        <x:v>900</x:v>
      </x:c>
      <x:c r="B901" s="35" t="n">
        <x:v>27</x:v>
      </x:c>
      <x:c r="C901" s="35" t="str">
        <x:v>Male</x:v>
      </x:c>
      <x:c r="D901" s="35" t="str">
        <x:v>Research &amp; Development</x:v>
      </x:c>
      <x:c r="E901" s="35" t="str">
        <x:v>Data Scientist</x:v>
      </x:c>
      <x:c r="F901" s="35" t="str">
        <x:v>Computer Science</x:v>
      </x:c>
      <x:c r="G901" s="35" t="str">
        <x:v>Single</x:v>
      </x:c>
      <x:c r="H901" s="35" t="n">
        <x:v>1</x:v>
      </x:c>
      <x:c r="I901" s="36" t="n">
        <x:v>5930</x:v>
      </x:c>
      <x:c r="J901" s="35" t="n">
        <x:v>3</x:v>
      </x:c>
      <x:c r="K901" s="35" t="n">
        <x:v>2</x:v>
      </x:c>
      <x:c r="L901" s="35" t="n">
        <x:v>1</x:v>
      </x:c>
      <x:c r="M901" s="35" t="n">
        <x:v>7</x:v>
      </x:c>
      <x:c r="N901" s="35" t="str">
        <x:v>No</x:v>
      </x:c>
      <x:c r="O901" s="35" t="n">
        <x:v>3</x:v>
      </x:c>
      <x:c r="P901" s="35" t="n">
        <x:v>2</x:v>
      </x:c>
      <x:c r="Q901" s="35" t="n">
        <x:v>3</x:v>
      </x:c>
      <x:c r="R901" s="35" t="n">
        <x:v>3</x:v>
      </x:c>
      <x:c r="S901" s="35" t="n">
        <x:v>3</x:v>
      </x:c>
      <x:c r="T901" s="35" t="n">
        <x:v>3</x:v>
      </x:c>
      <x:c r="U901" s="35" t="n">
        <x:v>0</x:v>
      </x:c>
      <x:c r="V901" s="35" t="n">
        <x:v>5</x:v>
      </x:c>
      <x:c r="W901" s="35" t="n">
        <x:v>1</x:v>
      </x:c>
      <x:c r="X901" s="35" t="n">
        <x:v>52</x:v>
      </x:c>
      <x:c r="Y901" s="35" t="n">
        <x:v>5</x:v>
      </x:c>
      <x:c r="Z901" s="35" t="n">
        <x:v>93</x:v>
      </x:c>
      <x:c r="AA901" s="35" t="n">
        <x:v>6</x:v>
      </x:c>
      <x:c r="AB901" s="35" t="n">
        <x:v>5</x:v>
      </x:c>
      <x:c r="AC901" s="35" t="n">
        <x:v>4</x:v>
      </x:c>
      <x:c r="AD901" s="35" t="n">
        <x:v>81</x:v>
      </x:c>
      <x:c r="AE901" s="35" t="n">
        <x:v>95</x:v>
      </x:c>
      <x:c r="AF901" s="35" t="n">
        <x:v>74</x:v>
      </x:c>
      <x:c r="AG901" s="35" t="n">
        <x:v>87</x:v>
      </x:c>
      <x:c r="AH901" s="35" t="n">
        <x:v>8</x:v>
      </x:c>
      <x:c r="AI901" s="37" t="n">
        <x:v>100</x:v>
      </x:c>
      <x:c r="AJ901" s="37" t="n">
        <x:v>97.1</x:v>
      </x:c>
      <x:c r="AK901" s="35" t="str">
        <x:v>No</x:v>
      </x:c>
      <x:c r="AL901" s="38" t="n">
        <x:f>IF(AA901=0,0,AB901/AA901)</x:f>
        <x:v>0.8333333333333334</x:v>
      </x:c>
      <x:c r="AM901" s="38" t="n">
        <x:f>IF(AB901=0,0,AC901/AB901)</x:f>
        <x:v>0.8</x:v>
      </x:c>
      <x:c r="AN901" s="37" t="n">
        <x:f>ROUND((AD901*0.20+AE901*0.20+AF901*0.25+AG901*0.15+MIN(100,AC901*12)*0.20),1)</x:f>
        <x:v>76.4</x:v>
      </x:c>
      <x:c r="AO901" s="37" t="n">
        <x:f>ROUND(MAX(0,MIN(100,(X901*0.35)+(W901/45*100*0.20)+((5-O901)/4*100*0.15)+((5-P901)/4*100*0.10)+((6-Y901)/5*100*0.10)+((100-Z901)*0.10))),1)</x:f>
        <x:v>36.3</x:v>
      </x:c>
      <x:c r="AP901" s="37" t="str">
        <x:f>IF(AO901&gt;=70,"High",IF(AO901&gt;=40,"Moderate","Low"))</x:f>
        <x:v>Low</x:v>
      </x:c>
      <x:c r="AQ901" s="37" t="n">
        <x:f>ROUND(MAX(0,MIN(100,(O901/4*100*0.25)+(P901/4*100*0.20)+(Q901/4*100*0.15)+(Y901/5*100*0.20)+(100-AO901)*0.20)),1)</x:f>
        <x:v>72.7</x:v>
      </x:c>
      <x:c r="AR901" s="37" t="n">
        <x:f>ROUND((AI901*0.20+AJ901*0.15+AN901*0.18+AG901*0.12+Z901*0.15+AQ901*0.20),1)</x:f>
        <x:v>87.2</x:v>
      </x:c>
      <x:c r="AS901" s="39" t="n">
        <x:f>ROUND((AC901*AF901*120)+(AH901*350)+(MAX(0,AI901-75)*220)+(MAX(0,AQ901-60)*100),0)</x:f>
        <x:v>45090</x:v>
      </x:c>
    </x:row>
    <x:row r="902">
      <x:c r="A902" s="35" t="n">
        <x:v>901</x:v>
      </x:c>
      <x:c r="B902" s="35" t="n">
        <x:v>33</x:v>
      </x:c>
      <x:c r="C902" s="35" t="str">
        <x:v>Male</x:v>
      </x:c>
      <x:c r="D902" s="35" t="str">
        <x:v>Research &amp; Development</x:v>
      </x:c>
      <x:c r="E902" s="35" t="str">
        <x:v>Data Scientist</x:v>
      </x:c>
      <x:c r="F902" s="35" t="str">
        <x:v>Business</x:v>
      </x:c>
      <x:c r="G902" s="35" t="str">
        <x:v>Single</x:v>
      </x:c>
      <x:c r="H902" s="35" t="n">
        <x:v>2</x:v>
      </x:c>
      <x:c r="I902" s="36" t="n">
        <x:v>4970</x:v>
      </x:c>
      <x:c r="J902" s="35" t="n">
        <x:v>9</x:v>
      </x:c>
      <x:c r="K902" s="35" t="n">
        <x:v>3</x:v>
      </x:c>
      <x:c r="L902" s="35" t="n">
        <x:v>1</x:v>
      </x:c>
      <x:c r="M902" s="35" t="n">
        <x:v>10</x:v>
      </x:c>
      <x:c r="N902" s="35" t="str">
        <x:v>No</x:v>
      </x:c>
      <x:c r="O902" s="35" t="n">
        <x:v>2</x:v>
      </x:c>
      <x:c r="P902" s="35" t="n">
        <x:v>3</x:v>
      </x:c>
      <x:c r="Q902" s="35" t="n">
        <x:v>3</x:v>
      </x:c>
      <x:c r="R902" s="35" t="n">
        <x:v>3</x:v>
      </x:c>
      <x:c r="S902" s="35" t="n">
        <x:v>3</x:v>
      </x:c>
      <x:c r="T902" s="35" t="n">
        <x:v>4</x:v>
      </x:c>
      <x:c r="U902" s="35" t="n">
        <x:v>0</x:v>
      </x:c>
      <x:c r="V902" s="35" t="n">
        <x:v>5</x:v>
      </x:c>
      <x:c r="W902" s="35" t="n">
        <x:v>14</x:v>
      </x:c>
      <x:c r="X902" s="35" t="n">
        <x:v>74</x:v>
      </x:c>
      <x:c r="Y902" s="35" t="n">
        <x:v>4</x:v>
      </x:c>
      <x:c r="Z902" s="35" t="n">
        <x:v>100</x:v>
      </x:c>
      <x:c r="AA902" s="35" t="n">
        <x:v>8</x:v>
      </x:c>
      <x:c r="AB902" s="35" t="n">
        <x:v>6</x:v>
      </x:c>
      <x:c r="AC902" s="35" t="n">
        <x:v>6</x:v>
      </x:c>
      <x:c r="AD902" s="35" t="n">
        <x:v>73</x:v>
      </x:c>
      <x:c r="AE902" s="35" t="n">
        <x:v>67</x:v>
      </x:c>
      <x:c r="AF902" s="35" t="n">
        <x:v>87</x:v>
      </x:c>
      <x:c r="AG902" s="35" t="n">
        <x:v>94</x:v>
      </x:c>
      <x:c r="AH902" s="35" t="n">
        <x:v>11</x:v>
      </x:c>
      <x:c r="AI902" s="37" t="n">
        <x:v>86.7</x:v>
      </x:c>
      <x:c r="AJ902" s="37" t="n">
        <x:v>97.9</x:v>
      </x:c>
      <x:c r="AK902" s="35" t="str">
        <x:v>No</x:v>
      </x:c>
      <x:c r="AL902" s="38" t="n">
        <x:f>IF(AA902=0,0,AB902/AA902)</x:f>
        <x:v>0.75</x:v>
      </x:c>
      <x:c r="AM902" s="38" t="n">
        <x:f>IF(AB902=0,0,AC902/AB902)</x:f>
        <x:v>1</x:v>
      </x:c>
      <x:c r="AN902" s="37" t="n">
        <x:f>ROUND((AD902*0.20+AE902*0.20+AF902*0.25+AG902*0.15+MIN(100,AC902*12)*0.20),1)</x:f>
        <x:v>78.3</x:v>
      </x:c>
      <x:c r="AO902" s="37" t="n">
        <x:f>ROUND(MAX(0,MIN(100,(X902*0.35)+(W902/45*100*0.20)+((5-O902)/4*100*0.15)+((5-P902)/4*100*0.10)+((6-Y902)/5*100*0.10)+((100-Z902)*0.10))),1)</x:f>
        <x:v>52.4</x:v>
      </x:c>
      <x:c r="AP902" s="37" t="str">
        <x:f>IF(AO902&gt;=70,"High",IF(AO902&gt;=40,"Moderate","Low"))</x:f>
        <x:v>Moderate</x:v>
      </x:c>
      <x:c r="AQ902" s="37" t="n">
        <x:f>ROUND(MAX(0,MIN(100,(O902/4*100*0.25)+(P902/4*100*0.20)+(Q902/4*100*0.15)+(Y902/5*100*0.20)+(100-AO902)*0.20)),1)</x:f>
        <x:v>64.3</x:v>
      </x:c>
      <x:c r="AR902" s="37" t="n">
        <x:f>ROUND((AI902*0.20+AJ902*0.15+AN902*0.18+AG902*0.12+Z902*0.15+AQ902*0.20),1)</x:f>
        <x:v>85.3</x:v>
      </x:c>
      <x:c r="AS902" s="39" t="n">
        <x:f>ROUND((AC902*AF902*120)+(AH902*350)+(MAX(0,AI902-75)*220)+(MAX(0,AQ902-60)*100),0)</x:f>
        <x:v>69494</x:v>
      </x:c>
    </x:row>
    <x:row r="903">
      <x:c r="A903" s="35" t="n">
        <x:v>902</x:v>
      </x:c>
      <x:c r="B903" s="35" t="n">
        <x:v>22</x:v>
      </x:c>
      <x:c r="C903" s="35" t="str">
        <x:v>Male</x:v>
      </x:c>
      <x:c r="D903" s="35" t="str">
        <x:v>Operations</x:v>
      </x:c>
      <x:c r="E903" s="35" t="str">
        <x:v>Operations Manager</x:v>
      </x:c>
      <x:c r="F903" s="35" t="str">
        <x:v>Marketing</x:v>
      </x:c>
      <x:c r="G903" s="35" t="str">
        <x:v>Married</x:v>
      </x:c>
      <x:c r="H903" s="35" t="n">
        <x:v>1</x:v>
      </x:c>
      <x:c r="I903" s="36" t="n">
        <x:v>4630</x:v>
      </x:c>
      <x:c r="J903" s="35" t="n">
        <x:v>1</x:v>
      </x:c>
      <x:c r="K903" s="35" t="n">
        <x:v>1</x:v>
      </x:c>
      <x:c r="L903" s="35" t="n">
        <x:v>0</x:v>
      </x:c>
      <x:c r="M903" s="35" t="n">
        <x:v>4</x:v>
      </x:c>
      <x:c r="N903" s="35" t="str">
        <x:v>Yes</x:v>
      </x:c>
      <x:c r="O903" s="35" t="n">
        <x:v>4</x:v>
      </x:c>
      <x:c r="P903" s="35" t="n">
        <x:v>4</x:v>
      </x:c>
      <x:c r="Q903" s="35" t="n">
        <x:v>2</x:v>
      </x:c>
      <x:c r="R903" s="35" t="n">
        <x:v>2</x:v>
      </x:c>
      <x:c r="S903" s="35" t="n">
        <x:v>3</x:v>
      </x:c>
      <x:c r="T903" s="35" t="n">
        <x:v>4</x:v>
      </x:c>
      <x:c r="U903" s="35" t="n">
        <x:v>0</x:v>
      </x:c>
      <x:c r="V903" s="35" t="n">
        <x:v>1</x:v>
      </x:c>
      <x:c r="W903" s="35" t="n">
        <x:v>16</x:v>
      </x:c>
      <x:c r="X903" s="35" t="n">
        <x:v>69</x:v>
      </x:c>
      <x:c r="Y903" s="35" t="n">
        <x:v>4</x:v>
      </x:c>
      <x:c r="Z903" s="35" t="n">
        <x:v>89</x:v>
      </x:c>
      <x:c r="AA903" s="35" t="n">
        <x:v>3</x:v>
      </x:c>
      <x:c r="AB903" s="35" t="n">
        <x:v>3</x:v>
      </x:c>
      <x:c r="AC903" s="35" t="n">
        <x:v>2</x:v>
      </x:c>
      <x:c r="AD903" s="35" t="n">
        <x:v>57</x:v>
      </x:c>
      <x:c r="AE903" s="35" t="n">
        <x:v>67</x:v>
      </x:c>
      <x:c r="AF903" s="35" t="n">
        <x:v>75</x:v>
      </x:c>
      <x:c r="AG903" s="35" t="n">
        <x:v>67</x:v>
      </x:c>
      <x:c r="AH903" s="35" t="n">
        <x:v>3</x:v>
      </x:c>
      <x:c r="AI903" s="37" t="n">
        <x:v>100</x:v>
      </x:c>
      <x:c r="AJ903" s="37" t="n">
        <x:v>86.9</x:v>
      </x:c>
      <x:c r="AK903" s="35" t="str">
        <x:v>No</x:v>
      </x:c>
      <x:c r="AL903" s="38" t="n">
        <x:f>IF(AA903=0,0,AB903/AA903)</x:f>
        <x:v>1</x:v>
      </x:c>
      <x:c r="AM903" s="38" t="n">
        <x:f>IF(AB903=0,0,AC903/AB903)</x:f>
        <x:v>0.6666666666666666</x:v>
      </x:c>
      <x:c r="AN903" s="37" t="n">
        <x:f>ROUND((AD903*0.20+AE903*0.20+AF903*0.25+AG903*0.15+MIN(100,AC903*12)*0.20),1)</x:f>
        <x:v>58.4</x:v>
      </x:c>
      <x:c r="AO903" s="37" t="n">
        <x:f>ROUND(MAX(0,MIN(100,(X903*0.35)+(W903/45*100*0.20)+((5-O903)/4*100*0.15)+((5-P903)/4*100*0.10)+((6-Y903)/5*100*0.10)+((100-Z903)*0.10))),1)</x:f>
        <x:v>42.6</x:v>
      </x:c>
      <x:c r="AP903" s="37" t="str">
        <x:f>IF(AO903&gt;=70,"High",IF(AO903&gt;=40,"Moderate","Low"))</x:f>
        <x:v>Moderate</x:v>
      </x:c>
      <x:c r="AQ903" s="37" t="n">
        <x:f>ROUND(MAX(0,MIN(100,(O903/4*100*0.25)+(P903/4*100*0.20)+(Q903/4*100*0.15)+(Y903/5*100*0.20)+(100-AO903)*0.20)),1)</x:f>
        <x:v>80</x:v>
      </x:c>
      <x:c r="AR903" s="37" t="n">
        <x:f>ROUND((AI903*0.20+AJ903*0.15+AN903*0.18+AG903*0.12+Z903*0.15+AQ903*0.20),1)</x:f>
        <x:v>80.9</x:v>
      </x:c>
      <x:c r="AS903" s="39" t="n">
        <x:f>ROUND((AC903*AF903*120)+(AH903*350)+(MAX(0,AI903-75)*220)+(MAX(0,AQ903-60)*100),0)</x:f>
        <x:v>26550</x:v>
      </x:c>
    </x:row>
    <x:row r="904">
      <x:c r="A904" s="35" t="n">
        <x:v>903</x:v>
      </x:c>
      <x:c r="B904" s="35" t="n">
        <x:v>33</x:v>
      </x:c>
      <x:c r="C904" s="35" t="str">
        <x:v>Male</x:v>
      </x:c>
      <x:c r="D904" s="35" t="str">
        <x:v>Finance</x:v>
      </x:c>
      <x:c r="E904" s="35" t="str">
        <x:v>Finance Manager</x:v>
      </x:c>
      <x:c r="F904" s="35" t="str">
        <x:v>Medical</x:v>
      </x:c>
      <x:c r="G904" s="35" t="str">
        <x:v>Married</x:v>
      </x:c>
      <x:c r="H904" s="35" t="n">
        <x:v>2</x:v>
      </x:c>
      <x:c r="I904" s="36" t="n">
        <x:v>6700</x:v>
      </x:c>
      <x:c r="J904" s="35" t="n">
        <x:v>6</x:v>
      </x:c>
      <x:c r="K904" s="35" t="n">
        <x:v>4</x:v>
      </x:c>
      <x:c r="L904" s="35" t="n">
        <x:v>2</x:v>
      </x:c>
      <x:c r="M904" s="35" t="n">
        <x:v>3</x:v>
      </x:c>
      <x:c r="N904" s="35" t="str">
        <x:v>Yes</x:v>
      </x:c>
      <x:c r="O904" s="35" t="n">
        <x:v>2</x:v>
      </x:c>
      <x:c r="P904" s="35" t="n">
        <x:v>3</x:v>
      </x:c>
      <x:c r="Q904" s="35" t="n">
        <x:v>3</x:v>
      </x:c>
      <x:c r="R904" s="35" t="n">
        <x:v>4</x:v>
      </x:c>
      <x:c r="S904" s="35" t="n">
        <x:v>3</x:v>
      </x:c>
      <x:c r="T904" s="35" t="n">
        <x:v>3</x:v>
      </x:c>
      <x:c r="U904" s="35" t="n">
        <x:v>0</x:v>
      </x:c>
      <x:c r="V904" s="35" t="n">
        <x:v>0</x:v>
      </x:c>
      <x:c r="W904" s="35" t="n">
        <x:v>14</x:v>
      </x:c>
      <x:c r="X904" s="35" t="n">
        <x:v>58</x:v>
      </x:c>
      <x:c r="Y904" s="35" t="n">
        <x:v>5</x:v>
      </x:c>
      <x:c r="Z904" s="35" t="n">
        <x:v>100</x:v>
      </x:c>
      <x:c r="AA904" s="35" t="n">
        <x:v>4</x:v>
      </x:c>
      <x:c r="AB904" s="35" t="n">
        <x:v>3</x:v>
      </x:c>
      <x:c r="AC904" s="35" t="n">
        <x:v>2</x:v>
      </x:c>
      <x:c r="AD904" s="35" t="n">
        <x:v>68</x:v>
      </x:c>
      <x:c r="AE904" s="35" t="n">
        <x:v>69</x:v>
      </x:c>
      <x:c r="AF904" s="35" t="n">
        <x:v>65</x:v>
      </x:c>
      <x:c r="AG904" s="35" t="n">
        <x:v>100</x:v>
      </x:c>
      <x:c r="AH904" s="35" t="n">
        <x:v>6</x:v>
      </x:c>
      <x:c r="AI904" s="37" t="n">
        <x:v>100</x:v>
      </x:c>
      <x:c r="AJ904" s="37" t="n">
        <x:v>91.8</x:v>
      </x:c>
      <x:c r="AK904" s="35" t="str">
        <x:v>No</x:v>
      </x:c>
      <x:c r="AL904" s="38" t="n">
        <x:f>IF(AA904=0,0,AB904/AA904)</x:f>
        <x:v>0.75</x:v>
      </x:c>
      <x:c r="AM904" s="38" t="n">
        <x:f>IF(AB904=0,0,AC904/AB904)</x:f>
        <x:v>0.6666666666666666</x:v>
      </x:c>
      <x:c r="AN904" s="37" t="n">
        <x:f>ROUND((AD904*0.20+AE904*0.20+AF904*0.25+AG904*0.15+MIN(100,AC904*12)*0.20),1)</x:f>
        <x:v>63.5</x:v>
      </x:c>
      <x:c r="AO904" s="37" t="n">
        <x:f>ROUND(MAX(0,MIN(100,(X904*0.35)+(W904/45*100*0.20)+((5-O904)/4*100*0.15)+((5-P904)/4*100*0.10)+((6-Y904)/5*100*0.10)+((100-Z904)*0.10))),1)</x:f>
        <x:v>44.8</x:v>
      </x:c>
      <x:c r="AP904" s="37" t="str">
        <x:f>IF(AO904&gt;=70,"High",IF(AO904&gt;=40,"Moderate","Low"))</x:f>
        <x:v>Moderate</x:v>
      </x:c>
      <x:c r="AQ904" s="37" t="n">
        <x:f>ROUND(MAX(0,MIN(100,(O904/4*100*0.25)+(P904/4*100*0.20)+(Q904/4*100*0.15)+(Y904/5*100*0.20)+(100-AO904)*0.20)),1)</x:f>
        <x:v>69.8</x:v>
      </x:c>
      <x:c r="AR904" s="37" t="n">
        <x:f>ROUND((AI904*0.20+AJ904*0.15+AN904*0.18+AG904*0.12+Z904*0.15+AQ904*0.20),1)</x:f>
        <x:v>86.2</x:v>
      </x:c>
      <x:c r="AS904" s="39" t="n">
        <x:f>ROUND((AC904*AF904*120)+(AH904*350)+(MAX(0,AI904-75)*220)+(MAX(0,AQ904-60)*100),0)</x:f>
        <x:v>24180</x:v>
      </x:c>
    </x:row>
    <x:row r="905">
      <x:c r="A905" s="35" t="n">
        <x:v>904</x:v>
      </x:c>
      <x:c r="B905" s="35" t="n">
        <x:v>35</x:v>
      </x:c>
      <x:c r="C905" s="35" t="str">
        <x:v>Female</x:v>
      </x:c>
      <x:c r="D905" s="35" t="str">
        <x:v>Research &amp; Development</x:v>
      </x:c>
      <x:c r="E905" s="35" t="str">
        <x:v>Laboratory Technician</x:v>
      </x:c>
      <x:c r="F905" s="35" t="str">
        <x:v>Medical</x:v>
      </x:c>
      <x:c r="G905" s="35" t="str">
        <x:v>Single</x:v>
      </x:c>
      <x:c r="H905" s="35" t="n">
        <x:v>2</x:v>
      </x:c>
      <x:c r="I905" s="36" t="n">
        <x:v>6760</x:v>
      </x:c>
      <x:c r="J905" s="35" t="n">
        <x:v>8</x:v>
      </x:c>
      <x:c r="K905" s="35" t="n">
        <x:v>4</x:v>
      </x:c>
      <x:c r="L905" s="35" t="n">
        <x:v>3</x:v>
      </x:c>
      <x:c r="M905" s="35" t="n">
        <x:v>8</x:v>
      </x:c>
      <x:c r="N905" s="35" t="str">
        <x:v>Yes</x:v>
      </x:c>
      <x:c r="O905" s="35" t="n">
        <x:v>3</x:v>
      </x:c>
      <x:c r="P905" s="35" t="n">
        <x:v>4</x:v>
      </x:c>
      <x:c r="Q905" s="35" t="n">
        <x:v>2</x:v>
      </x:c>
      <x:c r="R905" s="35" t="n">
        <x:v>3</x:v>
      </x:c>
      <x:c r="S905" s="35" t="n">
        <x:v>3</x:v>
      </x:c>
      <x:c r="T905" s="35" t="n">
        <x:v>4</x:v>
      </x:c>
      <x:c r="U905" s="35" t="n">
        <x:v>0</x:v>
      </x:c>
      <x:c r="V905" s="35" t="n">
        <x:v>12</x:v>
      </x:c>
      <x:c r="W905" s="35" t="n">
        <x:v>23</x:v>
      </x:c>
      <x:c r="X905" s="35" t="n">
        <x:v>72</x:v>
      </x:c>
      <x:c r="Y905" s="35" t="n">
        <x:v>3</x:v>
      </x:c>
      <x:c r="Z905" s="35" t="n">
        <x:v>100</x:v>
      </x:c>
      <x:c r="AA905" s="35" t="n">
        <x:v>15</x:v>
      </x:c>
      <x:c r="AB905" s="35" t="n">
        <x:v>10</x:v>
      </x:c>
      <x:c r="AC905" s="35" t="n">
        <x:v>8</x:v>
      </x:c>
      <x:c r="AD905" s="35" t="n">
        <x:v>100</x:v>
      </x:c>
      <x:c r="AE905" s="35" t="n">
        <x:v>83</x:v>
      </x:c>
      <x:c r="AF905" s="35" t="n">
        <x:v>100</x:v>
      </x:c>
      <x:c r="AG905" s="35" t="n">
        <x:v>92</x:v>
      </x:c>
      <x:c r="AH905" s="35" t="n">
        <x:v>10</x:v>
      </x:c>
      <x:c r="AI905" s="37" t="n">
        <x:v>84.5</x:v>
      </x:c>
      <x:c r="AJ905" s="37" t="n">
        <x:v>83.4</x:v>
      </x:c>
      <x:c r="AK905" s="35" t="str">
        <x:v>No</x:v>
      </x:c>
      <x:c r="AL905" s="38" t="n">
        <x:f>IF(AA905=0,0,AB905/AA905)</x:f>
        <x:v>0.6666666666666666</x:v>
      </x:c>
      <x:c r="AM905" s="38" t="n">
        <x:f>IF(AB905=0,0,AC905/AB905)</x:f>
        <x:v>0.8</x:v>
      </x:c>
      <x:c r="AN905" s="37" t="n">
        <x:f>ROUND((AD905*0.20+AE905*0.20+AF905*0.25+AG905*0.15+MIN(100,AC905*12)*0.20),1)</x:f>
        <x:v>94.6</x:v>
      </x:c>
      <x:c r="AO905" s="37" t="n">
        <x:f>ROUND(MAX(0,MIN(100,(X905*0.35)+(W905/45*100*0.20)+((5-O905)/4*100*0.15)+((5-P905)/4*100*0.10)+((6-Y905)/5*100*0.10)+((100-Z905)*0.10))),1)</x:f>
        <x:v>51.4</x:v>
      </x:c>
      <x:c r="AP905" s="37" t="str">
        <x:f>IF(AO905&gt;=70,"High",IF(AO905&gt;=40,"Moderate","Low"))</x:f>
        <x:v>Moderate</x:v>
      </x:c>
      <x:c r="AQ905" s="37" t="n">
        <x:f>ROUND(MAX(0,MIN(100,(O905/4*100*0.25)+(P905/4*100*0.20)+(Q905/4*100*0.15)+(Y905/5*100*0.20)+(100-AO905)*0.20)),1)</x:f>
        <x:v>68</x:v>
      </x:c>
      <x:c r="AR905" s="37" t="n">
        <x:f>ROUND((AI905*0.20+AJ905*0.15+AN905*0.18+AG905*0.12+Z905*0.15+AQ905*0.20),1)</x:f>
        <x:v>86.1</x:v>
      </x:c>
      <x:c r="AS905" s="39" t="n">
        <x:f>ROUND((AC905*AF905*120)+(AH905*350)+(MAX(0,AI905-75)*220)+(MAX(0,AQ905-60)*100),0)</x:f>
        <x:v>102390</x:v>
      </x:c>
    </x:row>
    <x:row r="906">
      <x:c r="A906" s="35" t="n">
        <x:v>905</x:v>
      </x:c>
      <x:c r="B906" s="35" t="n">
        <x:v>33</x:v>
      </x:c>
      <x:c r="C906" s="35" t="str">
        <x:v>Female</x:v>
      </x:c>
      <x:c r="D906" s="35" t="str">
        <x:v>Sales</x:v>
      </x:c>
      <x:c r="E906" s="35" t="str">
        <x:v>Sales Representative</x:v>
      </x:c>
      <x:c r="F906" s="35" t="str">
        <x:v>Human Resources</x:v>
      </x:c>
      <x:c r="G906" s="35" t="str">
        <x:v>Single</x:v>
      </x:c>
      <x:c r="H906" s="35" t="n">
        <x:v>3</x:v>
      </x:c>
      <x:c r="I906" s="36" t="n">
        <x:v>15170</x:v>
      </x:c>
      <x:c r="J906" s="35" t="n">
        <x:v>6</x:v>
      </x:c>
      <x:c r="K906" s="35" t="n">
        <x:v>4</x:v>
      </x:c>
      <x:c r="L906" s="35" t="n">
        <x:v>1</x:v>
      </x:c>
      <x:c r="M906" s="35" t="n">
        <x:v>3</x:v>
      </x:c>
      <x:c r="N906" s="35" t="str">
        <x:v>No</x:v>
      </x:c>
      <x:c r="O906" s="35" t="n">
        <x:v>3</x:v>
      </x:c>
      <x:c r="P906" s="35" t="n">
        <x:v>3</x:v>
      </x:c>
      <x:c r="Q906" s="35" t="n">
        <x:v>2</x:v>
      </x:c>
      <x:c r="R906" s="35" t="n">
        <x:v>3</x:v>
      </x:c>
      <x:c r="S906" s="35" t="n">
        <x:v>3</x:v>
      </x:c>
      <x:c r="T906" s="35" t="n">
        <x:v>4</x:v>
      </x:c>
      <x:c r="U906" s="35" t="n">
        <x:v>2</x:v>
      </x:c>
      <x:c r="V906" s="35" t="n">
        <x:v>8</x:v>
      </x:c>
      <x:c r="W906" s="35" t="n">
        <x:v>15</x:v>
      </x:c>
      <x:c r="X906" s="35" t="n">
        <x:v>70</x:v>
      </x:c>
      <x:c r="Y906" s="35" t="n">
        <x:v>4</x:v>
      </x:c>
      <x:c r="Z906" s="35" t="n">
        <x:v>100</x:v>
      </x:c>
      <x:c r="AA906" s="35" t="n">
        <x:v>4</x:v>
      </x:c>
      <x:c r="AB906" s="35" t="n">
        <x:v>3</x:v>
      </x:c>
      <x:c r="AC906" s="35" t="n">
        <x:v>2</x:v>
      </x:c>
      <x:c r="AD906" s="35" t="n">
        <x:v>76</x:v>
      </x:c>
      <x:c r="AE906" s="35" t="n">
        <x:v>72</x:v>
      </x:c>
      <x:c r="AF906" s="35" t="n">
        <x:v>79</x:v>
      </x:c>
      <x:c r="AG906" s="35" t="n">
        <x:v>87</x:v>
      </x:c>
      <x:c r="AH906" s="35" t="n">
        <x:v>4</x:v>
      </x:c>
      <x:c r="AI906" s="37" t="n">
        <x:v>100</x:v>
      </x:c>
      <x:c r="AJ906" s="37" t="n">
        <x:v>94.2</x:v>
      </x:c>
      <x:c r="AK906" s="35" t="str">
        <x:v>No</x:v>
      </x:c>
      <x:c r="AL906" s="38" t="n">
        <x:f>IF(AA906=0,0,AB906/AA906)</x:f>
        <x:v>0.75</x:v>
      </x:c>
      <x:c r="AM906" s="38" t="n">
        <x:f>IF(AB906=0,0,AC906/AB906)</x:f>
        <x:v>0.6666666666666666</x:v>
      </x:c>
      <x:c r="AN906" s="37" t="n">
        <x:f>ROUND((AD906*0.20+AE906*0.20+AF906*0.25+AG906*0.15+MIN(100,AC906*12)*0.20),1)</x:f>
        <x:v>67.2</x:v>
      </x:c>
      <x:c r="AO906" s="37" t="n">
        <x:f>ROUND(MAX(0,MIN(100,(X906*0.35)+(W906/45*100*0.20)+((5-O906)/4*100*0.15)+((5-P906)/4*100*0.10)+((6-Y906)/5*100*0.10)+((100-Z906)*0.10))),1)</x:f>
        <x:v>47.7</x:v>
      </x:c>
      <x:c r="AP906" s="37" t="str">
        <x:f>IF(AO906&gt;=70,"High",IF(AO906&gt;=40,"Moderate","Low"))</x:f>
        <x:v>Moderate</x:v>
      </x:c>
      <x:c r="AQ906" s="37" t="n">
        <x:f>ROUND(MAX(0,MIN(100,(O906/4*100*0.25)+(P906/4*100*0.20)+(Q906/4*100*0.15)+(Y906/5*100*0.20)+(100-AO906)*0.20)),1)</x:f>
        <x:v>67.7</x:v>
      </x:c>
      <x:c r="AR906" s="37" t="n">
        <x:f>ROUND((AI906*0.20+AJ906*0.15+AN906*0.18+AG906*0.12+Z906*0.15+AQ906*0.20),1)</x:f>
        <x:v>85.2</x:v>
      </x:c>
      <x:c r="AS906" s="39" t="n">
        <x:f>ROUND((AC906*AF906*120)+(AH906*350)+(MAX(0,AI906-75)*220)+(MAX(0,AQ906-60)*100),0)</x:f>
        <x:v>26630</x:v>
      </x:c>
    </x:row>
    <x:row r="907">
      <x:c r="A907" s="35" t="n">
        <x:v>906</x:v>
      </x:c>
      <x:c r="B907" s="35" t="n">
        <x:v>53</x:v>
      </x:c>
      <x:c r="C907" s="35" t="str">
        <x:v>Male</x:v>
      </x:c>
      <x:c r="D907" s="35" t="str">
        <x:v>Research &amp; Development</x:v>
      </x:c>
      <x:c r="E907" s="35" t="str">
        <x:v>Laboratory Technician</x:v>
      </x:c>
      <x:c r="F907" s="35" t="str">
        <x:v>Computer Science</x:v>
      </x:c>
      <x:c r="G907" s="35" t="str">
        <x:v>Single</x:v>
      </x:c>
      <x:c r="H907" s="35" t="n">
        <x:v>3</x:v>
      </x:c>
      <x:c r="I907" s="36" t="n">
        <x:v>9020</x:v>
      </x:c>
      <x:c r="J907" s="35" t="n">
        <x:v>18</x:v>
      </x:c>
      <x:c r="K907" s="35" t="n">
        <x:v>11</x:v>
      </x:c>
      <x:c r="L907" s="35" t="n">
        <x:v>4</x:v>
      </x:c>
      <x:c r="M907" s="35" t="n">
        <x:v>4</x:v>
      </x:c>
      <x:c r="N907" s="35" t="str">
        <x:v>Yes</x:v>
      </x:c>
      <x:c r="O907" s="35" t="n">
        <x:v>2</x:v>
      </x:c>
      <x:c r="P907" s="35" t="n">
        <x:v>3</x:v>
      </x:c>
      <x:c r="Q907" s="35" t="n">
        <x:v>2</x:v>
      </x:c>
      <x:c r="R907" s="35" t="n">
        <x:v>3</x:v>
      </x:c>
      <x:c r="S907" s="35" t="n">
        <x:v>3</x:v>
      </x:c>
      <x:c r="T907" s="35" t="n">
        <x:v>4</x:v>
      </x:c>
      <x:c r="U907" s="35" t="n">
        <x:v>0</x:v>
      </x:c>
      <x:c r="V907" s="35" t="n">
        <x:v>4</x:v>
      </x:c>
      <x:c r="W907" s="35" t="n">
        <x:v>26</x:v>
      </x:c>
      <x:c r="X907" s="35" t="n">
        <x:v>74</x:v>
      </x:c>
      <x:c r="Y907" s="35" t="n">
        <x:v>3</x:v>
      </x:c>
      <x:c r="Z907" s="35" t="n">
        <x:v>95</x:v>
      </x:c>
      <x:c r="AA907" s="35" t="n">
        <x:v>6</x:v>
      </x:c>
      <x:c r="AB907" s="35" t="n">
        <x:v>4</x:v>
      </x:c>
      <x:c r="AC907" s="35" t="n">
        <x:v>3</x:v>
      </x:c>
      <x:c r="AD907" s="35" t="n">
        <x:v>100</x:v>
      </x:c>
      <x:c r="AE907" s="35" t="n">
        <x:v>63</x:v>
      </x:c>
      <x:c r="AF907" s="35" t="n">
        <x:v>97</x:v>
      </x:c>
      <x:c r="AG907" s="35" t="n">
        <x:v>100</x:v>
      </x:c>
      <x:c r="AH907" s="35" t="n">
        <x:v>8</x:v>
      </x:c>
      <x:c r="AI907" s="37" t="n">
        <x:v>92.4</x:v>
      </x:c>
      <x:c r="AJ907" s="37" t="n">
        <x:v>84.3</x:v>
      </x:c>
      <x:c r="AK907" s="35" t="str">
        <x:v>No</x:v>
      </x:c>
      <x:c r="AL907" s="38" t="n">
        <x:f>IF(AA907=0,0,AB907/AA907)</x:f>
        <x:v>0.6666666666666666</x:v>
      </x:c>
      <x:c r="AM907" s="38" t="n">
        <x:f>IF(AB907=0,0,AC907/AB907)</x:f>
        <x:v>0.75</x:v>
      </x:c>
      <x:c r="AN907" s="37" t="n">
        <x:f>ROUND((AD907*0.20+AE907*0.20+AF907*0.25+AG907*0.15+MIN(100,AC907*12)*0.20),1)</x:f>
        <x:v>79.1</x:v>
      </x:c>
      <x:c r="AO907" s="37" t="n">
        <x:f>ROUND(MAX(0,MIN(100,(X907*0.35)+(W907/45*100*0.20)+((5-O907)/4*100*0.15)+((5-P907)/4*100*0.10)+((6-Y907)/5*100*0.10)+((100-Z907)*0.10))),1)</x:f>
        <x:v>60.2</x:v>
      </x:c>
      <x:c r="AP907" s="37" t="str">
        <x:f>IF(AO907&gt;=70,"High",IF(AO907&gt;=40,"Moderate","Low"))</x:f>
        <x:v>Moderate</x:v>
      </x:c>
      <x:c r="AQ907" s="37" t="n">
        <x:f>ROUND(MAX(0,MIN(100,(O907/4*100*0.25)+(P907/4*100*0.20)+(Q907/4*100*0.15)+(Y907/5*100*0.20)+(100-AO907)*0.20)),1)</x:f>
        <x:v>55</x:v>
      </x:c>
      <x:c r="AR907" s="37" t="n">
        <x:f>ROUND((AI907*0.20+AJ907*0.15+AN907*0.18+AG907*0.12+Z907*0.15+AQ907*0.20),1)</x:f>
        <x:v>82.6</x:v>
      </x:c>
      <x:c r="AS907" s="39" t="n">
        <x:f>ROUND((AC907*AF907*120)+(AH907*350)+(MAX(0,AI907-75)*220)+(MAX(0,AQ907-60)*100),0)</x:f>
        <x:v>41548</x:v>
      </x:c>
    </x:row>
    <x:row r="908">
      <x:c r="A908" s="35" t="n">
        <x:v>907</x:v>
      </x:c>
      <x:c r="B908" s="35" t="n">
        <x:v>29</x:v>
      </x:c>
      <x:c r="C908" s="35" t="str">
        <x:v>Male</x:v>
      </x:c>
      <x:c r="D908" s="35" t="str">
        <x:v>Sales</x:v>
      </x:c>
      <x:c r="E908" s="35" t="str">
        <x:v>Account Manager</x:v>
      </x:c>
      <x:c r="F908" s="35" t="str">
        <x:v>Human Resources</x:v>
      </x:c>
      <x:c r="G908" s="35" t="str">
        <x:v>Married</x:v>
      </x:c>
      <x:c r="H908" s="35" t="n">
        <x:v>1</x:v>
      </x:c>
      <x:c r="I908" s="36" t="n">
        <x:v>6650</x:v>
      </x:c>
      <x:c r="J908" s="35" t="n">
        <x:v>5</x:v>
      </x:c>
      <x:c r="K908" s="35" t="n">
        <x:v>2</x:v>
      </x:c>
      <x:c r="L908" s="35" t="n">
        <x:v>1</x:v>
      </x:c>
      <x:c r="M908" s="35" t="n">
        <x:v>5</x:v>
      </x:c>
      <x:c r="N908" s="35" t="str">
        <x:v>No</x:v>
      </x:c>
      <x:c r="O908" s="35" t="n">
        <x:v>4</x:v>
      </x:c>
      <x:c r="P908" s="35" t="n">
        <x:v>3</x:v>
      </x:c>
      <x:c r="Q908" s="35" t="n">
        <x:v>3</x:v>
      </x:c>
      <x:c r="R908" s="35" t="n">
        <x:v>3</x:v>
      </x:c>
      <x:c r="S908" s="35" t="n">
        <x:v>3</x:v>
      </x:c>
      <x:c r="T908" s="35" t="n">
        <x:v>2</x:v>
      </x:c>
      <x:c r="U908" s="35" t="n">
        <x:v>1</x:v>
      </x:c>
      <x:c r="V908" s="35" t="n">
        <x:v>2</x:v>
      </x:c>
      <x:c r="W908" s="35" t="n">
        <x:v>2</x:v>
      </x:c>
      <x:c r="X908" s="35" t="n">
        <x:v>47</x:v>
      </x:c>
      <x:c r="Y908" s="35" t="n">
        <x:v>5</x:v>
      </x:c>
      <x:c r="Z908" s="35" t="n">
        <x:v>98</x:v>
      </x:c>
      <x:c r="AA908" s="35" t="n">
        <x:v>4</x:v>
      </x:c>
      <x:c r="AB908" s="35" t="n">
        <x:v>2</x:v>
      </x:c>
      <x:c r="AC908" s="35" t="n">
        <x:v>1</x:v>
      </x:c>
      <x:c r="AD908" s="35" t="n">
        <x:v>60</x:v>
      </x:c>
      <x:c r="AE908" s="35" t="n">
        <x:v>79</x:v>
      </x:c>
      <x:c r="AF908" s="35" t="n">
        <x:v>58</x:v>
      </x:c>
      <x:c r="AG908" s="35" t="n">
        <x:v>100</x:v>
      </x:c>
      <x:c r="AH908" s="35" t="n">
        <x:v>5</x:v>
      </x:c>
      <x:c r="AI908" s="37" t="n">
        <x:v>100</x:v>
      </x:c>
      <x:c r="AJ908" s="37" t="n">
        <x:v>90</x:v>
      </x:c>
      <x:c r="AK908" s="35" t="str">
        <x:v>No</x:v>
      </x:c>
      <x:c r="AL908" s="38" t="n">
        <x:f>IF(AA908=0,0,AB908/AA908)</x:f>
        <x:v>0.5</x:v>
      </x:c>
      <x:c r="AM908" s="38" t="n">
        <x:f>IF(AB908=0,0,AC908/AB908)</x:f>
        <x:v>0.5</x:v>
      </x:c>
      <x:c r="AN908" s="37" t="n">
        <x:f>ROUND((AD908*0.20+AE908*0.20+AF908*0.25+AG908*0.15+MIN(100,AC908*12)*0.20),1)</x:f>
        <x:v>59.7</x:v>
      </x:c>
      <x:c r="AO908" s="37" t="n">
        <x:f>ROUND(MAX(0,MIN(100,(X908*0.35)+(W908/45*100*0.20)+((5-O908)/4*100*0.15)+((5-P908)/4*100*0.10)+((6-Y908)/5*100*0.10)+((100-Z908)*0.10))),1)</x:f>
        <x:v>28.3</x:v>
      </x:c>
      <x:c r="AP908" s="37" t="str">
        <x:f>IF(AO908&gt;=70,"High",IF(AO908&gt;=40,"Moderate","Low"))</x:f>
        <x:v>Low</x:v>
      </x:c>
      <x:c r="AQ908" s="37" t="n">
        <x:f>ROUND(MAX(0,MIN(100,(O908/4*100*0.25)+(P908/4*100*0.20)+(Q908/4*100*0.15)+(Y908/5*100*0.20)+(100-AO908)*0.20)),1)</x:f>
        <x:v>85.6</x:v>
      </x:c>
      <x:c r="AR908" s="37" t="n">
        <x:f>ROUND((AI908*0.20+AJ908*0.15+AN908*0.18+AG908*0.12+Z908*0.15+AQ908*0.20),1)</x:f>
        <x:v>88.1</x:v>
      </x:c>
      <x:c r="AS908" s="39" t="n">
        <x:f>ROUND((AC908*AF908*120)+(AH908*350)+(MAX(0,AI908-75)*220)+(MAX(0,AQ908-60)*100),0)</x:f>
        <x:v>16770</x:v>
      </x:c>
    </x:row>
    <x:row r="909">
      <x:c r="A909" s="35" t="n">
        <x:v>908</x:v>
      </x:c>
      <x:c r="B909" s="35" t="n">
        <x:v>25</x:v>
      </x:c>
      <x:c r="C909" s="35" t="str">
        <x:v>Male</x:v>
      </x:c>
      <x:c r="D909" s="35" t="str">
        <x:v>Marketing</x:v>
      </x:c>
      <x:c r="E909" s="35" t="str">
        <x:v>Marketing Specialist</x:v>
      </x:c>
      <x:c r="F909" s="35" t="str">
        <x:v>Computer Science</x:v>
      </x:c>
      <x:c r="G909" s="35" t="str">
        <x:v>Divorced</x:v>
      </x:c>
      <x:c r="H909" s="35" t="n">
        <x:v>1</x:v>
      </x:c>
      <x:c r="I909" s="36" t="n">
        <x:v>5020</x:v>
      </x:c>
      <x:c r="J909" s="35" t="n">
        <x:v>3</x:v>
      </x:c>
      <x:c r="K909" s="35" t="n">
        <x:v>1</x:v>
      </x:c>
      <x:c r="L909" s="35" t="n">
        <x:v>1</x:v>
      </x:c>
      <x:c r="M909" s="35" t="n">
        <x:v>20</x:v>
      </x:c>
      <x:c r="N909" s="35" t="str">
        <x:v>No</x:v>
      </x:c>
      <x:c r="O909" s="35" t="n">
        <x:v>3</x:v>
      </x:c>
      <x:c r="P909" s="35" t="n">
        <x:v>3</x:v>
      </x:c>
      <x:c r="Q909" s="35" t="n">
        <x:v>3</x:v>
      </x:c>
      <x:c r="R909" s="35" t="n">
        <x:v>3</x:v>
      </x:c>
      <x:c r="S909" s="35" t="n">
        <x:v>3</x:v>
      </x:c>
      <x:c r="T909" s="35" t="n">
        <x:v>3</x:v>
      </x:c>
      <x:c r="U909" s="35" t="n">
        <x:v>0</x:v>
      </x:c>
      <x:c r="V909" s="35" t="n">
        <x:v>0</x:v>
      </x:c>
      <x:c r="W909" s="35" t="n">
        <x:v>1</x:v>
      </x:c>
      <x:c r="X909" s="35" t="n">
        <x:v>64</x:v>
      </x:c>
      <x:c r="Y909" s="35" t="n">
        <x:v>5</x:v>
      </x:c>
      <x:c r="Z909" s="35" t="n">
        <x:v>100</x:v>
      </x:c>
      <x:c r="AA909" s="35" t="n">
        <x:v>11</x:v>
      </x:c>
      <x:c r="AB909" s="35" t="n">
        <x:v>9</x:v>
      </x:c>
      <x:c r="AC909" s="35" t="n">
        <x:v>6</x:v>
      </x:c>
      <x:c r="AD909" s="35" t="n">
        <x:v>78</x:v>
      </x:c>
      <x:c r="AE909" s="35" t="n">
        <x:v>78</x:v>
      </x:c>
      <x:c r="AF909" s="35" t="n">
        <x:v>69</x:v>
      </x:c>
      <x:c r="AG909" s="35" t="n">
        <x:v>100</x:v>
      </x:c>
      <x:c r="AH909" s="35" t="n">
        <x:v>8</x:v>
      </x:c>
      <x:c r="AI909" s="37" t="n">
        <x:v>83.5</x:v>
      </x:c>
      <x:c r="AJ909" s="37" t="n">
        <x:v>91.7</x:v>
      </x:c>
      <x:c r="AK909" s="35" t="str">
        <x:v>No</x:v>
      </x:c>
      <x:c r="AL909" s="38" t="n">
        <x:f>IF(AA909=0,0,AB909/AA909)</x:f>
        <x:v>0.8181818181818182</x:v>
      </x:c>
      <x:c r="AM909" s="38" t="n">
        <x:f>IF(AB909=0,0,AC909/AB909)</x:f>
        <x:v>0.6666666666666666</x:v>
      </x:c>
      <x:c r="AN909" s="37" t="n">
        <x:f>ROUND((AD909*0.20+AE909*0.20+AF909*0.25+AG909*0.15+MIN(100,AC909*12)*0.20),1)</x:f>
        <x:v>77.9</x:v>
      </x:c>
      <x:c r="AO909" s="37" t="n">
        <x:f>ROUND(MAX(0,MIN(100,(X909*0.35)+(W909/45*100*0.20)+((5-O909)/4*100*0.15)+((5-P909)/4*100*0.10)+((6-Y909)/5*100*0.10)+((100-Z909)*0.10))),1)</x:f>
        <x:v>37.3</x:v>
      </x:c>
      <x:c r="AP909" s="37" t="str">
        <x:f>IF(AO909&gt;=70,"High",IF(AO909&gt;=40,"Moderate","Low"))</x:f>
        <x:v>Low</x:v>
      </x:c>
      <x:c r="AQ909" s="37" t="n">
        <x:f>ROUND(MAX(0,MIN(100,(O909/4*100*0.25)+(P909/4*100*0.20)+(Q909/4*100*0.15)+(Y909/5*100*0.20)+(100-AO909)*0.20)),1)</x:f>
        <x:v>77.5</x:v>
      </x:c>
      <x:c r="AR909" s="37" t="n">
        <x:f>ROUND((AI909*0.20+AJ909*0.15+AN909*0.18+AG909*0.12+Z909*0.15+AQ909*0.20),1)</x:f>
        <x:v>87</x:v>
      </x:c>
      <x:c r="AS909" s="39" t="n">
        <x:f>ROUND((AC909*AF909*120)+(AH909*350)+(MAX(0,AI909-75)*220)+(MAX(0,AQ909-60)*100),0)</x:f>
        <x:v>56100</x:v>
      </x:c>
    </x:row>
    <x:row r="910">
      <x:c r="A910" s="35" t="n">
        <x:v>909</x:v>
      </x:c>
      <x:c r="B910" s="35" t="n">
        <x:v>23</x:v>
      </x:c>
      <x:c r="C910" s="35" t="str">
        <x:v>Female</x:v>
      </x:c>
      <x:c r="D910" s="35" t="str">
        <x:v>Sales</x:v>
      </x:c>
      <x:c r="E910" s="35" t="str">
        <x:v>Account Manager</x:v>
      </x:c>
      <x:c r="F910" s="35" t="str">
        <x:v>Business</x:v>
      </x:c>
      <x:c r="G910" s="35" t="str">
        <x:v>Divorced</x:v>
      </x:c>
      <x:c r="H910" s="35" t="n">
        <x:v>1</x:v>
      </x:c>
      <x:c r="I910" s="36" t="n">
        <x:v>6270</x:v>
      </x:c>
      <x:c r="J910" s="35" t="n">
        <x:v>2</x:v>
      </x:c>
      <x:c r="K910" s="35" t="n">
        <x:v>1</x:v>
      </x:c>
      <x:c r="L910" s="35" t="n">
        <x:v>0</x:v>
      </x:c>
      <x:c r="M910" s="35" t="n">
        <x:v>18</x:v>
      </x:c>
      <x:c r="N910" s="35" t="str">
        <x:v>No</x:v>
      </x:c>
      <x:c r="O910" s="35" t="n">
        <x:v>2</x:v>
      </x:c>
      <x:c r="P910" s="35" t="n">
        <x:v>2</x:v>
      </x:c>
      <x:c r="Q910" s="35" t="n">
        <x:v>3</x:v>
      </x:c>
      <x:c r="R910" s="35" t="n">
        <x:v>4</x:v>
      </x:c>
      <x:c r="S910" s="35" t="n">
        <x:v>3</x:v>
      </x:c>
      <x:c r="T910" s="35" t="n">
        <x:v>3</x:v>
      </x:c>
      <x:c r="U910" s="35" t="n">
        <x:v>0</x:v>
      </x:c>
      <x:c r="V910" s="35" t="n">
        <x:v>5</x:v>
      </x:c>
      <x:c r="W910" s="35" t="n">
        <x:v>0</x:v>
      </x:c>
      <x:c r="X910" s="35" t="n">
        <x:v>73</x:v>
      </x:c>
      <x:c r="Y910" s="35" t="n">
        <x:v>4</x:v>
      </x:c>
      <x:c r="Z910" s="35" t="n">
        <x:v>100</x:v>
      </x:c>
      <x:c r="AA910" s="35" t="n">
        <x:v>5</x:v>
      </x:c>
      <x:c r="AB910" s="35" t="n">
        <x:v>5</x:v>
      </x:c>
      <x:c r="AC910" s="35" t="n">
        <x:v>3</x:v>
      </x:c>
      <x:c r="AD910" s="35" t="n">
        <x:v>59</x:v>
      </x:c>
      <x:c r="AE910" s="35" t="n">
        <x:v>83</x:v>
      </x:c>
      <x:c r="AF910" s="35" t="n">
        <x:v>55</x:v>
      </x:c>
      <x:c r="AG910" s="35" t="n">
        <x:v>100</x:v>
      </x:c>
      <x:c r="AH910" s="35" t="n">
        <x:v>7</x:v>
      </x:c>
      <x:c r="AI910" s="37" t="n">
        <x:v>99.9</x:v>
      </x:c>
      <x:c r="AJ910" s="37" t="n">
        <x:v>95.5</x:v>
      </x:c>
      <x:c r="AK910" s="35" t="str">
        <x:v>Yes</x:v>
      </x:c>
      <x:c r="AL910" s="38" t="n">
        <x:f>IF(AA910=0,0,AB910/AA910)</x:f>
        <x:v>1</x:v>
      </x:c>
      <x:c r="AM910" s="38" t="n">
        <x:f>IF(AB910=0,0,AC910/AB910)</x:f>
        <x:v>0.6</x:v>
      </x:c>
      <x:c r="AN910" s="37" t="n">
        <x:f>ROUND((AD910*0.20+AE910*0.20+AF910*0.25+AG910*0.15+MIN(100,AC910*12)*0.20),1)</x:f>
        <x:v>64.4</x:v>
      </x:c>
      <x:c r="AO910" s="37" t="n">
        <x:f>ROUND(MAX(0,MIN(100,(X910*0.35)+(W910/45*100*0.20)+((5-O910)/4*100*0.15)+((5-P910)/4*100*0.10)+((6-Y910)/5*100*0.10)+((100-Z910)*0.10))),1)</x:f>
        <x:v>48.3</x:v>
      </x:c>
      <x:c r="AP910" s="37" t="str">
        <x:f>IF(AO910&gt;=70,"High",IF(AO910&gt;=40,"Moderate","Low"))</x:f>
        <x:v>Moderate</x:v>
      </x:c>
      <x:c r="AQ910" s="37" t="n">
        <x:f>ROUND(MAX(0,MIN(100,(O910/4*100*0.25)+(P910/4*100*0.20)+(Q910/4*100*0.15)+(Y910/5*100*0.20)+(100-AO910)*0.20)),1)</x:f>
        <x:v>60.1</x:v>
      </x:c>
      <x:c r="AR910" s="37" t="n">
        <x:f>ROUND((AI910*0.20+AJ910*0.15+AN910*0.18+AG910*0.12+Z910*0.15+AQ910*0.20),1)</x:f>
        <x:v>84.9</x:v>
      </x:c>
      <x:c r="AS910" s="39" t="n">
        <x:f>ROUND((AC910*AF910*120)+(AH910*350)+(MAX(0,AI910-75)*220)+(MAX(0,AQ910-60)*100),0)</x:f>
        <x:v>27738</x:v>
      </x:c>
    </x:row>
    <x:row r="911">
      <x:c r="A911" s="35" t="n">
        <x:v>910</x:v>
      </x:c>
      <x:c r="B911" s="35" t="n">
        <x:v>48</x:v>
      </x:c>
      <x:c r="C911" s="35" t="str">
        <x:v>Male</x:v>
      </x:c>
      <x:c r="D911" s="35" t="str">
        <x:v>Finance</x:v>
      </x:c>
      <x:c r="E911" s="35" t="str">
        <x:v>Financial Analyst</x:v>
      </x:c>
      <x:c r="F911" s="35" t="str">
        <x:v>Human Resources</x:v>
      </x:c>
      <x:c r="G911" s="35" t="str">
        <x:v>Single</x:v>
      </x:c>
      <x:c r="H911" s="35" t="n">
        <x:v>5</x:v>
      </x:c>
      <x:c r="I911" s="36" t="n">
        <x:v>32630</x:v>
      </x:c>
      <x:c r="J911" s="35" t="n">
        <x:v>16</x:v>
      </x:c>
      <x:c r="K911" s="35" t="n">
        <x:v>6</x:v>
      </x:c>
      <x:c r="L911" s="35" t="n">
        <x:v>4</x:v>
      </x:c>
      <x:c r="M911" s="35" t="n">
        <x:v>7</x:v>
      </x:c>
      <x:c r="N911" s="35" t="str">
        <x:v>Yes</x:v>
      </x:c>
      <x:c r="O911" s="35" t="n">
        <x:v>3</x:v>
      </x:c>
      <x:c r="P911" s="35" t="n">
        <x:v>2</x:v>
      </x:c>
      <x:c r="Q911" s="35" t="n">
        <x:v>3</x:v>
      </x:c>
      <x:c r="R911" s="35" t="n">
        <x:v>4</x:v>
      </x:c>
      <x:c r="S911" s="35" t="n">
        <x:v>3</x:v>
      </x:c>
      <x:c r="T911" s="35" t="n">
        <x:v>5</x:v>
      </x:c>
      <x:c r="U911" s="35" t="n">
        <x:v>2</x:v>
      </x:c>
      <x:c r="V911" s="35" t="n">
        <x:v>14</x:v>
      </x:c>
      <x:c r="W911" s="35" t="n">
        <x:v>30</x:v>
      </x:c>
      <x:c r="X911" s="35" t="n">
        <x:v>77</x:v>
      </x:c>
      <x:c r="Y911" s="35" t="n">
        <x:v>4</x:v>
      </x:c>
      <x:c r="Z911" s="35" t="n">
        <x:v>99</x:v>
      </x:c>
      <x:c r="AA911" s="35" t="n">
        <x:v>4</x:v>
      </x:c>
      <x:c r="AB911" s="35" t="n">
        <x:v>2</x:v>
      </x:c>
      <x:c r="AC911" s="35" t="n">
        <x:v>2</x:v>
      </x:c>
      <x:c r="AD911" s="35" t="n">
        <x:v>63</x:v>
      </x:c>
      <x:c r="AE911" s="35" t="n">
        <x:v>89</x:v>
      </x:c>
      <x:c r="AF911" s="35" t="n">
        <x:v>76</x:v>
      </x:c>
      <x:c r="AG911" s="35" t="n">
        <x:v>100</x:v>
      </x:c>
      <x:c r="AH911" s="35" t="n">
        <x:v>5</x:v>
      </x:c>
      <x:c r="AI911" s="37" t="n">
        <x:v>99.3</x:v>
      </x:c>
      <x:c r="AJ911" s="37" t="n">
        <x:v>87.7</x:v>
      </x:c>
      <x:c r="AK911" s="35" t="str">
        <x:v>Yes</x:v>
      </x:c>
      <x:c r="AL911" s="38" t="n">
        <x:f>IF(AA911=0,0,AB911/AA911)</x:f>
        <x:v>0.5</x:v>
      </x:c>
      <x:c r="AM911" s="38" t="n">
        <x:f>IF(AB911=0,0,AC911/AB911)</x:f>
        <x:v>1</x:v>
      </x:c>
      <x:c r="AN911" s="37" t="n">
        <x:f>ROUND((AD911*0.20+AE911*0.20+AF911*0.25+AG911*0.15+MIN(100,AC911*12)*0.20),1)</x:f>
        <x:v>69.2</x:v>
      </x:c>
      <x:c r="AO911" s="37" t="n">
        <x:f>ROUND(MAX(0,MIN(100,(X911*0.35)+(W911/45*100*0.20)+((5-O911)/4*100*0.15)+((5-P911)/4*100*0.10)+((6-Y911)/5*100*0.10)+((100-Z911)*0.10))),1)</x:f>
        <x:v>59.4</x:v>
      </x:c>
      <x:c r="AP911" s="37" t="str">
        <x:f>IF(AO911&gt;=70,"High",IF(AO911&gt;=40,"Moderate","Low"))</x:f>
        <x:v>Moderate</x:v>
      </x:c>
      <x:c r="AQ911" s="37" t="n">
        <x:f>ROUND(MAX(0,MIN(100,(O911/4*100*0.25)+(P911/4*100*0.20)+(Q911/4*100*0.15)+(Y911/5*100*0.20)+(100-AO911)*0.20)),1)</x:f>
        <x:v>64.1</x:v>
      </x:c>
      <x:c r="AR911" s="37" t="n">
        <x:f>ROUND((AI911*0.20+AJ911*0.15+AN911*0.18+AG911*0.12+Z911*0.15+AQ911*0.20),1)</x:f>
        <x:v>85.1</x:v>
      </x:c>
      <x:c r="AS911" s="39" t="n">
        <x:f>ROUND((AC911*AF911*120)+(AH911*350)+(MAX(0,AI911-75)*220)+(MAX(0,AQ911-60)*100),0)</x:f>
        <x:v>25746</x:v>
      </x:c>
    </x:row>
    <x:row r="912">
      <x:c r="A912" s="35" t="n">
        <x:v>911</x:v>
      </x:c>
      <x:c r="B912" s="35" t="n">
        <x:v>43</x:v>
      </x:c>
      <x:c r="C912" s="35" t="str">
        <x:v>Male</x:v>
      </x:c>
      <x:c r="D912" s="35" t="str">
        <x:v>Information Technology</x:v>
      </x:c>
      <x:c r="E912" s="35" t="str">
        <x:v>IT Support</x:v>
      </x:c>
      <x:c r="F912" s="35" t="str">
        <x:v>Computer Science</x:v>
      </x:c>
      <x:c r="G912" s="35" t="str">
        <x:v>Married</x:v>
      </x:c>
      <x:c r="H912" s="35" t="n">
        <x:v>3</x:v>
      </x:c>
      <x:c r="I912" s="36" t="n">
        <x:v>9080</x:v>
      </x:c>
      <x:c r="J912" s="35" t="n">
        <x:v>15</x:v>
      </x:c>
      <x:c r="K912" s="35" t="n">
        <x:v>7</x:v>
      </x:c>
      <x:c r="L912" s="35" t="n">
        <x:v>2</x:v>
      </x:c>
      <x:c r="M912" s="35" t="n">
        <x:v>4</x:v>
      </x:c>
      <x:c r="N912" s="35" t="str">
        <x:v>No</x:v>
      </x:c>
      <x:c r="O912" s="35" t="n">
        <x:v>2</x:v>
      </x:c>
      <x:c r="P912" s="35" t="n">
        <x:v>2</x:v>
      </x:c>
      <x:c r="Q912" s="35" t="n">
        <x:v>4</x:v>
      </x:c>
      <x:c r="R912" s="35" t="n">
        <x:v>3</x:v>
      </x:c>
      <x:c r="S912" s="35" t="n">
        <x:v>3</x:v>
      </x:c>
      <x:c r="T912" s="35" t="n">
        <x:v>1</x:v>
      </x:c>
      <x:c r="U912" s="35" t="n">
        <x:v>2</x:v>
      </x:c>
      <x:c r="V912" s="35" t="n">
        <x:v>0</x:v>
      </x:c>
      <x:c r="W912" s="35" t="n">
        <x:v>14</x:v>
      </x:c>
      <x:c r="X912" s="35" t="n">
        <x:v>78</x:v>
      </x:c>
      <x:c r="Y912" s="35" t="n">
        <x:v>4</x:v>
      </x:c>
      <x:c r="Z912" s="35" t="n">
        <x:v>95</x:v>
      </x:c>
      <x:c r="AA912" s="35" t="n">
        <x:v>1</x:v>
      </x:c>
      <x:c r="AB912" s="35" t="n">
        <x:v>0</x:v>
      </x:c>
      <x:c r="AC912" s="35" t="n">
        <x:v>0</x:v>
      </x:c>
      <x:c r="AD912" s="35" t="n">
        <x:v>90</x:v>
      </x:c>
      <x:c r="AE912" s="35" t="n">
        <x:v>80</x:v>
      </x:c>
      <x:c r="AF912" s="35" t="n">
        <x:v>54</x:v>
      </x:c>
      <x:c r="AG912" s="35" t="n">
        <x:v>90</x:v>
      </x:c>
      <x:c r="AH912" s="35" t="n">
        <x:v>4</x:v>
      </x:c>
      <x:c r="AI912" s="37" t="n">
        <x:v>97.8</x:v>
      </x:c>
      <x:c r="AJ912" s="37" t="n">
        <x:v>90.2</x:v>
      </x:c>
      <x:c r="AK912" s="35" t="str">
        <x:v>No</x:v>
      </x:c>
      <x:c r="AL912" s="38" t="n">
        <x:f>IF(AA912=0,0,AB912/AA912)</x:f>
        <x:v>0</x:v>
      </x:c>
      <x:c r="AM912" s="38" t="n">
        <x:f>IF(AB912=0,0,AC912/AB912)</x:f>
        <x:v>0</x:v>
      </x:c>
      <x:c r="AN912" s="37" t="n">
        <x:f>ROUND((AD912*0.20+AE912*0.20+AF912*0.25+AG912*0.15+MIN(100,AC912*12)*0.20),1)</x:f>
        <x:v>61</x:v>
      </x:c>
      <x:c r="AO912" s="37" t="n">
        <x:f>ROUND(MAX(0,MIN(100,(X912*0.35)+(W912/45*100*0.20)+((5-O912)/4*100*0.15)+((5-P912)/4*100*0.10)+((6-Y912)/5*100*0.10)+((100-Z912)*0.10))),1)</x:f>
        <x:v>56.8</x:v>
      </x:c>
      <x:c r="AP912" s="37" t="str">
        <x:f>IF(AO912&gt;=70,"High",IF(AO912&gt;=40,"Moderate","Low"))</x:f>
        <x:v>Moderate</x:v>
      </x:c>
      <x:c r="AQ912" s="37" t="n">
        <x:f>ROUND(MAX(0,MIN(100,(O912/4*100*0.25)+(P912/4*100*0.20)+(Q912/4*100*0.15)+(Y912/5*100*0.20)+(100-AO912)*0.20)),1)</x:f>
        <x:v>62.1</x:v>
      </x:c>
      <x:c r="AR912" s="37" t="n">
        <x:f>ROUND((AI912*0.20+AJ912*0.15+AN912*0.18+AG912*0.12+Z912*0.15+AQ912*0.20),1)</x:f>
        <x:v>81.5</x:v>
      </x:c>
      <x:c r="AS912" s="39" t="n">
        <x:f>ROUND((AC912*AF912*120)+(AH912*350)+(MAX(0,AI912-75)*220)+(MAX(0,AQ912-60)*100),0)</x:f>
        <x:v>6626</x:v>
      </x:c>
    </x:row>
    <x:row r="913">
      <x:c r="A913" s="35" t="n">
        <x:v>912</x:v>
      </x:c>
      <x:c r="B913" s="35" t="n">
        <x:v>35</x:v>
      </x:c>
      <x:c r="C913" s="35" t="str">
        <x:v>Male</x:v>
      </x:c>
      <x:c r="D913" s="35" t="str">
        <x:v>Operations</x:v>
      </x:c>
      <x:c r="E913" s="35" t="str">
        <x:v>Operations Manager</x:v>
      </x:c>
      <x:c r="F913" s="35" t="str">
        <x:v>Medical</x:v>
      </x:c>
      <x:c r="G913" s="35" t="str">
        <x:v>Married</x:v>
      </x:c>
      <x:c r="H913" s="35" t="n">
        <x:v>2</x:v>
      </x:c>
      <x:c r="I913" s="36" t="n">
        <x:v>11440</x:v>
      </x:c>
      <x:c r="J913" s="35" t="n">
        <x:v>12</x:v>
      </x:c>
      <x:c r="K913" s="35" t="n">
        <x:v>6</x:v>
      </x:c>
      <x:c r="L913" s="35" t="n">
        <x:v>2</x:v>
      </x:c>
      <x:c r="M913" s="35" t="n">
        <x:v>1</x:v>
      </x:c>
      <x:c r="N913" s="35" t="str">
        <x:v>No</x:v>
      </x:c>
      <x:c r="O913" s="35" t="n">
        <x:v>2</x:v>
      </x:c>
      <x:c r="P913" s="35" t="n">
        <x:v>3</x:v>
      </x:c>
      <x:c r="Q913" s="35" t="n">
        <x:v>3</x:v>
      </x:c>
      <x:c r="R913" s="35" t="n">
        <x:v>4</x:v>
      </x:c>
      <x:c r="S913" s="35" t="n">
        <x:v>3</x:v>
      </x:c>
      <x:c r="T913" s="35" t="n">
        <x:v>5</x:v>
      </x:c>
      <x:c r="U913" s="35" t="n">
        <x:v>2</x:v>
      </x:c>
      <x:c r="V913" s="35" t="n">
        <x:v>9</x:v>
      </x:c>
      <x:c r="W913" s="35" t="n">
        <x:v>4</x:v>
      </x:c>
      <x:c r="X913" s="35" t="n">
        <x:v>58</x:v>
      </x:c>
      <x:c r="Y913" s="35" t="n">
        <x:v>5</x:v>
      </x:c>
      <x:c r="Z913" s="35" t="n">
        <x:v>100</x:v>
      </x:c>
      <x:c r="AA913" s="35" t="n">
        <x:v>7</x:v>
      </x:c>
      <x:c r="AB913" s="35" t="n">
        <x:v>4</x:v>
      </x:c>
      <x:c r="AC913" s="35" t="n">
        <x:v>3</x:v>
      </x:c>
      <x:c r="AD913" s="35" t="n">
        <x:v>51</x:v>
      </x:c>
      <x:c r="AE913" s="35" t="n">
        <x:v>78</x:v>
      </x:c>
      <x:c r="AF913" s="35" t="n">
        <x:v>74</x:v>
      </x:c>
      <x:c r="AG913" s="35" t="n">
        <x:v>100</x:v>
      </x:c>
      <x:c r="AH913" s="35" t="n">
        <x:v>6</x:v>
      </x:c>
      <x:c r="AI913" s="37" t="n">
        <x:v>96.1</x:v>
      </x:c>
      <x:c r="AJ913" s="37" t="n">
        <x:v>91.9</x:v>
      </x:c>
      <x:c r="AK913" s="35" t="str">
        <x:v>No</x:v>
      </x:c>
      <x:c r="AL913" s="38" t="n">
        <x:f>IF(AA913=0,0,AB913/AA913)</x:f>
        <x:v>0.5714285714285714</x:v>
      </x:c>
      <x:c r="AM913" s="38" t="n">
        <x:f>IF(AB913=0,0,AC913/AB913)</x:f>
        <x:v>0.75</x:v>
      </x:c>
      <x:c r="AN913" s="37" t="n">
        <x:f>ROUND((AD913*0.20+AE913*0.20+AF913*0.25+AG913*0.15+MIN(100,AC913*12)*0.20),1)</x:f>
        <x:v>66.5</x:v>
      </x:c>
      <x:c r="AO913" s="37" t="n">
        <x:f>ROUND(MAX(0,MIN(100,(X913*0.35)+(W913/45*100*0.20)+((5-O913)/4*100*0.15)+((5-P913)/4*100*0.10)+((6-Y913)/5*100*0.10)+((100-Z913)*0.10))),1)</x:f>
        <x:v>40.3</x:v>
      </x:c>
      <x:c r="AP913" s="37" t="str">
        <x:f>IF(AO913&gt;=70,"High",IF(AO913&gt;=40,"Moderate","Low"))</x:f>
        <x:v>Moderate</x:v>
      </x:c>
      <x:c r="AQ913" s="37" t="n">
        <x:f>ROUND(MAX(0,MIN(100,(O913/4*100*0.25)+(P913/4*100*0.20)+(Q913/4*100*0.15)+(Y913/5*100*0.20)+(100-AO913)*0.20)),1)</x:f>
        <x:v>70.7</x:v>
      </x:c>
      <x:c r="AR913" s="37" t="n">
        <x:f>ROUND((AI913*0.20+AJ913*0.15+AN913*0.18+AG913*0.12+Z913*0.15+AQ913*0.20),1)</x:f>
        <x:v>86.1</x:v>
      </x:c>
      <x:c r="AS913" s="39" t="n">
        <x:f>ROUND((AC913*AF913*120)+(AH913*350)+(MAX(0,AI913-75)*220)+(MAX(0,AQ913-60)*100),0)</x:f>
        <x:v>34452</x:v>
      </x:c>
    </x:row>
    <x:row r="914">
      <x:c r="A914" s="35" t="n">
        <x:v>913</x:v>
      </x:c>
      <x:c r="B914" s="35" t="n">
        <x:v>40</x:v>
      </x:c>
      <x:c r="C914" s="35" t="str">
        <x:v>Female</x:v>
      </x:c>
      <x:c r="D914" s="35" t="str">
        <x:v>Information Technology</x:v>
      </x:c>
      <x:c r="E914" s="35" t="str">
        <x:v>Systems Analyst</x:v>
      </x:c>
      <x:c r="F914" s="35" t="str">
        <x:v>Computer Science</x:v>
      </x:c>
      <x:c r="G914" s="35" t="str">
        <x:v>Divorced</x:v>
      </x:c>
      <x:c r="H914" s="35" t="n">
        <x:v>3</x:v>
      </x:c>
      <x:c r="I914" s="36" t="n">
        <x:v>12970</x:v>
      </x:c>
      <x:c r="J914" s="35" t="n">
        <x:v>13</x:v>
      </x:c>
      <x:c r="K914" s="35" t="n">
        <x:v>6</x:v>
      </x:c>
      <x:c r="L914" s="35" t="n">
        <x:v>5</x:v>
      </x:c>
      <x:c r="M914" s="35" t="n">
        <x:v>4</x:v>
      </x:c>
      <x:c r="N914" s="35" t="str">
        <x:v>No</x:v>
      </x:c>
      <x:c r="O914" s="35" t="n">
        <x:v>3</x:v>
      </x:c>
      <x:c r="P914" s="35" t="n">
        <x:v>3</x:v>
      </x:c>
      <x:c r="Q914" s="35" t="n">
        <x:v>3</x:v>
      </x:c>
      <x:c r="R914" s="35" t="n">
        <x:v>2</x:v>
      </x:c>
      <x:c r="S914" s="35" t="n">
        <x:v>4</x:v>
      </x:c>
      <x:c r="T914" s="35" t="n">
        <x:v>2</x:v>
      </x:c>
      <x:c r="U914" s="35" t="n">
        <x:v>1</x:v>
      </x:c>
      <x:c r="V914" s="35" t="n">
        <x:v>10</x:v>
      </x:c>
      <x:c r="W914" s="35" t="n">
        <x:v>5</x:v>
      </x:c>
      <x:c r="X914" s="35" t="n">
        <x:v>69</x:v>
      </x:c>
      <x:c r="Y914" s="35" t="n">
        <x:v>4</x:v>
      </x:c>
      <x:c r="Z914" s="35" t="n">
        <x:v>76</x:v>
      </x:c>
      <x:c r="AA914" s="35" t="n">
        <x:v>2</x:v>
      </x:c>
      <x:c r="AB914" s="35" t="n">
        <x:v>1</x:v>
      </x:c>
      <x:c r="AC914" s="35" t="n">
        <x:v>1</x:v>
      </x:c>
      <x:c r="AD914" s="35" t="n">
        <x:v>63</x:v>
      </x:c>
      <x:c r="AE914" s="35" t="n">
        <x:v>77</x:v>
      </x:c>
      <x:c r="AF914" s="35" t="n">
        <x:v>79</x:v>
      </x:c>
      <x:c r="AG914" s="35" t="n">
        <x:v>84</x:v>
      </x:c>
      <x:c r="AH914" s="35" t="n">
        <x:v>9</x:v>
      </x:c>
      <x:c r="AI914" s="37" t="n">
        <x:v>100</x:v>
      </x:c>
      <x:c r="AJ914" s="37" t="n">
        <x:v>92.1</x:v>
      </x:c>
      <x:c r="AK914" s="35" t="str">
        <x:v>No</x:v>
      </x:c>
      <x:c r="AL914" s="38" t="n">
        <x:f>IF(AA914=0,0,AB914/AA914)</x:f>
        <x:v>0.5</x:v>
      </x:c>
      <x:c r="AM914" s="38" t="n">
        <x:f>IF(AB914=0,0,AC914/AB914)</x:f>
        <x:v>1</x:v>
      </x:c>
      <x:c r="AN914" s="37" t="n">
        <x:f>ROUND((AD914*0.20+AE914*0.20+AF914*0.25+AG914*0.15+MIN(100,AC914*12)*0.20),1)</x:f>
        <x:v>62.8</x:v>
      </x:c>
      <x:c r="AO914" s="37" t="n">
        <x:f>ROUND(MAX(0,MIN(100,(X914*0.35)+(W914/45*100*0.20)+((5-O914)/4*100*0.15)+((5-P914)/4*100*0.10)+((6-Y914)/5*100*0.10)+((100-Z914)*0.10))),1)</x:f>
        <x:v>45.3</x:v>
      </x:c>
      <x:c r="AP914" s="37" t="str">
        <x:f>IF(AO914&gt;=70,"High",IF(AO914&gt;=40,"Moderate","Low"))</x:f>
        <x:v>Moderate</x:v>
      </x:c>
      <x:c r="AQ914" s="37" t="n">
        <x:f>ROUND(MAX(0,MIN(100,(O914/4*100*0.25)+(P914/4*100*0.20)+(Q914/4*100*0.15)+(Y914/5*100*0.20)+(100-AO914)*0.20)),1)</x:f>
        <x:v>71.9</x:v>
      </x:c>
      <x:c r="AR914" s="37" t="n">
        <x:f>ROUND((AI914*0.20+AJ914*0.15+AN914*0.18+AG914*0.12+Z914*0.15+AQ914*0.20),1)</x:f>
        <x:v>81</x:v>
      </x:c>
      <x:c r="AS914" s="39" t="n">
        <x:f>ROUND((AC914*AF914*120)+(AH914*350)+(MAX(0,AI914-75)*220)+(MAX(0,AQ914-60)*100),0)</x:f>
        <x:v>19320</x:v>
      </x:c>
    </x:row>
    <x:row r="915">
      <x:c r="A915" s="35" t="n">
        <x:v>914</x:v>
      </x:c>
      <x:c r="B915" s="35" t="n">
        <x:v>45</x:v>
      </x:c>
      <x:c r="C915" s="35" t="str">
        <x:v>Male</x:v>
      </x:c>
      <x:c r="D915" s="35" t="str">
        <x:v>Information Technology</x:v>
      </x:c>
      <x:c r="E915" s="35" t="str">
        <x:v>IT Manager</x:v>
      </x:c>
      <x:c r="F915" s="35" t="str">
        <x:v>Medical</x:v>
      </x:c>
      <x:c r="G915" s="35" t="str">
        <x:v>Married</x:v>
      </x:c>
      <x:c r="H915" s="35" t="n">
        <x:v>3</x:v>
      </x:c>
      <x:c r="I915" s="36" t="n">
        <x:v>9730</x:v>
      </x:c>
      <x:c r="J915" s="35" t="n">
        <x:v>17</x:v>
      </x:c>
      <x:c r="K915" s="35" t="n">
        <x:v>9</x:v>
      </x:c>
      <x:c r="L915" s="35" t="n">
        <x:v>7</x:v>
      </x:c>
      <x:c r="M915" s="35" t="n">
        <x:v>1</x:v>
      </x:c>
      <x:c r="N915" s="35" t="str">
        <x:v>Yes</x:v>
      </x:c>
      <x:c r="O915" s="35" t="n">
        <x:v>3</x:v>
      </x:c>
      <x:c r="P915" s="35" t="n">
        <x:v>3</x:v>
      </x:c>
      <x:c r="Q915" s="35" t="n">
        <x:v>4</x:v>
      </x:c>
      <x:c r="R915" s="35" t="n">
        <x:v>3</x:v>
      </x:c>
      <x:c r="S915" s="35" t="n">
        <x:v>3</x:v>
      </x:c>
      <x:c r="T915" s="35" t="n">
        <x:v>4</x:v>
      </x:c>
      <x:c r="U915" s="35" t="n">
        <x:v>0</x:v>
      </x:c>
      <x:c r="V915" s="35" t="n">
        <x:v>0</x:v>
      </x:c>
      <x:c r="W915" s="35" t="n">
        <x:v>26</x:v>
      </x:c>
      <x:c r="X915" s="35" t="n">
        <x:v>76</x:v>
      </x:c>
      <x:c r="Y915" s="35" t="n">
        <x:v>4</x:v>
      </x:c>
      <x:c r="Z915" s="35" t="n">
        <x:v>81</x:v>
      </x:c>
      <x:c r="AA915" s="35" t="n">
        <x:v>7</x:v>
      </x:c>
      <x:c r="AB915" s="35" t="n">
        <x:v>5</x:v>
      </x:c>
      <x:c r="AC915" s="35" t="n">
        <x:v>3</x:v>
      </x:c>
      <x:c r="AD915" s="35" t="n">
        <x:v>82</x:v>
      </x:c>
      <x:c r="AE915" s="35" t="n">
        <x:v>82</x:v>
      </x:c>
      <x:c r="AF915" s="35" t="n">
        <x:v>50</x:v>
      </x:c>
      <x:c r="AG915" s="35" t="n">
        <x:v>100</x:v>
      </x:c>
      <x:c r="AH915" s="35" t="n">
        <x:v>9</x:v>
      </x:c>
      <x:c r="AI915" s="37" t="n">
        <x:v>86.5</x:v>
      </x:c>
      <x:c r="AJ915" s="37" t="n">
        <x:v>88.7</x:v>
      </x:c>
      <x:c r="AK915" s="35" t="str">
        <x:v>No</x:v>
      </x:c>
      <x:c r="AL915" s="38" t="n">
        <x:f>IF(AA915=0,0,AB915/AA915)</x:f>
        <x:v>0.7142857142857143</x:v>
      </x:c>
      <x:c r="AM915" s="38" t="n">
        <x:f>IF(AB915=0,0,AC915/AB915)</x:f>
        <x:v>0.6</x:v>
      </x:c>
      <x:c r="AN915" s="37" t="n">
        <x:f>ROUND((AD915*0.20+AE915*0.20+AF915*0.25+AG915*0.15+MIN(100,AC915*12)*0.20),1)</x:f>
        <x:v>67.5</x:v>
      </x:c>
      <x:c r="AO915" s="37" t="n">
        <x:f>ROUND(MAX(0,MIN(100,(X915*0.35)+(W915/45*100*0.20)+((5-O915)/4*100*0.15)+((5-P915)/4*100*0.10)+((6-Y915)/5*100*0.10)+((100-Z915)*0.10))),1)</x:f>
        <x:v>56.6</x:v>
      </x:c>
      <x:c r="AP915" s="37" t="str">
        <x:f>IF(AO915&gt;=70,"High",IF(AO915&gt;=40,"Moderate","Low"))</x:f>
        <x:v>Moderate</x:v>
      </x:c>
      <x:c r="AQ915" s="37" t="n">
        <x:f>ROUND(MAX(0,MIN(100,(O915/4*100*0.25)+(P915/4*100*0.20)+(Q915/4*100*0.15)+(Y915/5*100*0.20)+(100-AO915)*0.20)),1)</x:f>
        <x:v>73.4</x:v>
      </x:c>
      <x:c r="AR915" s="37" t="n">
        <x:f>ROUND((AI915*0.20+AJ915*0.15+AN915*0.18+AG915*0.12+Z915*0.15+AQ915*0.20),1)</x:f>
        <x:v>81.6</x:v>
      </x:c>
      <x:c r="AS915" s="39" t="n">
        <x:f>ROUND((AC915*AF915*120)+(AH915*350)+(MAX(0,AI915-75)*220)+(MAX(0,AQ915-60)*100),0)</x:f>
        <x:v>25020</x:v>
      </x:c>
    </x:row>
    <x:row r="916">
      <x:c r="A916" s="35" t="n">
        <x:v>915</x:v>
      </x:c>
      <x:c r="B916" s="35" t="n">
        <x:v>33</x:v>
      </x:c>
      <x:c r="C916" s="35" t="str">
        <x:v>Male</x:v>
      </x:c>
      <x:c r="D916" s="35" t="str">
        <x:v>Information Technology</x:v>
      </x:c>
      <x:c r="E916" s="35" t="str">
        <x:v>IT Support</x:v>
      </x:c>
      <x:c r="F916" s="35" t="str">
        <x:v>Medical</x:v>
      </x:c>
      <x:c r="G916" s="35" t="str">
        <x:v>Married</x:v>
      </x:c>
      <x:c r="H916" s="35" t="n">
        <x:v>2</x:v>
      </x:c>
      <x:c r="I916" s="36" t="n">
        <x:v>11420</x:v>
      </x:c>
      <x:c r="J916" s="35" t="n">
        <x:v>8</x:v>
      </x:c>
      <x:c r="K916" s="35" t="n">
        <x:v>6</x:v>
      </x:c>
      <x:c r="L916" s="35" t="n">
        <x:v>2</x:v>
      </x:c>
      <x:c r="M916" s="35" t="n">
        <x:v>3</x:v>
      </x:c>
      <x:c r="N916" s="35" t="str">
        <x:v>Yes</x:v>
      </x:c>
      <x:c r="O916" s="35" t="n">
        <x:v>3</x:v>
      </x:c>
      <x:c r="P916" s="35" t="n">
        <x:v>3</x:v>
      </x:c>
      <x:c r="Q916" s="35" t="n">
        <x:v>3</x:v>
      </x:c>
      <x:c r="R916" s="35" t="n">
        <x:v>3</x:v>
      </x:c>
      <x:c r="S916" s="35" t="n">
        <x:v>3</x:v>
      </x:c>
      <x:c r="T916" s="35" t="n">
        <x:v>0</x:v>
      </x:c>
      <x:c r="U916" s="35" t="n">
        <x:v>0</x:v>
      </x:c>
      <x:c r="V916" s="35" t="n">
        <x:v>10</x:v>
      </x:c>
      <x:c r="W916" s="35" t="n">
        <x:v>18</x:v>
      </x:c>
      <x:c r="X916" s="35" t="n">
        <x:v>62</x:v>
      </x:c>
      <x:c r="Y916" s="35" t="n">
        <x:v>3</x:v>
      </x:c>
      <x:c r="Z916" s="35" t="n">
        <x:v>100</x:v>
      </x:c>
      <x:c r="AA916" s="35" t="n">
        <x:v>2</x:v>
      </x:c>
      <x:c r="AB916" s="35" t="n">
        <x:v>1</x:v>
      </x:c>
      <x:c r="AC916" s="35" t="n">
        <x:v>1</x:v>
      </x:c>
      <x:c r="AD916" s="35" t="n">
        <x:v>59</x:v>
      </x:c>
      <x:c r="AE916" s="35" t="n">
        <x:v>91</x:v>
      </x:c>
      <x:c r="AF916" s="35" t="n">
        <x:v>85</x:v>
      </x:c>
      <x:c r="AG916" s="35" t="n">
        <x:v>100</x:v>
      </x:c>
      <x:c r="AH916" s="35" t="n">
        <x:v>6</x:v>
      </x:c>
      <x:c r="AI916" s="37" t="n">
        <x:v>100</x:v>
      </x:c>
      <x:c r="AJ916" s="37" t="n">
        <x:v>98.8</x:v>
      </x:c>
      <x:c r="AK916" s="35" t="str">
        <x:v>No</x:v>
      </x:c>
      <x:c r="AL916" s="38" t="n">
        <x:f>IF(AA916=0,0,AB916/AA916)</x:f>
        <x:v>0.5</x:v>
      </x:c>
      <x:c r="AM916" s="38" t="n">
        <x:f>IF(AB916=0,0,AC916/AB916)</x:f>
        <x:v>1</x:v>
      </x:c>
      <x:c r="AN916" s="37" t="n">
        <x:f>ROUND((AD916*0.20+AE916*0.20+AF916*0.25+AG916*0.15+MIN(100,AC916*12)*0.20),1)</x:f>
        <x:v>68.7</x:v>
      </x:c>
      <x:c r="AO916" s="37" t="n">
        <x:f>ROUND(MAX(0,MIN(100,(X916*0.35)+(W916/45*100*0.20)+((5-O916)/4*100*0.15)+((5-P916)/4*100*0.10)+((6-Y916)/5*100*0.10)+((100-Z916)*0.10))),1)</x:f>
        <x:v>48.2</x:v>
      </x:c>
      <x:c r="AP916" s="37" t="str">
        <x:f>IF(AO916&gt;=70,"High",IF(AO916&gt;=40,"Moderate","Low"))</x:f>
        <x:v>Moderate</x:v>
      </x:c>
      <x:c r="AQ916" s="37" t="n">
        <x:f>ROUND(MAX(0,MIN(100,(O916/4*100*0.25)+(P916/4*100*0.20)+(Q916/4*100*0.15)+(Y916/5*100*0.20)+(100-AO916)*0.20)),1)</x:f>
        <x:v>67.4</x:v>
      </x:c>
      <x:c r="AR916" s="37" t="n">
        <x:f>ROUND((AI916*0.20+AJ916*0.15+AN916*0.18+AG916*0.12+Z916*0.15+AQ916*0.20),1)</x:f>
        <x:v>87.7</x:v>
      </x:c>
      <x:c r="AS916" s="39" t="n">
        <x:f>ROUND((AC916*AF916*120)+(AH916*350)+(MAX(0,AI916-75)*220)+(MAX(0,AQ916-60)*100),0)</x:f>
        <x:v>18540</x:v>
      </x:c>
    </x:row>
    <x:row r="917">
      <x:c r="A917" s="35" t="n">
        <x:v>916</x:v>
      </x:c>
      <x:c r="B917" s="35" t="n">
        <x:v>35</x:v>
      </x:c>
      <x:c r="C917" s="35" t="str">
        <x:v>Male</x:v>
      </x:c>
      <x:c r="D917" s="35" t="str">
        <x:v>Information Technology</x:v>
      </x:c>
      <x:c r="E917" s="35" t="str">
        <x:v>Systems Analyst</x:v>
      </x:c>
      <x:c r="F917" s="35" t="str">
        <x:v>Human Resources</x:v>
      </x:c>
      <x:c r="G917" s="35" t="str">
        <x:v>Single</x:v>
      </x:c>
      <x:c r="H917" s="35" t="n">
        <x:v>2</x:v>
      </x:c>
      <x:c r="I917" s="36" t="n">
        <x:v>8780</x:v>
      </x:c>
      <x:c r="J917" s="35" t="n">
        <x:v>7</x:v>
      </x:c>
      <x:c r="K917" s="35" t="n">
        <x:v>2</x:v>
      </x:c>
      <x:c r="L917" s="35" t="n">
        <x:v>1</x:v>
      </x:c>
      <x:c r="M917" s="35" t="n">
        <x:v>14</x:v>
      </x:c>
      <x:c r="N917" s="35" t="str">
        <x:v>No</x:v>
      </x:c>
      <x:c r="O917" s="35" t="n">
        <x:v>3</x:v>
      </x:c>
      <x:c r="P917" s="35" t="n">
        <x:v>4</x:v>
      </x:c>
      <x:c r="Q917" s="35" t="n">
        <x:v>3</x:v>
      </x:c>
      <x:c r="R917" s="35" t="n">
        <x:v>3</x:v>
      </x:c>
      <x:c r="S917" s="35" t="n">
        <x:v>3</x:v>
      </x:c>
      <x:c r="T917" s="35" t="n">
        <x:v>4</x:v>
      </x:c>
      <x:c r="U917" s="35" t="n">
        <x:v>0</x:v>
      </x:c>
      <x:c r="V917" s="35" t="n">
        <x:v>4</x:v>
      </x:c>
      <x:c r="W917" s="35" t="n">
        <x:v>22</x:v>
      </x:c>
      <x:c r="X917" s="35" t="n">
        <x:v>72</x:v>
      </x:c>
      <x:c r="Y917" s="35" t="n">
        <x:v>5</x:v>
      </x:c>
      <x:c r="Z917" s="35" t="n">
        <x:v>100</x:v>
      </x:c>
      <x:c r="AA917" s="35" t="n">
        <x:v>2</x:v>
      </x:c>
      <x:c r="AB917" s="35" t="n">
        <x:v>1</x:v>
      </x:c>
      <x:c r="AC917" s="35" t="n">
        <x:v>0</x:v>
      </x:c>
      <x:c r="AD917" s="35" t="n">
        <x:v>74</x:v>
      </x:c>
      <x:c r="AE917" s="35" t="n">
        <x:v>58</x:v>
      </x:c>
      <x:c r="AF917" s="35" t="n">
        <x:v>67</x:v>
      </x:c>
      <x:c r="AG917" s="35" t="n">
        <x:v>98</x:v>
      </x:c>
      <x:c r="AH917" s="35" t="n">
        <x:v>3</x:v>
      </x:c>
      <x:c r="AI917" s="37" t="n">
        <x:v>100</x:v>
      </x:c>
      <x:c r="AJ917" s="37" t="n">
        <x:v>93.9</x:v>
      </x:c>
      <x:c r="AK917" s="35" t="str">
        <x:v>No</x:v>
      </x:c>
      <x:c r="AL917" s="38" t="n">
        <x:f>IF(AA917=0,0,AB917/AA917)</x:f>
        <x:v>0.5</x:v>
      </x:c>
      <x:c r="AM917" s="38" t="n">
        <x:f>IF(AB917=0,0,AC917/AB917)</x:f>
        <x:v>0</x:v>
      </x:c>
      <x:c r="AN917" s="37" t="n">
        <x:f>ROUND((AD917*0.20+AE917*0.20+AF917*0.25+AG917*0.15+MIN(100,AC917*12)*0.20),1)</x:f>
        <x:v>57.9</x:v>
      </x:c>
      <x:c r="AO917" s="37" t="n">
        <x:f>ROUND(MAX(0,MIN(100,(X917*0.35)+(W917/45*100*0.20)+((5-O917)/4*100*0.15)+((5-P917)/4*100*0.10)+((6-Y917)/5*100*0.10)+((100-Z917)*0.10))),1)</x:f>
        <x:v>47</x:v>
      </x:c>
      <x:c r="AP917" s="37" t="str">
        <x:f>IF(AO917&gt;=70,"High",IF(AO917&gt;=40,"Moderate","Low"))</x:f>
        <x:v>Moderate</x:v>
      </x:c>
      <x:c r="AQ917" s="37" t="n">
        <x:f>ROUND(MAX(0,MIN(100,(O917/4*100*0.25)+(P917/4*100*0.20)+(Q917/4*100*0.15)+(Y917/5*100*0.20)+(100-AO917)*0.20)),1)</x:f>
        <x:v>80.6</x:v>
      </x:c>
      <x:c r="AR917" s="37" t="n">
        <x:f>ROUND((AI917*0.20+AJ917*0.15+AN917*0.18+AG917*0.12+Z917*0.15+AQ917*0.20),1)</x:f>
        <x:v>87.4</x:v>
      </x:c>
      <x:c r="AS917" s="39" t="n">
        <x:f>ROUND((AC917*AF917*120)+(AH917*350)+(MAX(0,AI917-75)*220)+(MAX(0,AQ917-60)*100),0)</x:f>
        <x:v>8610</x:v>
      </x:c>
    </x:row>
    <x:row r="918">
      <x:c r="A918" s="35" t="n">
        <x:v>917</x:v>
      </x:c>
      <x:c r="B918" s="35" t="n">
        <x:v>30</x:v>
      </x:c>
      <x:c r="C918" s="35" t="str">
        <x:v>Female</x:v>
      </x:c>
      <x:c r="D918" s="35" t="str">
        <x:v>Finance</x:v>
      </x:c>
      <x:c r="E918" s="35" t="str">
        <x:v>Finance Manager</x:v>
      </x:c>
      <x:c r="F918" s="35" t="str">
        <x:v>Computer Science</x:v>
      </x:c>
      <x:c r="G918" s="35" t="str">
        <x:v>Married</x:v>
      </x:c>
      <x:c r="H918" s="35" t="n">
        <x:v>1</x:v>
      </x:c>
      <x:c r="I918" s="36" t="n">
        <x:v>6890</x:v>
      </x:c>
      <x:c r="J918" s="35" t="n">
        <x:v>7</x:v>
      </x:c>
      <x:c r="K918" s="35" t="n">
        <x:v>3</x:v>
      </x:c>
      <x:c r="L918" s="35" t="n">
        <x:v>2</x:v>
      </x:c>
      <x:c r="M918" s="35" t="n">
        <x:v>3</x:v>
      </x:c>
      <x:c r="N918" s="35" t="str">
        <x:v>Yes</x:v>
      </x:c>
      <x:c r="O918" s="35" t="n">
        <x:v>3</x:v>
      </x:c>
      <x:c r="P918" s="35" t="n">
        <x:v>3</x:v>
      </x:c>
      <x:c r="Q918" s="35" t="n">
        <x:v>2</x:v>
      </x:c>
      <x:c r="R918" s="35" t="n">
        <x:v>4</x:v>
      </x:c>
      <x:c r="S918" s="35" t="n">
        <x:v>4</x:v>
      </x:c>
      <x:c r="T918" s="35" t="n">
        <x:v>4</x:v>
      </x:c>
      <x:c r="U918" s="35" t="n">
        <x:v>1</x:v>
      </x:c>
      <x:c r="V918" s="35" t="n">
        <x:v>8</x:v>
      </x:c>
      <x:c r="W918" s="35" t="n">
        <x:v>26</x:v>
      </x:c>
      <x:c r="X918" s="35" t="n">
        <x:v>78</x:v>
      </x:c>
      <x:c r="Y918" s="35" t="n">
        <x:v>3</x:v>
      </x:c>
      <x:c r="Z918" s="35" t="n">
        <x:v>100</x:v>
      </x:c>
      <x:c r="AA918" s="35" t="n">
        <x:v>5</x:v>
      </x:c>
      <x:c r="AB918" s="35" t="n">
        <x:v>3</x:v>
      </x:c>
      <x:c r="AC918" s="35" t="n">
        <x:v>1</x:v>
      </x:c>
      <x:c r="AD918" s="35" t="n">
        <x:v>64</x:v>
      </x:c>
      <x:c r="AE918" s="35" t="n">
        <x:v>86</x:v>
      </x:c>
      <x:c r="AF918" s="35" t="n">
        <x:v>80</x:v>
      </x:c>
      <x:c r="AG918" s="35" t="n">
        <x:v>99</x:v>
      </x:c>
      <x:c r="AH918" s="35" t="n">
        <x:v>7</x:v>
      </x:c>
      <x:c r="AI918" s="37" t="n">
        <x:v>100</x:v>
      </x:c>
      <x:c r="AJ918" s="37" t="n">
        <x:v>94.5</x:v>
      </x:c>
      <x:c r="AK918" s="35" t="str">
        <x:v>No</x:v>
      </x:c>
      <x:c r="AL918" s="38" t="n">
        <x:f>IF(AA918=0,0,AB918/AA918)</x:f>
        <x:v>0.6</x:v>
      </x:c>
      <x:c r="AM918" s="38" t="n">
        <x:f>IF(AB918=0,0,AC918/AB918)</x:f>
        <x:v>0.3333333333333333</x:v>
      </x:c>
      <x:c r="AN918" s="37" t="n">
        <x:f>ROUND((AD918*0.20+AE918*0.20+AF918*0.25+AG918*0.15+MIN(100,AC918*12)*0.20),1)</x:f>
        <x:v>67.3</x:v>
      </x:c>
      <x:c r="AO918" s="37" t="n">
        <x:f>ROUND(MAX(0,MIN(100,(X918*0.35)+(W918/45*100*0.20)+((5-O918)/4*100*0.15)+((5-P918)/4*100*0.10)+((6-Y918)/5*100*0.10)+((100-Z918)*0.10))),1)</x:f>
        <x:v>57.4</x:v>
      </x:c>
      <x:c r="AP918" s="37" t="str">
        <x:f>IF(AO918&gt;=70,"High",IF(AO918&gt;=40,"Moderate","Low"))</x:f>
        <x:v>Moderate</x:v>
      </x:c>
      <x:c r="AQ918" s="37" t="n">
        <x:f>ROUND(MAX(0,MIN(100,(O918/4*100*0.25)+(P918/4*100*0.20)+(Q918/4*100*0.15)+(Y918/5*100*0.20)+(100-AO918)*0.20)),1)</x:f>
        <x:v>61.8</x:v>
      </x:c>
      <x:c r="AR918" s="37" t="n">
        <x:f>ROUND((AI918*0.20+AJ918*0.15+AN918*0.18+AG918*0.12+Z918*0.15+AQ918*0.20),1)</x:f>
        <x:v>85.5</x:v>
      </x:c>
      <x:c r="AS918" s="39" t="n">
        <x:f>ROUND((AC918*AF918*120)+(AH918*350)+(MAX(0,AI918-75)*220)+(MAX(0,AQ918-60)*100),0)</x:f>
        <x:v>17730</x:v>
      </x:c>
    </x:row>
    <x:row r="919">
      <x:c r="A919" s="35" t="n">
        <x:v>918</x:v>
      </x:c>
      <x:c r="B919" s="35" t="n">
        <x:v>27</x:v>
      </x:c>
      <x:c r="C919" s="35" t="str">
        <x:v>Male</x:v>
      </x:c>
      <x:c r="D919" s="35" t="str">
        <x:v>Operations</x:v>
      </x:c>
      <x:c r="E919" s="35" t="str">
        <x:v>Operations Manager</x:v>
      </x:c>
      <x:c r="F919" s="35" t="str">
        <x:v>Technical Degree</x:v>
      </x:c>
      <x:c r="G919" s="35" t="str">
        <x:v>Married</x:v>
      </x:c>
      <x:c r="H919" s="35" t="n">
        <x:v>1</x:v>
      </x:c>
      <x:c r="I919" s="36" t="n">
        <x:v>5910</x:v>
      </x:c>
      <x:c r="J919" s="35" t="n">
        <x:v>3</x:v>
      </x:c>
      <x:c r="K919" s="35" t="n">
        <x:v>1</x:v>
      </x:c>
      <x:c r="L919" s="35" t="n">
        <x:v>1</x:v>
      </x:c>
      <x:c r="M919" s="35" t="n">
        <x:v>3</x:v>
      </x:c>
      <x:c r="N919" s="35" t="str">
        <x:v>No</x:v>
      </x:c>
      <x:c r="O919" s="35" t="n">
        <x:v>3</x:v>
      </x:c>
      <x:c r="P919" s="35" t="n">
        <x:v>4</x:v>
      </x:c>
      <x:c r="Q919" s="35" t="n">
        <x:v>2</x:v>
      </x:c>
      <x:c r="R919" s="35" t="n">
        <x:v>4</x:v>
      </x:c>
      <x:c r="S919" s="35" t="n">
        <x:v>3</x:v>
      </x:c>
      <x:c r="T919" s="35" t="n">
        <x:v>3</x:v>
      </x:c>
      <x:c r="U919" s="35" t="n">
        <x:v>1</x:v>
      </x:c>
      <x:c r="V919" s="35" t="n">
        <x:v>12</x:v>
      </x:c>
      <x:c r="W919" s="35" t="n">
        <x:v>8</x:v>
      </x:c>
      <x:c r="X919" s="35" t="n">
        <x:v>63</x:v>
      </x:c>
      <x:c r="Y919" s="35" t="n">
        <x:v>4</x:v>
      </x:c>
      <x:c r="Z919" s="35" t="n">
        <x:v>100</x:v>
      </x:c>
      <x:c r="AA919" s="35" t="n">
        <x:v>6</x:v>
      </x:c>
      <x:c r="AB919" s="35" t="n">
        <x:v>5</x:v>
      </x:c>
      <x:c r="AC919" s="35" t="n">
        <x:v>5</x:v>
      </x:c>
      <x:c r="AD919" s="35" t="n">
        <x:v>66</x:v>
      </x:c>
      <x:c r="AE919" s="35" t="n">
        <x:v>75</x:v>
      </x:c>
      <x:c r="AF919" s="35" t="n">
        <x:v>78</x:v>
      </x:c>
      <x:c r="AG919" s="35" t="n">
        <x:v>91</x:v>
      </x:c>
      <x:c r="AH919" s="35" t="n">
        <x:v>10</x:v>
      </x:c>
      <x:c r="AI919" s="37" t="n">
        <x:v>100</x:v>
      </x:c>
      <x:c r="AJ919" s="37" t="n">
        <x:v>93.2</x:v>
      </x:c>
      <x:c r="AK919" s="35" t="str">
        <x:v>No</x:v>
      </x:c>
      <x:c r="AL919" s="38" t="n">
        <x:f>IF(AA919=0,0,AB919/AA919)</x:f>
        <x:v>0.8333333333333334</x:v>
      </x:c>
      <x:c r="AM919" s="38" t="n">
        <x:f>IF(AB919=0,0,AC919/AB919)</x:f>
        <x:v>1</x:v>
      </x:c>
      <x:c r="AN919" s="37" t="n">
        <x:f>ROUND((AD919*0.20+AE919*0.20+AF919*0.25+AG919*0.15+MIN(100,AC919*12)*0.20),1)</x:f>
        <x:v>73.4</x:v>
      </x:c>
      <x:c r="AO919" s="37" t="n">
        <x:f>ROUND(MAX(0,MIN(100,(X919*0.35)+(W919/45*100*0.20)+((5-O919)/4*100*0.15)+((5-P919)/4*100*0.10)+((6-Y919)/5*100*0.10)+((100-Z919)*0.10))),1)</x:f>
        <x:v>39.6</x:v>
      </x:c>
      <x:c r="AP919" s="37" t="str">
        <x:f>IF(AO919&gt;=70,"High",IF(AO919&gt;=40,"Moderate","Low"))</x:f>
        <x:v>Low</x:v>
      </x:c>
      <x:c r="AQ919" s="37" t="n">
        <x:f>ROUND(MAX(0,MIN(100,(O919/4*100*0.25)+(P919/4*100*0.20)+(Q919/4*100*0.15)+(Y919/5*100*0.20)+(100-AO919)*0.20)),1)</x:f>
        <x:v>74.3</x:v>
      </x:c>
      <x:c r="AR919" s="37" t="n">
        <x:f>ROUND((AI919*0.20+AJ919*0.15+AN919*0.18+AG919*0.12+Z919*0.15+AQ919*0.20),1)</x:f>
        <x:v>88</x:v>
      </x:c>
      <x:c r="AS919" s="39" t="n">
        <x:f>ROUND((AC919*AF919*120)+(AH919*350)+(MAX(0,AI919-75)*220)+(MAX(0,AQ919-60)*100),0)</x:f>
        <x:v>57230</x:v>
      </x:c>
    </x:row>
    <x:row r="920">
      <x:c r="A920" s="35" t="n">
        <x:v>919</x:v>
      </x:c>
      <x:c r="B920" s="35" t="n">
        <x:v>47</x:v>
      </x:c>
      <x:c r="C920" s="35" t="str">
        <x:v>Male</x:v>
      </x:c>
      <x:c r="D920" s="35" t="str">
        <x:v>Sales</x:v>
      </x:c>
      <x:c r="E920" s="35" t="str">
        <x:v>Account Manager</x:v>
      </x:c>
      <x:c r="F920" s="35" t="str">
        <x:v>Computer Science</x:v>
      </x:c>
      <x:c r="G920" s="35" t="str">
        <x:v>Married</x:v>
      </x:c>
      <x:c r="H920" s="35" t="n">
        <x:v>4</x:v>
      </x:c>
      <x:c r="I920" s="36" t="n">
        <x:v>22460</x:v>
      </x:c>
      <x:c r="J920" s="35" t="n">
        <x:v>15</x:v>
      </x:c>
      <x:c r="K920" s="35" t="n">
        <x:v>8</x:v>
      </x:c>
      <x:c r="L920" s="35" t="n">
        <x:v>6</x:v>
      </x:c>
      <x:c r="M920" s="35" t="n">
        <x:v>14</x:v>
      </x:c>
      <x:c r="N920" s="35" t="str">
        <x:v>No</x:v>
      </x:c>
      <x:c r="O920" s="35" t="n">
        <x:v>3</x:v>
      </x:c>
      <x:c r="P920" s="35" t="n">
        <x:v>2</x:v>
      </x:c>
      <x:c r="Q920" s="35" t="n">
        <x:v>3</x:v>
      </x:c>
      <x:c r="R920" s="35" t="n">
        <x:v>3</x:v>
      </x:c>
      <x:c r="S920" s="35" t="n">
        <x:v>3</x:v>
      </x:c>
      <x:c r="T920" s="35" t="n">
        <x:v>2</x:v>
      </x:c>
      <x:c r="U920" s="35" t="n">
        <x:v>3</x:v>
      </x:c>
      <x:c r="V920" s="35" t="n">
        <x:v>2</x:v>
      </x:c>
      <x:c r="W920" s="35" t="n">
        <x:v>9</x:v>
      </x:c>
      <x:c r="X920" s="35" t="n">
        <x:v>74</x:v>
      </x:c>
      <x:c r="Y920" s="35" t="n">
        <x:v>4</x:v>
      </x:c>
      <x:c r="Z920" s="35" t="n">
        <x:v>99</x:v>
      </x:c>
      <x:c r="AA920" s="35" t="n">
        <x:v>3</x:v>
      </x:c>
      <x:c r="AB920" s="35" t="n">
        <x:v>3</x:v>
      </x:c>
      <x:c r="AC920" s="35" t="n">
        <x:v>1</x:v>
      </x:c>
      <x:c r="AD920" s="35" t="n">
        <x:v>63</x:v>
      </x:c>
      <x:c r="AE920" s="35" t="n">
        <x:v>84</x:v>
      </x:c>
      <x:c r="AF920" s="35" t="n">
        <x:v>81</x:v>
      </x:c>
      <x:c r="AG920" s="35" t="n">
        <x:v>80</x:v>
      </x:c>
      <x:c r="AH920" s="35" t="n">
        <x:v>4</x:v>
      </x:c>
      <x:c r="AI920" s="37" t="n">
        <x:v>92.9</x:v>
      </x:c>
      <x:c r="AJ920" s="37" t="n">
        <x:v>97.7</x:v>
      </x:c>
      <x:c r="AK920" s="35" t="str">
        <x:v>No</x:v>
      </x:c>
      <x:c r="AL920" s="38" t="n">
        <x:f>IF(AA920=0,0,AB920/AA920)</x:f>
        <x:v>1</x:v>
      </x:c>
      <x:c r="AM920" s="38" t="n">
        <x:f>IF(AB920=0,0,AC920/AB920)</x:f>
        <x:v>0.3333333333333333</x:v>
      </x:c>
      <x:c r="AN920" s="37" t="n">
        <x:f>ROUND((AD920*0.20+AE920*0.20+AF920*0.25+AG920*0.15+MIN(100,AC920*12)*0.20),1)</x:f>
        <x:v>64.1</x:v>
      </x:c>
      <x:c r="AO920" s="37" t="n">
        <x:f>ROUND(MAX(0,MIN(100,(X920*0.35)+(W920/45*100*0.20)+((5-O920)/4*100*0.15)+((5-P920)/4*100*0.10)+((6-Y920)/5*100*0.10)+((100-Z920)*0.10))),1)</x:f>
        <x:v>49</x:v>
      </x:c>
      <x:c r="AP920" s="37" t="str">
        <x:f>IF(AO920&gt;=70,"High",IF(AO920&gt;=40,"Moderate","Low"))</x:f>
        <x:v>Moderate</x:v>
      </x:c>
      <x:c r="AQ920" s="37" t="n">
        <x:f>ROUND(MAX(0,MIN(100,(O920/4*100*0.25)+(P920/4*100*0.20)+(Q920/4*100*0.15)+(Y920/5*100*0.20)+(100-AO920)*0.20)),1)</x:f>
        <x:v>66.2</x:v>
      </x:c>
      <x:c r="AR920" s="37" t="n">
        <x:f>ROUND((AI920*0.20+AJ920*0.15+AN920*0.18+AG920*0.12+Z920*0.15+AQ920*0.20),1)</x:f>
        <x:v>82.5</x:v>
      </x:c>
      <x:c r="AS920" s="39" t="n">
        <x:f>ROUND((AC920*AF920*120)+(AH920*350)+(MAX(0,AI920-75)*220)+(MAX(0,AQ920-60)*100),0)</x:f>
        <x:v>15678</x:v>
      </x:c>
    </x:row>
    <x:row r="921">
      <x:c r="A921" s="35" t="n">
        <x:v>920</x:v>
      </x:c>
      <x:c r="B921" s="35" t="n">
        <x:v>21</x:v>
      </x:c>
      <x:c r="C921" s="35" t="str">
        <x:v>Female</x:v>
      </x:c>
      <x:c r="D921" s="35" t="str">
        <x:v>Information Technology</x:v>
      </x:c>
      <x:c r="E921" s="35" t="str">
        <x:v>IT Support</x:v>
      </x:c>
      <x:c r="F921" s="35" t="str">
        <x:v>Computer Science</x:v>
      </x:c>
      <x:c r="G921" s="35" t="str">
        <x:v>Married</x:v>
      </x:c>
      <x:c r="H921" s="35" t="n">
        <x:v>1</x:v>
      </x:c>
      <x:c r="I921" s="36" t="n">
        <x:v>4770</x:v>
      </x:c>
      <x:c r="J921" s="35" t="n">
        <x:v>0</x:v>
      </x:c>
      <x:c r="K921" s="35" t="n">
        <x:v>0</x:v>
      </x:c>
      <x:c r="L921" s="35" t="n">
        <x:v>0</x:v>
      </x:c>
      <x:c r="M921" s="35" t="n">
        <x:v>5</x:v>
      </x:c>
      <x:c r="N921" s="35" t="str">
        <x:v>No</x:v>
      </x:c>
      <x:c r="O921" s="35" t="n">
        <x:v>2</x:v>
      </x:c>
      <x:c r="P921" s="35" t="n">
        <x:v>3</x:v>
      </x:c>
      <x:c r="Q921" s="35" t="n">
        <x:v>3</x:v>
      </x:c>
      <x:c r="R921" s="35" t="n">
        <x:v>4</x:v>
      </x:c>
      <x:c r="S921" s="35" t="n">
        <x:v>3</x:v>
      </x:c>
      <x:c r="T921" s="35" t="n">
        <x:v>3</x:v>
      </x:c>
      <x:c r="U921" s="35" t="n">
        <x:v>0</x:v>
      </x:c>
      <x:c r="V921" s="35" t="n">
        <x:v>13</x:v>
      </x:c>
      <x:c r="W921" s="35" t="n">
        <x:v>0</x:v>
      </x:c>
      <x:c r="X921" s="35" t="n">
        <x:v>70</x:v>
      </x:c>
      <x:c r="Y921" s="35" t="n">
        <x:v>5</x:v>
      </x:c>
      <x:c r="Z921" s="35" t="n">
        <x:v>100</x:v>
      </x:c>
      <x:c r="AA921" s="35" t="n">
        <x:v>4</x:v>
      </x:c>
      <x:c r="AB921" s="35" t="n">
        <x:v>3</x:v>
      </x:c>
      <x:c r="AC921" s="35" t="n">
        <x:v>2</x:v>
      </x:c>
      <x:c r="AD921" s="35" t="n">
        <x:v>64</x:v>
      </x:c>
      <x:c r="AE921" s="35" t="n">
        <x:v>52</x:v>
      </x:c>
      <x:c r="AF921" s="35" t="n">
        <x:v>72</x:v>
      </x:c>
      <x:c r="AG921" s="35" t="n">
        <x:v>100</x:v>
      </x:c>
      <x:c r="AH921" s="35" t="n">
        <x:v>7</x:v>
      </x:c>
      <x:c r="AI921" s="37" t="n">
        <x:v>100</x:v>
      </x:c>
      <x:c r="AJ921" s="37" t="n">
        <x:v>92.9</x:v>
      </x:c>
      <x:c r="AK921" s="35" t="str">
        <x:v>Yes</x:v>
      </x:c>
      <x:c r="AL921" s="38" t="n">
        <x:f>IF(AA921=0,0,AB921/AA921)</x:f>
        <x:v>0.75</x:v>
      </x:c>
      <x:c r="AM921" s="38" t="n">
        <x:f>IF(AB921=0,0,AC921/AB921)</x:f>
        <x:v>0.6666666666666666</x:v>
      </x:c>
      <x:c r="AN921" s="37" t="n">
        <x:f>ROUND((AD921*0.20+AE921*0.20+AF921*0.25+AG921*0.15+MIN(100,AC921*12)*0.20),1)</x:f>
        <x:v>61</x:v>
      </x:c>
      <x:c r="AO921" s="37" t="n">
        <x:f>ROUND(MAX(0,MIN(100,(X921*0.35)+(W921/45*100*0.20)+((5-O921)/4*100*0.15)+((5-P921)/4*100*0.10)+((6-Y921)/5*100*0.10)+((100-Z921)*0.10))),1)</x:f>
        <x:v>42.8</x:v>
      </x:c>
      <x:c r="AP921" s="37" t="str">
        <x:f>IF(AO921&gt;=70,"High",IF(AO921&gt;=40,"Moderate","Low"))</x:f>
        <x:v>Moderate</x:v>
      </x:c>
      <x:c r="AQ921" s="37" t="n">
        <x:f>ROUND(MAX(0,MIN(100,(O921/4*100*0.25)+(P921/4*100*0.20)+(Q921/4*100*0.15)+(Y921/5*100*0.20)+(100-AO921)*0.20)),1)</x:f>
        <x:v>70.2</x:v>
      </x:c>
      <x:c r="AR921" s="37" t="n">
        <x:f>ROUND((AI921*0.20+AJ921*0.15+AN921*0.18+AG921*0.12+Z921*0.15+AQ921*0.20),1)</x:f>
        <x:v>86</x:v>
      </x:c>
      <x:c r="AS921" s="39" t="n">
        <x:f>ROUND((AC921*AF921*120)+(AH921*350)+(MAX(0,AI921-75)*220)+(MAX(0,AQ921-60)*100),0)</x:f>
        <x:v>26250</x:v>
      </x:c>
    </x:row>
    <x:row r="922">
      <x:c r="A922" s="35" t="n">
        <x:v>921</x:v>
      </x:c>
      <x:c r="B922" s="35" t="n">
        <x:v>38</x:v>
      </x:c>
      <x:c r="C922" s="35" t="str">
        <x:v>Male</x:v>
      </x:c>
      <x:c r="D922" s="35" t="str">
        <x:v>Sales</x:v>
      </x:c>
      <x:c r="E922" s="35" t="str">
        <x:v>Account Manager</x:v>
      </x:c>
      <x:c r="F922" s="35" t="str">
        <x:v>Computer Science</x:v>
      </x:c>
      <x:c r="G922" s="35" t="str">
        <x:v>Married</x:v>
      </x:c>
      <x:c r="H922" s="35" t="n">
        <x:v>2</x:v>
      </x:c>
      <x:c r="I922" s="36" t="n">
        <x:v>9460</x:v>
      </x:c>
      <x:c r="J922" s="35" t="n">
        <x:v>15</x:v>
      </x:c>
      <x:c r="K922" s="35" t="n">
        <x:v>12</x:v>
      </x:c>
      <x:c r="L922" s="35" t="n">
        <x:v>7</x:v>
      </x:c>
      <x:c r="M922" s="35" t="n">
        <x:v>2</x:v>
      </x:c>
      <x:c r="N922" s="35" t="str">
        <x:v>Yes</x:v>
      </x:c>
      <x:c r="O922" s="35" t="n">
        <x:v>1</x:v>
      </x:c>
      <x:c r="P922" s="35" t="n">
        <x:v>2</x:v>
      </x:c>
      <x:c r="Q922" s="35" t="n">
        <x:v>2</x:v>
      </x:c>
      <x:c r="R922" s="35" t="n">
        <x:v>3</x:v>
      </x:c>
      <x:c r="S922" s="35" t="n">
        <x:v>3</x:v>
      </x:c>
      <x:c r="T922" s="35" t="n">
        <x:v>0</x:v>
      </x:c>
      <x:c r="U922" s="35" t="n">
        <x:v>1</x:v>
      </x:c>
      <x:c r="V922" s="35" t="n">
        <x:v>4</x:v>
      </x:c>
      <x:c r="W922" s="35" t="n">
        <x:v>35</x:v>
      </x:c>
      <x:c r="X922" s="35" t="n">
        <x:v>98</x:v>
      </x:c>
      <x:c r="Y922" s="35" t="n">
        <x:v>3</x:v>
      </x:c>
      <x:c r="Z922" s="35" t="n">
        <x:v>87</x:v>
      </x:c>
      <x:c r="AA922" s="35" t="n">
        <x:v>2</x:v>
      </x:c>
      <x:c r="AB922" s="35" t="n">
        <x:v>2</x:v>
      </x:c>
      <x:c r="AC922" s="35" t="n">
        <x:v>2</x:v>
      </x:c>
      <x:c r="AD922" s="35" t="n">
        <x:v>61</x:v>
      </x:c>
      <x:c r="AE922" s="35" t="n">
        <x:v>77</x:v>
      </x:c>
      <x:c r="AF922" s="35" t="n">
        <x:v>91</x:v>
      </x:c>
      <x:c r="AG922" s="35" t="n">
        <x:v>91</x:v>
      </x:c>
      <x:c r="AH922" s="35" t="n">
        <x:v>5</x:v>
      </x:c>
      <x:c r="AI922" s="37" t="n">
        <x:v>91.6</x:v>
      </x:c>
      <x:c r="AJ922" s="37" t="n">
        <x:v>100</x:v>
      </x:c>
      <x:c r="AK922" s="35" t="str">
        <x:v>Yes</x:v>
      </x:c>
      <x:c r="AL922" s="38" t="n">
        <x:f>IF(AA922=0,0,AB922/AA922)</x:f>
        <x:v>1</x:v>
      </x:c>
      <x:c r="AM922" s="38" t="n">
        <x:f>IF(AB922=0,0,AC922/AB922)</x:f>
        <x:v>1</x:v>
      </x:c>
      <x:c r="AN922" s="37" t="n">
        <x:f>ROUND((AD922*0.20+AE922*0.20+AF922*0.25+AG922*0.15+MIN(100,AC922*12)*0.20),1)</x:f>
        <x:v>68.8</x:v>
      </x:c>
      <x:c r="AO922" s="37" t="n">
        <x:f>ROUND(MAX(0,MIN(100,(X922*0.35)+(W922/45*100*0.20)+((5-O922)/4*100*0.15)+((5-P922)/4*100*0.10)+((6-Y922)/5*100*0.10)+((100-Z922)*0.10))),1)</x:f>
        <x:v>79.7</x:v>
      </x:c>
      <x:c r="AP922" s="37" t="str">
        <x:f>IF(AO922&gt;=70,"High",IF(AO922&gt;=40,"Moderate","Low"))</x:f>
        <x:v>High</x:v>
      </x:c>
      <x:c r="AQ922" s="37" t="n">
        <x:f>ROUND(MAX(0,MIN(100,(O922/4*100*0.25)+(P922/4*100*0.20)+(Q922/4*100*0.15)+(Y922/5*100*0.20)+(100-AO922)*0.20)),1)</x:f>
        <x:v>39.8</x:v>
      </x:c>
      <x:c r="AR922" s="37" t="n">
        <x:f>ROUND((AI922*0.20+AJ922*0.15+AN922*0.18+AG922*0.12+Z922*0.15+AQ922*0.20),1)</x:f>
        <x:v>77.6</x:v>
      </x:c>
      <x:c r="AS922" s="39" t="n">
        <x:f>ROUND((AC922*AF922*120)+(AH922*350)+(MAX(0,AI922-75)*220)+(MAX(0,AQ922-60)*100),0)</x:f>
        <x:v>27242</x:v>
      </x:c>
    </x:row>
    <x:row r="923">
      <x:c r="A923" s="35" t="n">
        <x:v>922</x:v>
      </x:c>
      <x:c r="B923" s="35" t="n">
        <x:v>48</x:v>
      </x:c>
      <x:c r="C923" s="35" t="str">
        <x:v>Male</x:v>
      </x:c>
      <x:c r="D923" s="35" t="str">
        <x:v>Sales</x:v>
      </x:c>
      <x:c r="E923" s="35" t="str">
        <x:v>Account Manager</x:v>
      </x:c>
      <x:c r="F923" s="35" t="str">
        <x:v>Medical</x:v>
      </x:c>
      <x:c r="G923" s="35" t="str">
        <x:v>Single</x:v>
      </x:c>
      <x:c r="H923" s="35" t="n">
        <x:v>5</x:v>
      </x:c>
      <x:c r="I923" s="36" t="n">
        <x:v>16050</x:v>
      </x:c>
      <x:c r="J923" s="35" t="n">
        <x:v>20</x:v>
      </x:c>
      <x:c r="K923" s="35" t="n">
        <x:v>8</x:v>
      </x:c>
      <x:c r="L923" s="35" t="n">
        <x:v>4</x:v>
      </x:c>
      <x:c r="M923" s="35" t="n">
        <x:v>11</x:v>
      </x:c>
      <x:c r="N923" s="35" t="str">
        <x:v>No</x:v>
      </x:c>
      <x:c r="O923" s="35" t="n">
        <x:v>3</x:v>
      </x:c>
      <x:c r="P923" s="35" t="n">
        <x:v>3</x:v>
      </x:c>
      <x:c r="Q923" s="35" t="n">
        <x:v>3</x:v>
      </x:c>
      <x:c r="R923" s="35" t="n">
        <x:v>4</x:v>
      </x:c>
      <x:c r="S923" s="35" t="n">
        <x:v>4</x:v>
      </x:c>
      <x:c r="T923" s="35" t="n">
        <x:v>3</x:v>
      </x:c>
      <x:c r="U923" s="35" t="n">
        <x:v>1</x:v>
      </x:c>
      <x:c r="V923" s="35" t="n">
        <x:v>8</x:v>
      </x:c>
      <x:c r="W923" s="35" t="n">
        <x:v>15</x:v>
      </x:c>
      <x:c r="X923" s="35" t="n">
        <x:v>57</x:v>
      </x:c>
      <x:c r="Y923" s="35" t="n">
        <x:v>5</x:v>
      </x:c>
      <x:c r="Z923" s="35" t="n">
        <x:v>100</x:v>
      </x:c>
      <x:c r="AA923" s="35" t="n">
        <x:v>2</x:v>
      </x:c>
      <x:c r="AB923" s="35" t="n">
        <x:v>1</x:v>
      </x:c>
      <x:c r="AC923" s="35" t="n">
        <x:v>1</x:v>
      </x:c>
      <x:c r="AD923" s="35" t="n">
        <x:v>45</x:v>
      </x:c>
      <x:c r="AE923" s="35" t="n">
        <x:v>83</x:v>
      </x:c>
      <x:c r="AF923" s="35" t="n">
        <x:v>79</x:v>
      </x:c>
      <x:c r="AG923" s="35" t="n">
        <x:v>94</x:v>
      </x:c>
      <x:c r="AH923" s="35" t="n">
        <x:v>6</x:v>
      </x:c>
      <x:c r="AI923" s="37" t="n">
        <x:v>100</x:v>
      </x:c>
      <x:c r="AJ923" s="37" t="n">
        <x:v>96.5</x:v>
      </x:c>
      <x:c r="AK923" s="35" t="str">
        <x:v>No</x:v>
      </x:c>
      <x:c r="AL923" s="38" t="n">
        <x:f>IF(AA923=0,0,AB923/AA923)</x:f>
        <x:v>0.5</x:v>
      </x:c>
      <x:c r="AM923" s="38" t="n">
        <x:f>IF(AB923=0,0,AC923/AB923)</x:f>
        <x:v>1</x:v>
      </x:c>
      <x:c r="AN923" s="37" t="n">
        <x:f>ROUND((AD923*0.20+AE923*0.20+AF923*0.25+AG923*0.15+MIN(100,AC923*12)*0.20),1)</x:f>
        <x:v>61.9</x:v>
      </x:c>
      <x:c r="AO923" s="37" t="n">
        <x:f>ROUND(MAX(0,MIN(100,(X923*0.35)+(W923/45*100*0.20)+((5-O923)/4*100*0.15)+((5-P923)/4*100*0.10)+((6-Y923)/5*100*0.10)+((100-Z923)*0.10))),1)</x:f>
        <x:v>41.1</x:v>
      </x:c>
      <x:c r="AP923" s="37" t="str">
        <x:f>IF(AO923&gt;=70,"High",IF(AO923&gt;=40,"Moderate","Low"))</x:f>
        <x:v>Moderate</x:v>
      </x:c>
      <x:c r="AQ923" s="37" t="n">
        <x:f>ROUND(MAX(0,MIN(100,(O923/4*100*0.25)+(P923/4*100*0.20)+(Q923/4*100*0.15)+(Y923/5*100*0.20)+(100-AO923)*0.20)),1)</x:f>
        <x:v>76.8</x:v>
      </x:c>
      <x:c r="AR923" s="37" t="n">
        <x:f>ROUND((AI923*0.20+AJ923*0.15+AN923*0.18+AG923*0.12+Z923*0.15+AQ923*0.20),1)</x:f>
        <x:v>87.3</x:v>
      </x:c>
      <x:c r="AS923" s="39" t="n">
        <x:f>ROUND((AC923*AF923*120)+(AH923*350)+(MAX(0,AI923-75)*220)+(MAX(0,AQ923-60)*100),0)</x:f>
        <x:v>18760</x:v>
      </x:c>
    </x:row>
    <x:row r="924">
      <x:c r="A924" s="35" t="n">
        <x:v>923</x:v>
      </x:c>
      <x:c r="B924" s="35" t="n">
        <x:v>35</x:v>
      </x:c>
      <x:c r="C924" s="35" t="str">
        <x:v>Male</x:v>
      </x:c>
      <x:c r="D924" s="35" t="str">
        <x:v>Operations</x:v>
      </x:c>
      <x:c r="E924" s="35" t="str">
        <x:v>Operations Manager</x:v>
      </x:c>
      <x:c r="F924" s="35" t="str">
        <x:v>Technical Degree</x:v>
      </x:c>
      <x:c r="G924" s="35" t="str">
        <x:v>Married</x:v>
      </x:c>
      <x:c r="H924" s="35" t="n">
        <x:v>2</x:v>
      </x:c>
      <x:c r="I924" s="36" t="n">
        <x:v>9330</x:v>
      </x:c>
      <x:c r="J924" s="35" t="n">
        <x:v>7</x:v>
      </x:c>
      <x:c r="K924" s="35" t="n">
        <x:v>3</x:v>
      </x:c>
      <x:c r="L924" s="35" t="n">
        <x:v>1</x:v>
      </x:c>
      <x:c r="M924" s="35" t="n">
        <x:v>9</x:v>
      </x:c>
      <x:c r="N924" s="35" t="str">
        <x:v>No</x:v>
      </x:c>
      <x:c r="O924" s="35" t="n">
        <x:v>2</x:v>
      </x:c>
      <x:c r="P924" s="35" t="n">
        <x:v>4</x:v>
      </x:c>
      <x:c r="Q924" s="35" t="n">
        <x:v>4</x:v>
      </x:c>
      <x:c r="R924" s="35" t="n">
        <x:v>3</x:v>
      </x:c>
      <x:c r="S924" s="35" t="n">
        <x:v>3</x:v>
      </x:c>
      <x:c r="T924" s="35" t="n">
        <x:v>5</x:v>
      </x:c>
      <x:c r="U924" s="35" t="n">
        <x:v>0</x:v>
      </x:c>
      <x:c r="V924" s="35" t="n">
        <x:v>3</x:v>
      </x:c>
      <x:c r="W924" s="35" t="n">
        <x:v>12</x:v>
      </x:c>
      <x:c r="X924" s="35" t="n">
        <x:v>70</x:v>
      </x:c>
      <x:c r="Y924" s="35" t="n">
        <x:v>5</x:v>
      </x:c>
      <x:c r="Z924" s="35" t="n">
        <x:v>100</x:v>
      </x:c>
      <x:c r="AA924" s="35" t="n">
        <x:v>2</x:v>
      </x:c>
      <x:c r="AB924" s="35" t="n">
        <x:v>2</x:v>
      </x:c>
      <x:c r="AC924" s="35" t="n">
        <x:v>0</x:v>
      </x:c>
      <x:c r="AD924" s="35" t="n">
        <x:v>47</x:v>
      </x:c>
      <x:c r="AE924" s="35" t="n">
        <x:v>69</x:v>
      </x:c>
      <x:c r="AF924" s="35" t="n">
        <x:v>79</x:v>
      </x:c>
      <x:c r="AG924" s="35" t="n">
        <x:v>100</x:v>
      </x:c>
      <x:c r="AH924" s="35" t="n">
        <x:v>3</x:v>
      </x:c>
      <x:c r="AI924" s="37" t="n">
        <x:v>100</x:v>
      </x:c>
      <x:c r="AJ924" s="37" t="n">
        <x:v>91.9</x:v>
      </x:c>
      <x:c r="AK924" s="35" t="str">
        <x:v>No</x:v>
      </x:c>
      <x:c r="AL924" s="38" t="n">
        <x:f>IF(AA924=0,0,AB924/AA924)</x:f>
        <x:v>1</x:v>
      </x:c>
      <x:c r="AM924" s="38" t="n">
        <x:f>IF(AB924=0,0,AC924/AB924)</x:f>
        <x:v>0</x:v>
      </x:c>
      <x:c r="AN924" s="37" t="n">
        <x:f>ROUND((AD924*0.20+AE924*0.20+AF924*0.25+AG924*0.15+MIN(100,AC924*12)*0.20),1)</x:f>
        <x:v>58</x:v>
      </x:c>
      <x:c r="AO924" s="37" t="n">
        <x:f>ROUND(MAX(0,MIN(100,(X924*0.35)+(W924/45*100*0.20)+((5-O924)/4*100*0.15)+((5-P924)/4*100*0.10)+((6-Y924)/5*100*0.10)+((100-Z924)*0.10))),1)</x:f>
        <x:v>45.6</x:v>
      </x:c>
      <x:c r="AP924" s="37" t="str">
        <x:f>IF(AO924&gt;=70,"High",IF(AO924&gt;=40,"Moderate","Low"))</x:f>
        <x:v>Moderate</x:v>
      </x:c>
      <x:c r="AQ924" s="37" t="n">
        <x:f>ROUND(MAX(0,MIN(100,(O924/4*100*0.25)+(P924/4*100*0.20)+(Q924/4*100*0.15)+(Y924/5*100*0.20)+(100-AO924)*0.20)),1)</x:f>
        <x:v>78.4</x:v>
      </x:c>
      <x:c r="AR924" s="37" t="n">
        <x:f>ROUND((AI924*0.20+AJ924*0.15+AN924*0.18+AG924*0.12+Z924*0.15+AQ924*0.20),1)</x:f>
        <x:v>86.9</x:v>
      </x:c>
      <x:c r="AS924" s="39" t="n">
        <x:f>ROUND((AC924*AF924*120)+(AH924*350)+(MAX(0,AI924-75)*220)+(MAX(0,AQ924-60)*100),0)</x:f>
        <x:v>8390</x:v>
      </x:c>
    </x:row>
    <x:row r="925">
      <x:c r="A925" s="35" t="n">
        <x:v>924</x:v>
      </x:c>
      <x:c r="B925" s="35" t="n">
        <x:v>49</x:v>
      </x:c>
      <x:c r="C925" s="35" t="str">
        <x:v>Female</x:v>
      </x:c>
      <x:c r="D925" s="35" t="str">
        <x:v>Sales</x:v>
      </x:c>
      <x:c r="E925" s="35" t="str">
        <x:v>Account Manager</x:v>
      </x:c>
      <x:c r="F925" s="35" t="str">
        <x:v>Business</x:v>
      </x:c>
      <x:c r="G925" s="35" t="str">
        <x:v>Married</x:v>
      </x:c>
      <x:c r="H925" s="35" t="n">
        <x:v>4</x:v>
      </x:c>
      <x:c r="I925" s="36" t="n">
        <x:v>12940</x:v>
      </x:c>
      <x:c r="J925" s="35" t="n">
        <x:v>18</x:v>
      </x:c>
      <x:c r="K925" s="35" t="n">
        <x:v>13</x:v>
      </x:c>
      <x:c r="L925" s="35" t="n">
        <x:v>9</x:v>
      </x:c>
      <x:c r="M925" s="35" t="n">
        <x:v>18</x:v>
      </x:c>
      <x:c r="N925" s="35" t="str">
        <x:v>No</x:v>
      </x:c>
      <x:c r="O925" s="35" t="n">
        <x:v>3</x:v>
      </x:c>
      <x:c r="P925" s="35" t="n">
        <x:v>2</x:v>
      </x:c>
      <x:c r="Q925" s="35" t="n">
        <x:v>3</x:v>
      </x:c>
      <x:c r="R925" s="35" t="n">
        <x:v>2</x:v>
      </x:c>
      <x:c r="S925" s="35" t="n">
        <x:v>3</x:v>
      </x:c>
      <x:c r="T925" s="35" t="n">
        <x:v>3</x:v>
      </x:c>
      <x:c r="U925" s="35" t="n">
        <x:v>0</x:v>
      </x:c>
      <x:c r="V925" s="35" t="n">
        <x:v>6</x:v>
      </x:c>
      <x:c r="W925" s="35" t="n">
        <x:v>5</x:v>
      </x:c>
      <x:c r="X925" s="35" t="n">
        <x:v>87</x:v>
      </x:c>
      <x:c r="Y925" s="35" t="n">
        <x:v>5</x:v>
      </x:c>
      <x:c r="Z925" s="35" t="n">
        <x:v>89</x:v>
      </x:c>
      <x:c r="AA925" s="35" t="n">
        <x:v>6</x:v>
      </x:c>
      <x:c r="AB925" s="35" t="n">
        <x:v>5</x:v>
      </x:c>
      <x:c r="AC925" s="35" t="n">
        <x:v>4</x:v>
      </x:c>
      <x:c r="AD925" s="35" t="n">
        <x:v>71</x:v>
      </x:c>
      <x:c r="AE925" s="35" t="n">
        <x:v>96</x:v>
      </x:c>
      <x:c r="AF925" s="35" t="n">
        <x:v>100</x:v>
      </x:c>
      <x:c r="AG925" s="35" t="n">
        <x:v>68</x:v>
      </x:c>
      <x:c r="AH925" s="35" t="n">
        <x:v>9</x:v>
      </x:c>
      <x:c r="AI925" s="37" t="n">
        <x:v>96.4</x:v>
      </x:c>
      <x:c r="AJ925" s="37" t="n">
        <x:v>92.1</x:v>
      </x:c>
      <x:c r="AK925" s="35" t="str">
        <x:v>No</x:v>
      </x:c>
      <x:c r="AL925" s="38" t="n">
        <x:f>IF(AA925=0,0,AB925/AA925)</x:f>
        <x:v>0.8333333333333334</x:v>
      </x:c>
      <x:c r="AM925" s="38" t="n">
        <x:f>IF(AB925=0,0,AC925/AB925)</x:f>
        <x:v>0.8</x:v>
      </x:c>
      <x:c r="AN925" s="37" t="n">
        <x:f>ROUND((AD925*0.20+AE925*0.20+AF925*0.25+AG925*0.15+MIN(100,AC925*12)*0.20),1)</x:f>
        <x:v>78.2</x:v>
      </x:c>
      <x:c r="AO925" s="37" t="n">
        <x:f>ROUND(MAX(0,MIN(100,(X925*0.35)+(W925/45*100*0.20)+((5-O925)/4*100*0.15)+((5-P925)/4*100*0.10)+((6-Y925)/5*100*0.10)+((100-Z925)*0.10))),1)</x:f>
        <x:v>50.8</x:v>
      </x:c>
      <x:c r="AP925" s="37" t="str">
        <x:f>IF(AO925&gt;=70,"High",IF(AO925&gt;=40,"Moderate","Low"))</x:f>
        <x:v>Moderate</x:v>
      </x:c>
      <x:c r="AQ925" s="37" t="n">
        <x:f>ROUND(MAX(0,MIN(100,(O925/4*100*0.25)+(P925/4*100*0.20)+(Q925/4*100*0.15)+(Y925/5*100*0.20)+(100-AO925)*0.20)),1)</x:f>
        <x:v>69.8</x:v>
      </x:c>
      <x:c r="AR925" s="37" t="n">
        <x:f>ROUND((AI925*0.20+AJ925*0.15+AN925*0.18+AG925*0.12+Z925*0.15+AQ925*0.20),1)</x:f>
        <x:v>82.6</x:v>
      </x:c>
      <x:c r="AS925" s="39" t="n">
        <x:f>ROUND((AC925*AF925*120)+(AH925*350)+(MAX(0,AI925-75)*220)+(MAX(0,AQ925-60)*100),0)</x:f>
        <x:v>56838</x:v>
      </x:c>
    </x:row>
    <x:row r="926">
      <x:c r="A926" s="35" t="n">
        <x:v>925</x:v>
      </x:c>
      <x:c r="B926" s="35" t="n">
        <x:v>41</x:v>
      </x:c>
      <x:c r="C926" s="35" t="str">
        <x:v>Female</x:v>
      </x:c>
      <x:c r="D926" s="35" t="str">
        <x:v>Research &amp; Development</x:v>
      </x:c>
      <x:c r="E926" s="35" t="str">
        <x:v>R&amp;D Manager</x:v>
      </x:c>
      <x:c r="F926" s="35" t="str">
        <x:v>Medical</x:v>
      </x:c>
      <x:c r="G926" s="35" t="str">
        <x:v>Married</x:v>
      </x:c>
      <x:c r="H926" s="35" t="n">
        <x:v>2</x:v>
      </x:c>
      <x:c r="I926" s="36" t="n">
        <x:v>8260</x:v>
      </x:c>
      <x:c r="J926" s="35" t="n">
        <x:v>13</x:v>
      </x:c>
      <x:c r="K926" s="35" t="n">
        <x:v>7</x:v>
      </x:c>
      <x:c r="L926" s="35" t="n">
        <x:v>3</x:v>
      </x:c>
      <x:c r="M926" s="35" t="n">
        <x:v>5</x:v>
      </x:c>
      <x:c r="N926" s="35" t="str">
        <x:v>Yes</x:v>
      </x:c>
      <x:c r="O926" s="35" t="n">
        <x:v>2</x:v>
      </x:c>
      <x:c r="P926" s="35" t="n">
        <x:v>3</x:v>
      </x:c>
      <x:c r="Q926" s="35" t="n">
        <x:v>4</x:v>
      </x:c>
      <x:c r="R926" s="35" t="n">
        <x:v>2</x:v>
      </x:c>
      <x:c r="S926" s="35" t="n">
        <x:v>3</x:v>
      </x:c>
      <x:c r="T926" s="35" t="n">
        <x:v>4</x:v>
      </x:c>
      <x:c r="U926" s="35" t="n">
        <x:v>0</x:v>
      </x:c>
      <x:c r="V926" s="35" t="n">
        <x:v>14</x:v>
      </x:c>
      <x:c r="W926" s="35" t="n">
        <x:v>35</x:v>
      </x:c>
      <x:c r="X926" s="35" t="n">
        <x:v>67</x:v>
      </x:c>
      <x:c r="Y926" s="35" t="n">
        <x:v>5</x:v>
      </x:c>
      <x:c r="Z926" s="35" t="n">
        <x:v>100</x:v>
      </x:c>
      <x:c r="AA926" s="35" t="n">
        <x:v>8</x:v>
      </x:c>
      <x:c r="AB926" s="35" t="n">
        <x:v>5</x:v>
      </x:c>
      <x:c r="AC926" s="35" t="n">
        <x:v>5</x:v>
      </x:c>
      <x:c r="AD926" s="35" t="n">
        <x:v>87</x:v>
      </x:c>
      <x:c r="AE926" s="35" t="n">
        <x:v>78</x:v>
      </x:c>
      <x:c r="AF926" s="35" t="n">
        <x:v>91</x:v>
      </x:c>
      <x:c r="AG926" s="35" t="n">
        <x:v>75</x:v>
      </x:c>
      <x:c r="AH926" s="35" t="n">
        <x:v>9</x:v>
      </x:c>
      <x:c r="AI926" s="37" t="n">
        <x:v>91.9</x:v>
      </x:c>
      <x:c r="AJ926" s="37" t="n">
        <x:v>88.6</x:v>
      </x:c>
      <x:c r="AK926" s="35" t="str">
        <x:v>No</x:v>
      </x:c>
      <x:c r="AL926" s="38" t="n">
        <x:f>IF(AA926=0,0,AB926/AA926)</x:f>
        <x:v>0.625</x:v>
      </x:c>
      <x:c r="AM926" s="38" t="n">
        <x:f>IF(AB926=0,0,AC926/AB926)</x:f>
        <x:v>1</x:v>
      </x:c>
      <x:c r="AN926" s="37" t="n">
        <x:f>ROUND((AD926*0.20+AE926*0.20+AF926*0.25+AG926*0.15+MIN(100,AC926*12)*0.20),1)</x:f>
        <x:v>79</x:v>
      </x:c>
      <x:c r="AO926" s="37" t="n">
        <x:f>ROUND(MAX(0,MIN(100,(X926*0.35)+(W926/45*100*0.20)+((5-O926)/4*100*0.15)+((5-P926)/4*100*0.10)+((6-Y926)/5*100*0.10)+((100-Z926)*0.10))),1)</x:f>
        <x:v>57.3</x:v>
      </x:c>
      <x:c r="AP926" s="37" t="str">
        <x:f>IF(AO926&gt;=70,"High",IF(AO926&gt;=40,"Moderate","Low"))</x:f>
        <x:v>Moderate</x:v>
      </x:c>
      <x:c r="AQ926" s="37" t="n">
        <x:f>ROUND(MAX(0,MIN(100,(O926/4*100*0.25)+(P926/4*100*0.20)+(Q926/4*100*0.15)+(Y926/5*100*0.20)+(100-AO926)*0.20)),1)</x:f>
        <x:v>71</x:v>
      </x:c>
      <x:c r="AR926" s="37" t="n">
        <x:f>ROUND((AI926*0.20+AJ926*0.15+AN926*0.18+AG926*0.12+Z926*0.15+AQ926*0.20),1)</x:f>
        <x:v>84.1</x:v>
      </x:c>
      <x:c r="AS926" s="39" t="n">
        <x:f>ROUND((AC926*AF926*120)+(AH926*350)+(MAX(0,AI926-75)*220)+(MAX(0,AQ926-60)*100),0)</x:f>
        <x:v>62568</x:v>
      </x:c>
    </x:row>
    <x:row r="927">
      <x:c r="A927" s="35" t="n">
        <x:v>926</x:v>
      </x:c>
      <x:c r="B927" s="35" t="n">
        <x:v>31</x:v>
      </x:c>
      <x:c r="C927" s="35" t="str">
        <x:v>Female</x:v>
      </x:c>
      <x:c r="D927" s="35" t="str">
        <x:v>Research &amp; Development</x:v>
      </x:c>
      <x:c r="E927" s="35" t="str">
        <x:v>Data Scientist</x:v>
      </x:c>
      <x:c r="F927" s="35" t="str">
        <x:v>Medical</x:v>
      </x:c>
      <x:c r="G927" s="35" t="str">
        <x:v>Married</x:v>
      </x:c>
      <x:c r="H927" s="35" t="n">
        <x:v>1</x:v>
      </x:c>
      <x:c r="I927" s="36" t="n">
        <x:v>6820</x:v>
      </x:c>
      <x:c r="J927" s="35" t="n">
        <x:v>9</x:v>
      </x:c>
      <x:c r="K927" s="35" t="n">
        <x:v>5</x:v>
      </x:c>
      <x:c r="L927" s="35" t="n">
        <x:v>3</x:v>
      </x:c>
      <x:c r="M927" s="35" t="n">
        <x:v>3</x:v>
      </x:c>
      <x:c r="N927" s="35" t="str">
        <x:v>Yes</x:v>
      </x:c>
      <x:c r="O927" s="35" t="n">
        <x:v>2</x:v>
      </x:c>
      <x:c r="P927" s="35" t="n">
        <x:v>3</x:v>
      </x:c>
      <x:c r="Q927" s="35" t="n">
        <x:v>3</x:v>
      </x:c>
      <x:c r="R927" s="35" t="n">
        <x:v>3</x:v>
      </x:c>
      <x:c r="S927" s="35" t="n">
        <x:v>3</x:v>
      </x:c>
      <x:c r="T927" s="35" t="n">
        <x:v>2</x:v>
      </x:c>
      <x:c r="U927" s="35" t="n">
        <x:v>3</x:v>
      </x:c>
      <x:c r="V927" s="35" t="n">
        <x:v>8</x:v>
      </x:c>
      <x:c r="W927" s="35" t="n">
        <x:v>29</x:v>
      </x:c>
      <x:c r="X927" s="35" t="n">
        <x:v>56</x:v>
      </x:c>
      <x:c r="Y927" s="35" t="n">
        <x:v>4</x:v>
      </x:c>
      <x:c r="Z927" s="35" t="n">
        <x:v>89</x:v>
      </x:c>
      <x:c r="AA927" s="35" t="n">
        <x:v>10</x:v>
      </x:c>
      <x:c r="AB927" s="35" t="n">
        <x:v>9</x:v>
      </x:c>
      <x:c r="AC927" s="35" t="n">
        <x:v>9</x:v>
      </x:c>
      <x:c r="AD927" s="35" t="n">
        <x:v>90</x:v>
      </x:c>
      <x:c r="AE927" s="35" t="n">
        <x:v>100</x:v>
      </x:c>
      <x:c r="AF927" s="35" t="n">
        <x:v>96</x:v>
      </x:c>
      <x:c r="AG927" s="35" t="n">
        <x:v>67</x:v>
      </x:c>
      <x:c r="AH927" s="35" t="n">
        <x:v>9</x:v>
      </x:c>
      <x:c r="AI927" s="37" t="n">
        <x:v>96.4</x:v>
      </x:c>
      <x:c r="AJ927" s="37" t="n">
        <x:v>100</x:v>
      </x:c>
      <x:c r="AK927" s="35" t="str">
        <x:v>No</x:v>
      </x:c>
      <x:c r="AL927" s="38" t="n">
        <x:f>IF(AA927=0,0,AB927/AA927)</x:f>
        <x:v>0.9</x:v>
      </x:c>
      <x:c r="AM927" s="38" t="n">
        <x:f>IF(AB927=0,0,AC927/AB927)</x:f>
        <x:v>1</x:v>
      </x:c>
      <x:c r="AN927" s="37" t="n">
        <x:f>ROUND((AD927*0.20+AE927*0.20+AF927*0.25+AG927*0.15+MIN(100,AC927*12)*0.20),1)</x:f>
        <x:v>92.1</x:v>
      </x:c>
      <x:c r="AO927" s="37" t="n">
        <x:f>ROUND(MAX(0,MIN(100,(X927*0.35)+(W927/45*100*0.20)+((5-O927)/4*100*0.15)+((5-P927)/4*100*0.10)+((6-Y927)/5*100*0.10)+((100-Z927)*0.10))),1)</x:f>
        <x:v>53.8</x:v>
      </x:c>
      <x:c r="AP927" s="37" t="str">
        <x:f>IF(AO927&gt;=70,"High",IF(AO927&gt;=40,"Moderate","Low"))</x:f>
        <x:v>Moderate</x:v>
      </x:c>
      <x:c r="AQ927" s="37" t="n">
        <x:f>ROUND(MAX(0,MIN(100,(O927/4*100*0.25)+(P927/4*100*0.20)+(Q927/4*100*0.15)+(Y927/5*100*0.20)+(100-AO927)*0.20)),1)</x:f>
        <x:v>64</x:v>
      </x:c>
      <x:c r="AR927" s="37" t="n">
        <x:f>ROUND((AI927*0.20+AJ927*0.15+AN927*0.18+AG927*0.12+Z927*0.15+AQ927*0.20),1)</x:f>
        <x:v>85</x:v>
      </x:c>
      <x:c r="AS927" s="39" t="n">
        <x:f>ROUND((AC927*AF927*120)+(AH927*350)+(MAX(0,AI927-75)*220)+(MAX(0,AQ927-60)*100),0)</x:f>
        <x:v>111938</x:v>
      </x:c>
    </x:row>
    <x:row r="928">
      <x:c r="A928" s="35" t="n">
        <x:v>927</x:v>
      </x:c>
      <x:c r="B928" s="35" t="n">
        <x:v>34</x:v>
      </x:c>
      <x:c r="C928" s="35" t="str">
        <x:v>Male</x:v>
      </x:c>
      <x:c r="D928" s="35" t="str">
        <x:v>Marketing</x:v>
      </x:c>
      <x:c r="E928" s="35" t="str">
        <x:v>Marketing Specialist</x:v>
      </x:c>
      <x:c r="F928" s="35" t="str">
        <x:v>Technical Degree</x:v>
      </x:c>
      <x:c r="G928" s="35" t="str">
        <x:v>Married</x:v>
      </x:c>
      <x:c r="H928" s="35" t="n">
        <x:v>1</x:v>
      </x:c>
      <x:c r="I928" s="36" t="n">
        <x:v>5520</x:v>
      </x:c>
      <x:c r="J928" s="35" t="n">
        <x:v>7</x:v>
      </x:c>
      <x:c r="K928" s="35" t="n">
        <x:v>4</x:v>
      </x:c>
      <x:c r="L928" s="35" t="n">
        <x:v>2</x:v>
      </x:c>
      <x:c r="M928" s="35" t="n">
        <x:v>19</x:v>
      </x:c>
      <x:c r="N928" s="35" t="str">
        <x:v>No</x:v>
      </x:c>
      <x:c r="O928" s="35" t="n">
        <x:v>2</x:v>
      </x:c>
      <x:c r="P928" s="35" t="n">
        <x:v>3</x:v>
      </x:c>
      <x:c r="Q928" s="35" t="n">
        <x:v>2</x:v>
      </x:c>
      <x:c r="R928" s="35" t="n">
        <x:v>2</x:v>
      </x:c>
      <x:c r="S928" s="35" t="n">
        <x:v>4</x:v>
      </x:c>
      <x:c r="T928" s="35" t="n">
        <x:v>3</x:v>
      </x:c>
      <x:c r="U928" s="35" t="n">
        <x:v>0</x:v>
      </x:c>
      <x:c r="V928" s="35" t="n">
        <x:v>7</x:v>
      </x:c>
      <x:c r="W928" s="35" t="n">
        <x:v>8</x:v>
      </x:c>
      <x:c r="X928" s="35" t="n">
        <x:v>46</x:v>
      </x:c>
      <x:c r="Y928" s="35" t="n">
        <x:v>5</x:v>
      </x:c>
      <x:c r="Z928" s="35" t="n">
        <x:v>97</x:v>
      </x:c>
      <x:c r="AA928" s="35" t="n">
        <x:v>2</x:v>
      </x:c>
      <x:c r="AB928" s="35" t="n">
        <x:v>1</x:v>
      </x:c>
      <x:c r="AC928" s="35" t="n">
        <x:v>1</x:v>
      </x:c>
      <x:c r="AD928" s="35" t="n">
        <x:v>64</x:v>
      </x:c>
      <x:c r="AE928" s="35" t="n">
        <x:v>72</x:v>
      </x:c>
      <x:c r="AF928" s="35" t="n">
        <x:v>57</x:v>
      </x:c>
      <x:c r="AG928" s="35" t="n">
        <x:v>80</x:v>
      </x:c>
      <x:c r="AH928" s="35" t="n">
        <x:v>8</x:v>
      </x:c>
      <x:c r="AI928" s="37" t="n">
        <x:v>97.4</x:v>
      </x:c>
      <x:c r="AJ928" s="37" t="n">
        <x:v>100</x:v>
      </x:c>
      <x:c r="AK928" s="35" t="str">
        <x:v>No</x:v>
      </x:c>
      <x:c r="AL928" s="38" t="n">
        <x:f>IF(AA928=0,0,AB928/AA928)</x:f>
        <x:v>0.5</x:v>
      </x:c>
      <x:c r="AM928" s="38" t="n">
        <x:f>IF(AB928=0,0,AC928/AB928)</x:f>
        <x:v>1</x:v>
      </x:c>
      <x:c r="AN928" s="37" t="n">
        <x:f>ROUND((AD928*0.20+AE928*0.20+AF928*0.25+AG928*0.15+MIN(100,AC928*12)*0.20),1)</x:f>
        <x:v>55.9</x:v>
      </x:c>
      <x:c r="AO928" s="37" t="n">
        <x:f>ROUND(MAX(0,MIN(100,(X928*0.35)+(W928/45*100*0.20)+((5-O928)/4*100*0.15)+((5-P928)/4*100*0.10)+((6-Y928)/5*100*0.10)+((100-Z928)*0.10))),1)</x:f>
        <x:v>38.2</x:v>
      </x:c>
      <x:c r="AP928" s="37" t="str">
        <x:f>IF(AO928&gt;=70,"High",IF(AO928&gt;=40,"Moderate","Low"))</x:f>
        <x:v>Low</x:v>
      </x:c>
      <x:c r="AQ928" s="37" t="n">
        <x:f>ROUND(MAX(0,MIN(100,(O928/4*100*0.25)+(P928/4*100*0.20)+(Q928/4*100*0.15)+(Y928/5*100*0.20)+(100-AO928)*0.20)),1)</x:f>
        <x:v>67.4</x:v>
      </x:c>
      <x:c r="AR928" s="37" t="n">
        <x:f>ROUND((AI928*0.20+AJ928*0.15+AN928*0.18+AG928*0.12+Z928*0.15+AQ928*0.20),1)</x:f>
        <x:v>82.2</x:v>
      </x:c>
      <x:c r="AS928" s="39" t="n">
        <x:f>ROUND((AC928*AF928*120)+(AH928*350)+(MAX(0,AI928-75)*220)+(MAX(0,AQ928-60)*100),0)</x:f>
        <x:v>15308</x:v>
      </x:c>
    </x:row>
    <x:row r="929">
      <x:c r="A929" s="35" t="n">
        <x:v>928</x:v>
      </x:c>
      <x:c r="B929" s="35" t="n">
        <x:v>44</x:v>
      </x:c>
      <x:c r="C929" s="35" t="str">
        <x:v>Female</x:v>
      </x:c>
      <x:c r="D929" s="35" t="str">
        <x:v>Sales</x:v>
      </x:c>
      <x:c r="E929" s="35" t="str">
        <x:v>Account Manager</x:v>
      </x:c>
      <x:c r="F929" s="35" t="str">
        <x:v>Technical Degree</x:v>
      </x:c>
      <x:c r="G929" s="35" t="str">
        <x:v>Married</x:v>
      </x:c>
      <x:c r="H929" s="35" t="n">
        <x:v>3</x:v>
      </x:c>
      <x:c r="I929" s="36" t="n">
        <x:v>11030</x:v>
      </x:c>
      <x:c r="J929" s="35" t="n">
        <x:v>11</x:v>
      </x:c>
      <x:c r="K929" s="35" t="n">
        <x:v>6</x:v>
      </x:c>
      <x:c r="L929" s="35" t="n">
        <x:v>5</x:v>
      </x:c>
      <x:c r="M929" s="35" t="n">
        <x:v>14</x:v>
      </x:c>
      <x:c r="N929" s="35" t="str">
        <x:v>No</x:v>
      </x:c>
      <x:c r="O929" s="35" t="n">
        <x:v>2</x:v>
      </x:c>
      <x:c r="P929" s="35" t="n">
        <x:v>3</x:v>
      </x:c>
      <x:c r="Q929" s="35" t="n">
        <x:v>3</x:v>
      </x:c>
      <x:c r="R929" s="35" t="n">
        <x:v>3</x:v>
      </x:c>
      <x:c r="S929" s="35" t="n">
        <x:v>3</x:v>
      </x:c>
      <x:c r="T929" s="35" t="n">
        <x:v>3</x:v>
      </x:c>
      <x:c r="U929" s="35" t="n">
        <x:v>0</x:v>
      </x:c>
      <x:c r="V929" s="35" t="n">
        <x:v>8</x:v>
      </x:c>
      <x:c r="W929" s="35" t="n">
        <x:v>2</x:v>
      </x:c>
      <x:c r="X929" s="35" t="n">
        <x:v>64</x:v>
      </x:c>
      <x:c r="Y929" s="35" t="n">
        <x:v>5</x:v>
      </x:c>
      <x:c r="Z929" s="35" t="n">
        <x:v>100</x:v>
      </x:c>
      <x:c r="AA929" s="35" t="n">
        <x:v>4</x:v>
      </x:c>
      <x:c r="AB929" s="35" t="n">
        <x:v>4</x:v>
      </x:c>
      <x:c r="AC929" s="35" t="n">
        <x:v>4</x:v>
      </x:c>
      <x:c r="AD929" s="35" t="n">
        <x:v>86</x:v>
      </x:c>
      <x:c r="AE929" s="35" t="n">
        <x:v>85</x:v>
      </x:c>
      <x:c r="AF929" s="35" t="n">
        <x:v>78</x:v>
      </x:c>
      <x:c r="AG929" s="35" t="n">
        <x:v>84</x:v>
      </x:c>
      <x:c r="AH929" s="35" t="n">
        <x:v>4</x:v>
      </x:c>
      <x:c r="AI929" s="37" t="n">
        <x:v>94</x:v>
      </x:c>
      <x:c r="AJ929" s="37" t="n">
        <x:v>96.6</x:v>
      </x:c>
      <x:c r="AK929" s="35" t="str">
        <x:v>No</x:v>
      </x:c>
      <x:c r="AL929" s="38" t="n">
        <x:f>IF(AA929=0,0,AB929/AA929)</x:f>
        <x:v>1</x:v>
      </x:c>
      <x:c r="AM929" s="38" t="n">
        <x:f>IF(AB929=0,0,AC929/AB929)</x:f>
        <x:v>1</x:v>
      </x:c>
      <x:c r="AN929" s="37" t="n">
        <x:f>ROUND((AD929*0.20+AE929*0.20+AF929*0.25+AG929*0.15+MIN(100,AC929*12)*0.20),1)</x:f>
        <x:v>75.9</x:v>
      </x:c>
      <x:c r="AO929" s="37" t="n">
        <x:f>ROUND(MAX(0,MIN(100,(X929*0.35)+(W929/45*100*0.20)+((5-O929)/4*100*0.15)+((5-P929)/4*100*0.10)+((6-Y929)/5*100*0.10)+((100-Z929)*0.10))),1)</x:f>
        <x:v>41.5</x:v>
      </x:c>
      <x:c r="AP929" s="37" t="str">
        <x:f>IF(AO929&gt;=70,"High",IF(AO929&gt;=40,"Moderate","Low"))</x:f>
        <x:v>Moderate</x:v>
      </x:c>
      <x:c r="AQ929" s="37" t="n">
        <x:f>ROUND(MAX(0,MIN(100,(O929/4*100*0.25)+(P929/4*100*0.20)+(Q929/4*100*0.15)+(Y929/5*100*0.20)+(100-AO929)*0.20)),1)</x:f>
        <x:v>70.5</x:v>
      </x:c>
      <x:c r="AR929" s="37" t="n">
        <x:f>ROUND((AI929*0.20+AJ929*0.15+AN929*0.18+AG929*0.12+Z929*0.15+AQ929*0.20),1)</x:f>
        <x:v>86.1</x:v>
      </x:c>
      <x:c r="AS929" s="39" t="n">
        <x:f>ROUND((AC929*AF929*120)+(AH929*350)+(MAX(0,AI929-75)*220)+(MAX(0,AQ929-60)*100),0)</x:f>
        <x:v>44070</x:v>
      </x:c>
    </x:row>
    <x:row r="930">
      <x:c r="A930" s="35" t="n">
        <x:v>929</x:v>
      </x:c>
      <x:c r="B930" s="35" t="n">
        <x:v>34</x:v>
      </x:c>
      <x:c r="C930" s="35" t="str">
        <x:v>Female</x:v>
      </x:c>
      <x:c r="D930" s="35" t="str">
        <x:v>Research &amp; Development</x:v>
      </x:c>
      <x:c r="E930" s="35" t="str">
        <x:v>Data Scientist</x:v>
      </x:c>
      <x:c r="F930" s="35" t="str">
        <x:v>Medical</x:v>
      </x:c>
      <x:c r="G930" s="35" t="str">
        <x:v>Married</x:v>
      </x:c>
      <x:c r="H930" s="35" t="n">
        <x:v>2</x:v>
      </x:c>
      <x:c r="I930" s="36" t="n">
        <x:v>9050</x:v>
      </x:c>
      <x:c r="J930" s="35" t="n">
        <x:v>9</x:v>
      </x:c>
      <x:c r="K930" s="35" t="n">
        <x:v>6</x:v>
      </x:c>
      <x:c r="L930" s="35" t="n">
        <x:v>4</x:v>
      </x:c>
      <x:c r="M930" s="35" t="n">
        <x:v>3</x:v>
      </x:c>
      <x:c r="N930" s="35" t="str">
        <x:v>No</x:v>
      </x:c>
      <x:c r="O930" s="35" t="n">
        <x:v>3</x:v>
      </x:c>
      <x:c r="P930" s="35" t="n">
        <x:v>2</x:v>
      </x:c>
      <x:c r="Q930" s="35" t="n">
        <x:v>3</x:v>
      </x:c>
      <x:c r="R930" s="35" t="n">
        <x:v>2</x:v>
      </x:c>
      <x:c r="S930" s="35" t="n">
        <x:v>3</x:v>
      </x:c>
      <x:c r="T930" s="35" t="n">
        <x:v>2</x:v>
      </x:c>
      <x:c r="U930" s="35" t="n">
        <x:v>0</x:v>
      </x:c>
      <x:c r="V930" s="35" t="n">
        <x:v>5</x:v>
      </x:c>
      <x:c r="W930" s="35" t="n">
        <x:v>3</x:v>
      </x:c>
      <x:c r="X930" s="35" t="n">
        <x:v>66</x:v>
      </x:c>
      <x:c r="Y930" s="35" t="n">
        <x:v>5</x:v>
      </x:c>
      <x:c r="Z930" s="35" t="n">
        <x:v>100</x:v>
      </x:c>
      <x:c r="AA930" s="35" t="n">
        <x:v>5</x:v>
      </x:c>
      <x:c r="AB930" s="35" t="n">
        <x:v>4</x:v>
      </x:c>
      <x:c r="AC930" s="35" t="n">
        <x:v>4</x:v>
      </x:c>
      <x:c r="AD930" s="35" t="n">
        <x:v>73</x:v>
      </x:c>
      <x:c r="AE930" s="35" t="n">
        <x:v>78</x:v>
      </x:c>
      <x:c r="AF930" s="35" t="n">
        <x:v>80</x:v>
      </x:c>
      <x:c r="AG930" s="35" t="n">
        <x:v>85</x:v>
      </x:c>
      <x:c r="AH930" s="35" t="n">
        <x:v>6</x:v>
      </x:c>
      <x:c r="AI930" s="37" t="n">
        <x:v>95.1</x:v>
      </x:c>
      <x:c r="AJ930" s="37" t="n">
        <x:v>93.2</x:v>
      </x:c>
      <x:c r="AK930" s="35" t="str">
        <x:v>No</x:v>
      </x:c>
      <x:c r="AL930" s="38" t="n">
        <x:f>IF(AA930=0,0,AB930/AA930)</x:f>
        <x:v>0.8</x:v>
      </x:c>
      <x:c r="AM930" s="38" t="n">
        <x:f>IF(AB930=0,0,AC930/AB930)</x:f>
        <x:v>1</x:v>
      </x:c>
      <x:c r="AN930" s="37" t="n">
        <x:f>ROUND((AD930*0.20+AE930*0.20+AF930*0.25+AG930*0.15+MIN(100,AC930*12)*0.20),1)</x:f>
        <x:v>72.6</x:v>
      </x:c>
      <x:c r="AO930" s="37" t="n">
        <x:f>ROUND(MAX(0,MIN(100,(X930*0.35)+(W930/45*100*0.20)+((5-O930)/4*100*0.15)+((5-P930)/4*100*0.10)+((6-Y930)/5*100*0.10)+((100-Z930)*0.10))),1)</x:f>
        <x:v>41.4</x:v>
      </x:c>
      <x:c r="AP930" s="37" t="str">
        <x:f>IF(AO930&gt;=70,"High",IF(AO930&gt;=40,"Moderate","Low"))</x:f>
        <x:v>Moderate</x:v>
      </x:c>
      <x:c r="AQ930" s="37" t="n">
        <x:f>ROUND(MAX(0,MIN(100,(O930/4*100*0.25)+(P930/4*100*0.20)+(Q930/4*100*0.15)+(Y930/5*100*0.20)+(100-AO930)*0.20)),1)</x:f>
        <x:v>71.7</x:v>
      </x:c>
      <x:c r="AR930" s="37" t="n">
        <x:f>ROUND((AI930*0.20+AJ930*0.15+AN930*0.18+AG930*0.12+Z930*0.15+AQ930*0.20),1)</x:f>
        <x:v>85.6</x:v>
      </x:c>
      <x:c r="AS930" s="39" t="n">
        <x:f>ROUND((AC930*AF930*120)+(AH930*350)+(MAX(0,AI930-75)*220)+(MAX(0,AQ930-60)*100),0)</x:f>
        <x:v>46092</x:v>
      </x:c>
    </x:row>
    <x:row r="931">
      <x:c r="A931" s="35" t="n">
        <x:v>930</x:v>
      </x:c>
      <x:c r="B931" s="35" t="n">
        <x:v>26</x:v>
      </x:c>
      <x:c r="C931" s="35" t="str">
        <x:v>Male</x:v>
      </x:c>
      <x:c r="D931" s="35" t="str">
        <x:v>Sales</x:v>
      </x:c>
      <x:c r="E931" s="35" t="str">
        <x:v>Account Manager</x:v>
      </x:c>
      <x:c r="F931" s="35" t="str">
        <x:v>Computer Science</x:v>
      </x:c>
      <x:c r="G931" s="35" t="str">
        <x:v>Divorced</x:v>
      </x:c>
      <x:c r="H931" s="35" t="n">
        <x:v>1</x:v>
      </x:c>
      <x:c r="I931" s="36" t="n">
        <x:v>5960</x:v>
      </x:c>
      <x:c r="J931" s="35" t="n">
        <x:v>3</x:v>
      </x:c>
      <x:c r="K931" s="35" t="n">
        <x:v>2</x:v>
      </x:c>
      <x:c r="L931" s="35" t="n">
        <x:v>1</x:v>
      </x:c>
      <x:c r="M931" s="35" t="n">
        <x:v>6</x:v>
      </x:c>
      <x:c r="N931" s="35" t="str">
        <x:v>Yes</x:v>
      </x:c>
      <x:c r="O931" s="35" t="n">
        <x:v>3</x:v>
      </x:c>
      <x:c r="P931" s="35" t="n">
        <x:v>3</x:v>
      </x:c>
      <x:c r="Q931" s="35" t="n">
        <x:v>3</x:v>
      </x:c>
      <x:c r="R931" s="35" t="n">
        <x:v>2</x:v>
      </x:c>
      <x:c r="S931" s="35" t="n">
        <x:v>3</x:v>
      </x:c>
      <x:c r="T931" s="35" t="n">
        <x:v>1</x:v>
      </x:c>
      <x:c r="U931" s="35" t="n">
        <x:v>2</x:v>
      </x:c>
      <x:c r="V931" s="35" t="n">
        <x:v>8</x:v>
      </x:c>
      <x:c r="W931" s="35" t="n">
        <x:v>25</x:v>
      </x:c>
      <x:c r="X931" s="35" t="n">
        <x:v>56</x:v>
      </x:c>
      <x:c r="Y931" s="35" t="n">
        <x:v>5</x:v>
      </x:c>
      <x:c r="Z931" s="35" t="n">
        <x:v>91</x:v>
      </x:c>
      <x:c r="AA931" s="35" t="n">
        <x:v>5</x:v>
      </x:c>
      <x:c r="AB931" s="35" t="n">
        <x:v>2</x:v>
      </x:c>
      <x:c r="AC931" s="35" t="n">
        <x:v>2</x:v>
      </x:c>
      <x:c r="AD931" s="35" t="n">
        <x:v>73</x:v>
      </x:c>
      <x:c r="AE931" s="35" t="n">
        <x:v>73</x:v>
      </x:c>
      <x:c r="AF931" s="35" t="n">
        <x:v>61</x:v>
      </x:c>
      <x:c r="AG931" s="35" t="n">
        <x:v>90</x:v>
      </x:c>
      <x:c r="AH931" s="35" t="n">
        <x:v>3</x:v>
      </x:c>
      <x:c r="AI931" s="37" t="n">
        <x:v>95.2</x:v>
      </x:c>
      <x:c r="AJ931" s="37" t="n">
        <x:v>97.5</x:v>
      </x:c>
      <x:c r="AK931" s="35" t="str">
        <x:v>No</x:v>
      </x:c>
      <x:c r="AL931" s="38" t="n">
        <x:f>IF(AA931=0,0,AB931/AA931)</x:f>
        <x:v>0.4</x:v>
      </x:c>
      <x:c r="AM931" s="38" t="n">
        <x:f>IF(AB931=0,0,AC931/AB931)</x:f>
        <x:v>1</x:v>
      </x:c>
      <x:c r="AN931" s="37" t="n">
        <x:f>ROUND((AD931*0.20+AE931*0.20+AF931*0.25+AG931*0.15+MIN(100,AC931*12)*0.20),1)</x:f>
        <x:v>62.8</x:v>
      </x:c>
      <x:c r="AO931" s="37" t="n">
        <x:f>ROUND(MAX(0,MIN(100,(X931*0.35)+(W931/45*100*0.20)+((5-O931)/4*100*0.15)+((5-P931)/4*100*0.10)+((6-Y931)/5*100*0.10)+((100-Z931)*0.10))),1)</x:f>
        <x:v>46.1</x:v>
      </x:c>
      <x:c r="AP931" s="37" t="str">
        <x:f>IF(AO931&gt;=70,"High",IF(AO931&gt;=40,"Moderate","Low"))</x:f>
        <x:v>Moderate</x:v>
      </x:c>
      <x:c r="AQ931" s="37" t="n">
        <x:f>ROUND(MAX(0,MIN(100,(O931/4*100*0.25)+(P931/4*100*0.20)+(Q931/4*100*0.15)+(Y931/5*100*0.20)+(100-AO931)*0.20)),1)</x:f>
        <x:v>75.8</x:v>
      </x:c>
      <x:c r="AR931" s="37" t="n">
        <x:f>ROUND((AI931*0.20+AJ931*0.15+AN931*0.18+AG931*0.12+Z931*0.15+AQ931*0.20),1)</x:f>
        <x:v>84.6</x:v>
      </x:c>
      <x:c r="AS931" s="39" t="n">
        <x:f>ROUND((AC931*AF931*120)+(AH931*350)+(MAX(0,AI931-75)*220)+(MAX(0,AQ931-60)*100),0)</x:f>
        <x:v>21714</x:v>
      </x:c>
    </x:row>
    <x:row r="932">
      <x:c r="A932" s="35" t="n">
        <x:v>931</x:v>
      </x:c>
      <x:c r="B932" s="35" t="n">
        <x:v>30</x:v>
      </x:c>
      <x:c r="C932" s="35" t="str">
        <x:v>Female</x:v>
      </x:c>
      <x:c r="D932" s="35" t="str">
        <x:v>Finance</x:v>
      </x:c>
      <x:c r="E932" s="35" t="str">
        <x:v>Accountant</x:v>
      </x:c>
      <x:c r="F932" s="35" t="str">
        <x:v>Technical Degree</x:v>
      </x:c>
      <x:c r="G932" s="35" t="str">
        <x:v>Single</x:v>
      </x:c>
      <x:c r="H932" s="35" t="n">
        <x:v>1</x:v>
      </x:c>
      <x:c r="I932" s="36" t="n">
        <x:v>6140</x:v>
      </x:c>
      <x:c r="J932" s="35" t="n">
        <x:v>4</x:v>
      </x:c>
      <x:c r="K932" s="35" t="n">
        <x:v>3</x:v>
      </x:c>
      <x:c r="L932" s="35" t="n">
        <x:v>2</x:v>
      </x:c>
      <x:c r="M932" s="35" t="n">
        <x:v>6</x:v>
      </x:c>
      <x:c r="N932" s="35" t="str">
        <x:v>No</x:v>
      </x:c>
      <x:c r="O932" s="35" t="n">
        <x:v>3</x:v>
      </x:c>
      <x:c r="P932" s="35" t="n">
        <x:v>3</x:v>
      </x:c>
      <x:c r="Q932" s="35" t="n">
        <x:v>3</x:v>
      </x:c>
      <x:c r="R932" s="35" t="n">
        <x:v>3</x:v>
      </x:c>
      <x:c r="S932" s="35" t="n">
        <x:v>3</x:v>
      </x:c>
      <x:c r="T932" s="35" t="n">
        <x:v>4</x:v>
      </x:c>
      <x:c r="U932" s="35" t="n">
        <x:v>1</x:v>
      </x:c>
      <x:c r="V932" s="35" t="n">
        <x:v>0</x:v>
      </x:c>
      <x:c r="W932" s="35" t="n">
        <x:v>0</x:v>
      </x:c>
      <x:c r="X932" s="35" t="n">
        <x:v>74</x:v>
      </x:c>
      <x:c r="Y932" s="35" t="n">
        <x:v>5</x:v>
      </x:c>
      <x:c r="Z932" s="35" t="n">
        <x:v>100</x:v>
      </x:c>
      <x:c r="AA932" s="35" t="n">
        <x:v>2</x:v>
      </x:c>
      <x:c r="AB932" s="35" t="n">
        <x:v>2</x:v>
      </x:c>
      <x:c r="AC932" s="35" t="n">
        <x:v>2</x:v>
      </x:c>
      <x:c r="AD932" s="35" t="n">
        <x:v>45</x:v>
      </x:c>
      <x:c r="AE932" s="35" t="n">
        <x:v>71</x:v>
      </x:c>
      <x:c r="AF932" s="35" t="n">
        <x:v>61</x:v>
      </x:c>
      <x:c r="AG932" s="35" t="n">
        <x:v>86</x:v>
      </x:c>
      <x:c r="AH932" s="35" t="n">
        <x:v>7</x:v>
      </x:c>
      <x:c r="AI932" s="37" t="n">
        <x:v>92.9</x:v>
      </x:c>
      <x:c r="AJ932" s="37" t="n">
        <x:v>93.8</x:v>
      </x:c>
      <x:c r="AK932" s="35" t="str">
        <x:v>No</x:v>
      </x:c>
      <x:c r="AL932" s="38" t="n">
        <x:f>IF(AA932=0,0,AB932/AA932)</x:f>
        <x:v>1</x:v>
      </x:c>
      <x:c r="AM932" s="38" t="n">
        <x:f>IF(AB932=0,0,AC932/AB932)</x:f>
        <x:v>1</x:v>
      </x:c>
      <x:c r="AN932" s="37" t="n">
        <x:f>ROUND((AD932*0.20+AE932*0.20+AF932*0.25+AG932*0.15+MIN(100,AC932*12)*0.20),1)</x:f>
        <x:v>56.2</x:v>
      </x:c>
      <x:c r="AO932" s="37" t="n">
        <x:f>ROUND(MAX(0,MIN(100,(X932*0.35)+(W932/45*100*0.20)+((5-O932)/4*100*0.15)+((5-P932)/4*100*0.10)+((6-Y932)/5*100*0.10)+((100-Z932)*0.10))),1)</x:f>
        <x:v>40.4</x:v>
      </x:c>
      <x:c r="AP932" s="37" t="str">
        <x:f>IF(AO932&gt;=70,"High",IF(AO932&gt;=40,"Moderate","Low"))</x:f>
        <x:v>Moderate</x:v>
      </x:c>
      <x:c r="AQ932" s="37" t="n">
        <x:f>ROUND(MAX(0,MIN(100,(O932/4*100*0.25)+(P932/4*100*0.20)+(Q932/4*100*0.15)+(Y932/5*100*0.20)+(100-AO932)*0.20)),1)</x:f>
        <x:v>76.9</x:v>
      </x:c>
      <x:c r="AR932" s="37" t="n">
        <x:f>ROUND((AI932*0.20+AJ932*0.15+AN932*0.18+AG932*0.12+Z932*0.15+AQ932*0.20),1)</x:f>
        <x:v>83.5</x:v>
      </x:c>
      <x:c r="AS932" s="39" t="n">
        <x:f>ROUND((AC932*AF932*120)+(AH932*350)+(MAX(0,AI932-75)*220)+(MAX(0,AQ932-60)*100),0)</x:f>
        <x:v>22718</x:v>
      </x:c>
    </x:row>
    <x:row r="933">
      <x:c r="A933" s="35" t="n">
        <x:v>932</x:v>
      </x:c>
      <x:c r="B933" s="35" t="n">
        <x:v>36</x:v>
      </x:c>
      <x:c r="C933" s="35" t="str">
        <x:v>Male</x:v>
      </x:c>
      <x:c r="D933" s="35" t="str">
        <x:v>Research &amp; Development</x:v>
      </x:c>
      <x:c r="E933" s="35" t="str">
        <x:v>R&amp;D Manager</x:v>
      </x:c>
      <x:c r="F933" s="35" t="str">
        <x:v>Computer Science</x:v>
      </x:c>
      <x:c r="G933" s="35" t="str">
        <x:v>Single</x:v>
      </x:c>
      <x:c r="H933" s="35" t="n">
        <x:v>1</x:v>
      </x:c>
      <x:c r="I933" s="36" t="n">
        <x:v>6610</x:v>
      </x:c>
      <x:c r="J933" s="35" t="n">
        <x:v>10</x:v>
      </x:c>
      <x:c r="K933" s="35" t="n">
        <x:v>8</x:v>
      </x:c>
      <x:c r="L933" s="35" t="n">
        <x:v>3</x:v>
      </x:c>
      <x:c r="M933" s="35" t="n">
        <x:v>7</x:v>
      </x:c>
      <x:c r="N933" s="35" t="str">
        <x:v>No</x:v>
      </x:c>
      <x:c r="O933" s="35" t="n">
        <x:v>2</x:v>
      </x:c>
      <x:c r="P933" s="35" t="n">
        <x:v>3</x:v>
      </x:c>
      <x:c r="Q933" s="35" t="n">
        <x:v>3</x:v>
      </x:c>
      <x:c r="R933" s="35" t="n">
        <x:v>3</x:v>
      </x:c>
      <x:c r="S933" s="35" t="n">
        <x:v>4</x:v>
      </x:c>
      <x:c r="T933" s="35" t="n">
        <x:v>5</x:v>
      </x:c>
      <x:c r="U933" s="35" t="n">
        <x:v>1</x:v>
      </x:c>
      <x:c r="V933" s="35" t="n">
        <x:v>11</x:v>
      </x:c>
      <x:c r="W933" s="35" t="n">
        <x:v>0</x:v>
      </x:c>
      <x:c r="X933" s="35" t="n">
        <x:v>64</x:v>
      </x:c>
      <x:c r="Y933" s="35" t="n">
        <x:v>5</x:v>
      </x:c>
      <x:c r="Z933" s="35" t="n">
        <x:v>100</x:v>
      </x:c>
      <x:c r="AA933" s="35" t="n">
        <x:v>6</x:v>
      </x:c>
      <x:c r="AB933" s="35" t="n">
        <x:v>4</x:v>
      </x:c>
      <x:c r="AC933" s="35" t="n">
        <x:v>4</x:v>
      </x:c>
      <x:c r="AD933" s="35" t="n">
        <x:v>69</x:v>
      </x:c>
      <x:c r="AE933" s="35" t="n">
        <x:v>82</x:v>
      </x:c>
      <x:c r="AF933" s="35" t="n">
        <x:v>79</x:v>
      </x:c>
      <x:c r="AG933" s="35" t="n">
        <x:v>100</x:v>
      </x:c>
      <x:c r="AH933" s="35" t="n">
        <x:v>12</x:v>
      </x:c>
      <x:c r="AI933" s="37" t="n">
        <x:v>100</x:v>
      </x:c>
      <x:c r="AJ933" s="37" t="n">
        <x:v>95.9</x:v>
      </x:c>
      <x:c r="AK933" s="35" t="str">
        <x:v>No</x:v>
      </x:c>
      <x:c r="AL933" s="38" t="n">
        <x:f>IF(AA933=0,0,AB933/AA933)</x:f>
        <x:v>0.6666666666666666</x:v>
      </x:c>
      <x:c r="AM933" s="38" t="n">
        <x:f>IF(AB933=0,0,AC933/AB933)</x:f>
        <x:v>1</x:v>
      </x:c>
      <x:c r="AN933" s="37" t="n">
        <x:f>ROUND((AD933*0.20+AE933*0.20+AF933*0.25+AG933*0.15+MIN(100,AC933*12)*0.20),1)</x:f>
        <x:v>74.6</x:v>
      </x:c>
      <x:c r="AO933" s="37" t="n">
        <x:f>ROUND(MAX(0,MIN(100,(X933*0.35)+(W933/45*100*0.20)+((5-O933)/4*100*0.15)+((5-P933)/4*100*0.10)+((6-Y933)/5*100*0.10)+((100-Z933)*0.10))),1)</x:f>
        <x:v>40.7</x:v>
      </x:c>
      <x:c r="AP933" s="37" t="str">
        <x:f>IF(AO933&gt;=70,"High",IF(AO933&gt;=40,"Moderate","Low"))</x:f>
        <x:v>Moderate</x:v>
      </x:c>
      <x:c r="AQ933" s="37" t="n">
        <x:f>ROUND(MAX(0,MIN(100,(O933/4*100*0.25)+(P933/4*100*0.20)+(Q933/4*100*0.15)+(Y933/5*100*0.20)+(100-AO933)*0.20)),1)</x:f>
        <x:v>70.6</x:v>
      </x:c>
      <x:c r="AR933" s="37" t="n">
        <x:f>ROUND((AI933*0.20+AJ933*0.15+AN933*0.18+AG933*0.12+Z933*0.15+AQ933*0.20),1)</x:f>
        <x:v>88.9</x:v>
      </x:c>
      <x:c r="AS933" s="39" t="n">
        <x:f>ROUND((AC933*AF933*120)+(AH933*350)+(MAX(0,AI933-75)*220)+(MAX(0,AQ933-60)*100),0)</x:f>
        <x:v>48680</x:v>
      </x:c>
    </x:row>
    <x:row r="934">
      <x:c r="A934" s="35" t="n">
        <x:v>933</x:v>
      </x:c>
      <x:c r="B934" s="35" t="n">
        <x:v>29</x:v>
      </x:c>
      <x:c r="C934" s="35" t="str">
        <x:v>Male</x:v>
      </x:c>
      <x:c r="D934" s="35" t="str">
        <x:v>Research &amp; Development</x:v>
      </x:c>
      <x:c r="E934" s="35" t="str">
        <x:v>Laboratory Technician</x:v>
      </x:c>
      <x:c r="F934" s="35" t="str">
        <x:v>Life Sciences</x:v>
      </x:c>
      <x:c r="G934" s="35" t="str">
        <x:v>Divorced</x:v>
      </x:c>
      <x:c r="H934" s="35" t="n">
        <x:v>1</x:v>
      </x:c>
      <x:c r="I934" s="36" t="n">
        <x:v>6290</x:v>
      </x:c>
      <x:c r="J934" s="35" t="n">
        <x:v>4</x:v>
      </x:c>
      <x:c r="K934" s="35" t="n">
        <x:v>1</x:v>
      </x:c>
      <x:c r="L934" s="35" t="n">
        <x:v>0</x:v>
      </x:c>
      <x:c r="M934" s="35" t="n">
        <x:v>7</x:v>
      </x:c>
      <x:c r="N934" s="35" t="str">
        <x:v>Yes</x:v>
      </x:c>
      <x:c r="O934" s="35" t="n">
        <x:v>4</x:v>
      </x:c>
      <x:c r="P934" s="35" t="n">
        <x:v>3</x:v>
      </x:c>
      <x:c r="Q934" s="35" t="n">
        <x:v>2</x:v>
      </x:c>
      <x:c r="R934" s="35" t="n">
        <x:v>3</x:v>
      </x:c>
      <x:c r="S934" s="35" t="n">
        <x:v>4</x:v>
      </x:c>
      <x:c r="T934" s="35" t="n">
        <x:v>3</x:v>
      </x:c>
      <x:c r="U934" s="35" t="n">
        <x:v>0</x:v>
      </x:c>
      <x:c r="V934" s="35" t="n">
        <x:v>6</x:v>
      </x:c>
      <x:c r="W934" s="35" t="n">
        <x:v>15</x:v>
      </x:c>
      <x:c r="X934" s="35" t="n">
        <x:v>81</x:v>
      </x:c>
      <x:c r="Y934" s="35" t="n">
        <x:v>4</x:v>
      </x:c>
      <x:c r="Z934" s="35" t="n">
        <x:v>100</x:v>
      </x:c>
      <x:c r="AA934" s="35" t="n">
        <x:v>3</x:v>
      </x:c>
      <x:c r="AB934" s="35" t="n">
        <x:v>2</x:v>
      </x:c>
      <x:c r="AC934" s="35" t="n">
        <x:v>2</x:v>
      </x:c>
      <x:c r="AD934" s="35" t="n">
        <x:v>75</x:v>
      </x:c>
      <x:c r="AE934" s="35" t="n">
        <x:v>84</x:v>
      </x:c>
      <x:c r="AF934" s="35" t="n">
        <x:v>70</x:v>
      </x:c>
      <x:c r="AG934" s="35" t="n">
        <x:v>95</x:v>
      </x:c>
      <x:c r="AH934" s="35" t="n">
        <x:v>12</x:v>
      </x:c>
      <x:c r="AI934" s="37" t="n">
        <x:v>100</x:v>
      </x:c>
      <x:c r="AJ934" s="37" t="n">
        <x:v>100</x:v>
      </x:c>
      <x:c r="AK934" s="35" t="str">
        <x:v>Yes</x:v>
      </x:c>
      <x:c r="AL934" s="38" t="n">
        <x:f>IF(AA934=0,0,AB934/AA934)</x:f>
        <x:v>0.6666666666666666</x:v>
      </x:c>
      <x:c r="AM934" s="38" t="n">
        <x:f>IF(AB934=0,0,AC934/AB934)</x:f>
        <x:v>1</x:v>
      </x:c>
      <x:c r="AN934" s="37" t="n">
        <x:f>ROUND((AD934*0.20+AE934*0.20+AF934*0.25+AG934*0.15+MIN(100,AC934*12)*0.20),1)</x:f>
        <x:v>68.4</x:v>
      </x:c>
      <x:c r="AO934" s="37" t="n">
        <x:f>ROUND(MAX(0,MIN(100,(X934*0.35)+(W934/45*100*0.20)+((5-O934)/4*100*0.15)+((5-P934)/4*100*0.10)+((6-Y934)/5*100*0.10)+((100-Z934)*0.10))),1)</x:f>
        <x:v>47.8</x:v>
      </x:c>
      <x:c r="AP934" s="37" t="str">
        <x:f>IF(AO934&gt;=70,"High",IF(AO934&gt;=40,"Moderate","Low"))</x:f>
        <x:v>Moderate</x:v>
      </x:c>
      <x:c r="AQ934" s="37" t="n">
        <x:f>ROUND(MAX(0,MIN(100,(O934/4*100*0.25)+(P934/4*100*0.20)+(Q934/4*100*0.15)+(Y934/5*100*0.20)+(100-AO934)*0.20)),1)</x:f>
        <x:v>73.9</x:v>
      </x:c>
      <x:c r="AR934" s="37" t="n">
        <x:f>ROUND((AI934*0.20+AJ934*0.15+AN934*0.18+AG934*0.12+Z934*0.15+AQ934*0.20),1)</x:f>
        <x:v>88.5</x:v>
      </x:c>
      <x:c r="AS934" s="39" t="n">
        <x:f>ROUND((AC934*AF934*120)+(AH934*350)+(MAX(0,AI934-75)*220)+(MAX(0,AQ934-60)*100),0)</x:f>
        <x:v>27890</x:v>
      </x:c>
    </x:row>
    <x:row r="935">
      <x:c r="A935" s="35" t="n">
        <x:v>934</x:v>
      </x:c>
      <x:c r="B935" s="35" t="n">
        <x:v>26</x:v>
      </x:c>
      <x:c r="C935" s="35" t="str">
        <x:v>Male</x:v>
      </x:c>
      <x:c r="D935" s="35" t="str">
        <x:v>Finance</x:v>
      </x:c>
      <x:c r="E935" s="35" t="str">
        <x:v>Financial Analyst</x:v>
      </x:c>
      <x:c r="F935" s="35" t="str">
        <x:v>Life Sciences</x:v>
      </x:c>
      <x:c r="G935" s="35" t="str">
        <x:v>Divorced</x:v>
      </x:c>
      <x:c r="H935" s="35" t="n">
        <x:v>1</x:v>
      </x:c>
      <x:c r="I935" s="36" t="n">
        <x:v>7090</x:v>
      </x:c>
      <x:c r="J935" s="35" t="n">
        <x:v>3</x:v>
      </x:c>
      <x:c r="K935" s="35" t="n">
        <x:v>1</x:v>
      </x:c>
      <x:c r="L935" s="35" t="n">
        <x:v>0</x:v>
      </x:c>
      <x:c r="M935" s="35" t="n">
        <x:v>7</x:v>
      </x:c>
      <x:c r="N935" s="35" t="str">
        <x:v>Yes</x:v>
      </x:c>
      <x:c r="O935" s="35" t="n">
        <x:v>3</x:v>
      </x:c>
      <x:c r="P935" s="35" t="n">
        <x:v>3</x:v>
      </x:c>
      <x:c r="Q935" s="35" t="n">
        <x:v>2</x:v>
      </x:c>
      <x:c r="R935" s="35" t="n">
        <x:v>4</x:v>
      </x:c>
      <x:c r="S935" s="35" t="n">
        <x:v>4</x:v>
      </x:c>
      <x:c r="T935" s="35" t="n">
        <x:v>1</x:v>
      </x:c>
      <x:c r="U935" s="35" t="n">
        <x:v>1</x:v>
      </x:c>
      <x:c r="V935" s="35" t="n">
        <x:v>11</x:v>
      </x:c>
      <x:c r="W935" s="35" t="n">
        <x:v>26</x:v>
      </x:c>
      <x:c r="X935" s="35" t="n">
        <x:v>57</x:v>
      </x:c>
      <x:c r="Y935" s="35" t="n">
        <x:v>4</x:v>
      </x:c>
      <x:c r="Z935" s="35" t="n">
        <x:v>100</x:v>
      </x:c>
      <x:c r="AA935" s="35" t="n">
        <x:v>12</x:v>
      </x:c>
      <x:c r="AB935" s="35" t="n">
        <x:v>6</x:v>
      </x:c>
      <x:c r="AC935" s="35" t="n">
        <x:v>3</x:v>
      </x:c>
      <x:c r="AD935" s="35" t="n">
        <x:v>100</x:v>
      </x:c>
      <x:c r="AE935" s="35" t="n">
        <x:v>88</x:v>
      </x:c>
      <x:c r="AF935" s="35" t="n">
        <x:v>100</x:v>
      </x:c>
      <x:c r="AG935" s="35" t="n">
        <x:v>100</x:v>
      </x:c>
      <x:c r="AH935" s="35" t="n">
        <x:v>8</x:v>
      </x:c>
      <x:c r="AI935" s="37" t="n">
        <x:v>100</x:v>
      </x:c>
      <x:c r="AJ935" s="37" t="n">
        <x:v>100</x:v>
      </x:c>
      <x:c r="AK935" s="35" t="str">
        <x:v>Yes</x:v>
      </x:c>
      <x:c r="AL935" s="38" t="n">
        <x:f>IF(AA935=0,0,AB935/AA935)</x:f>
        <x:v>0.5</x:v>
      </x:c>
      <x:c r="AM935" s="38" t="n">
        <x:f>IF(AB935=0,0,AC935/AB935)</x:f>
        <x:v>0.5</x:v>
      </x:c>
      <x:c r="AN935" s="37" t="n">
        <x:f>ROUND((AD935*0.20+AE935*0.20+AF935*0.25+AG935*0.15+MIN(100,AC935*12)*0.20),1)</x:f>
        <x:v>84.8</x:v>
      </x:c>
      <x:c r="AO935" s="37" t="n">
        <x:f>ROUND(MAX(0,MIN(100,(X935*0.35)+(W935/45*100*0.20)+((5-O935)/4*100*0.15)+((5-P935)/4*100*0.10)+((6-Y935)/5*100*0.10)+((100-Z935)*0.10))),1)</x:f>
        <x:v>48</x:v>
      </x:c>
      <x:c r="AP935" s="37" t="str">
        <x:f>IF(AO935&gt;=70,"High",IF(AO935&gt;=40,"Moderate","Low"))</x:f>
        <x:v>Moderate</x:v>
      </x:c>
      <x:c r="AQ935" s="37" t="n">
        <x:f>ROUND(MAX(0,MIN(100,(O935/4*100*0.25)+(P935/4*100*0.20)+(Q935/4*100*0.15)+(Y935/5*100*0.20)+(100-AO935)*0.20)),1)</x:f>
        <x:v>67.7</x:v>
      </x:c>
      <x:c r="AR935" s="37" t="n">
        <x:f>ROUND((AI935*0.20+AJ935*0.15+AN935*0.18+AG935*0.12+Z935*0.15+AQ935*0.20),1)</x:f>
        <x:v>90.8</x:v>
      </x:c>
      <x:c r="AS935" s="39" t="n">
        <x:f>ROUND((AC935*AF935*120)+(AH935*350)+(MAX(0,AI935-75)*220)+(MAX(0,AQ935-60)*100),0)</x:f>
        <x:v>45070</x:v>
      </x:c>
    </x:row>
    <x:row r="936">
      <x:c r="A936" s="35" t="n">
        <x:v>935</x:v>
      </x:c>
      <x:c r="B936" s="35" t="n">
        <x:v>40</x:v>
      </x:c>
      <x:c r="C936" s="35" t="str">
        <x:v>Female</x:v>
      </x:c>
      <x:c r="D936" s="35" t="str">
        <x:v>Information Technology</x:v>
      </x:c>
      <x:c r="E936" s="35" t="str">
        <x:v>Systems Analyst</x:v>
      </x:c>
      <x:c r="F936" s="35" t="str">
        <x:v>Marketing</x:v>
      </x:c>
      <x:c r="G936" s="35" t="str">
        <x:v>Married</x:v>
      </x:c>
      <x:c r="H936" s="35" t="n">
        <x:v>4</x:v>
      </x:c>
      <x:c r="I936" s="36" t="n">
        <x:v>20580</x:v>
      </x:c>
      <x:c r="J936" s="35" t="n">
        <x:v>10</x:v>
      </x:c>
      <x:c r="K936" s="35" t="n">
        <x:v>3</x:v>
      </x:c>
      <x:c r="L936" s="35" t="n">
        <x:v>1</x:v>
      </x:c>
      <x:c r="M936" s="35" t="n">
        <x:v>13</x:v>
      </x:c>
      <x:c r="N936" s="35" t="str">
        <x:v>No</x:v>
      </x:c>
      <x:c r="O936" s="35" t="n">
        <x:v>2</x:v>
      </x:c>
      <x:c r="P936" s="35" t="n">
        <x:v>2</x:v>
      </x:c>
      <x:c r="Q936" s="35" t="n">
        <x:v>4</x:v>
      </x:c>
      <x:c r="R936" s="35" t="n">
        <x:v>4</x:v>
      </x:c>
      <x:c r="S936" s="35" t="n">
        <x:v>3</x:v>
      </x:c>
      <x:c r="T936" s="35" t="n">
        <x:v>4</x:v>
      </x:c>
      <x:c r="U936" s="35" t="n">
        <x:v>3</x:v>
      </x:c>
      <x:c r="V936" s="35" t="n">
        <x:v>0</x:v>
      </x:c>
      <x:c r="W936" s="35" t="n">
        <x:v>10</x:v>
      </x:c>
      <x:c r="X936" s="35" t="n">
        <x:v>65</x:v>
      </x:c>
      <x:c r="Y936" s="35" t="n">
        <x:v>4</x:v>
      </x:c>
      <x:c r="Z936" s="35" t="n">
        <x:v>95</x:v>
      </x:c>
      <x:c r="AA936" s="35" t="n">
        <x:v>6</x:v>
      </x:c>
      <x:c r="AB936" s="35" t="n">
        <x:v>6</x:v>
      </x:c>
      <x:c r="AC936" s="35" t="n">
        <x:v>3</x:v>
      </x:c>
      <x:c r="AD936" s="35" t="n">
        <x:v>79</x:v>
      </x:c>
      <x:c r="AE936" s="35" t="n">
        <x:v>67</x:v>
      </x:c>
      <x:c r="AF936" s="35" t="n">
        <x:v>90</x:v>
      </x:c>
      <x:c r="AG936" s="35" t="n">
        <x:v>100</x:v>
      </x:c>
      <x:c r="AH936" s="35" t="n">
        <x:v>6</x:v>
      </x:c>
      <x:c r="AI936" s="37" t="n">
        <x:v>100</x:v>
      </x:c>
      <x:c r="AJ936" s="37" t="n">
        <x:v>97.7</x:v>
      </x:c>
      <x:c r="AK936" s="35" t="str">
        <x:v>No</x:v>
      </x:c>
      <x:c r="AL936" s="38" t="n">
        <x:f>IF(AA936=0,0,AB936/AA936)</x:f>
        <x:v>1</x:v>
      </x:c>
      <x:c r="AM936" s="38" t="n">
        <x:f>IF(AB936=0,0,AC936/AB936)</x:f>
        <x:v>0.5</x:v>
      </x:c>
      <x:c r="AN936" s="37" t="n">
        <x:f>ROUND((AD936*0.20+AE936*0.20+AF936*0.25+AG936*0.15+MIN(100,AC936*12)*0.20),1)</x:f>
        <x:v>73.9</x:v>
      </x:c>
      <x:c r="AO936" s="37" t="n">
        <x:f>ROUND(MAX(0,MIN(100,(X936*0.35)+(W936/45*100*0.20)+((5-O936)/4*100*0.15)+((5-P936)/4*100*0.10)+((6-Y936)/5*100*0.10)+((100-Z936)*0.10))),1)</x:f>
        <x:v>50.4</x:v>
      </x:c>
      <x:c r="AP936" s="37" t="str">
        <x:f>IF(AO936&gt;=70,"High",IF(AO936&gt;=40,"Moderate","Low"))</x:f>
        <x:v>Moderate</x:v>
      </x:c>
      <x:c r="AQ936" s="37" t="n">
        <x:f>ROUND(MAX(0,MIN(100,(O936/4*100*0.25)+(P936/4*100*0.20)+(Q936/4*100*0.15)+(Y936/5*100*0.20)+(100-AO936)*0.20)),1)</x:f>
        <x:v>63.4</x:v>
      </x:c>
      <x:c r="AR936" s="37" t="n">
        <x:f>ROUND((AI936*0.20+AJ936*0.15+AN936*0.18+AG936*0.12+Z936*0.15+AQ936*0.20),1)</x:f>
        <x:v>86.9</x:v>
      </x:c>
      <x:c r="AS936" s="39" t="n">
        <x:f>ROUND((AC936*AF936*120)+(AH936*350)+(MAX(0,AI936-75)*220)+(MAX(0,AQ936-60)*100),0)</x:f>
        <x:v>40340</x:v>
      </x:c>
    </x:row>
    <x:row r="937">
      <x:c r="A937" s="35" t="n">
        <x:v>936</x:v>
      </x:c>
      <x:c r="B937" s="35" t="n">
        <x:v>42</x:v>
      </x:c>
      <x:c r="C937" s="35" t="str">
        <x:v>Female</x:v>
      </x:c>
      <x:c r="D937" s="35" t="str">
        <x:v>Research &amp; Development</x:v>
      </x:c>
      <x:c r="E937" s="35" t="str">
        <x:v>R&amp;D Manager</x:v>
      </x:c>
      <x:c r="F937" s="35" t="str">
        <x:v>Technical Degree</x:v>
      </x:c>
      <x:c r="G937" s="35" t="str">
        <x:v>Single</x:v>
      </x:c>
      <x:c r="H937" s="35" t="n">
        <x:v>2</x:v>
      </x:c>
      <x:c r="I937" s="36" t="n">
        <x:v>11350</x:v>
      </x:c>
      <x:c r="J937" s="35" t="n">
        <x:v>11</x:v>
      </x:c>
      <x:c r="K937" s="35" t="n">
        <x:v>7</x:v>
      </x:c>
      <x:c r="L937" s="35" t="n">
        <x:v>5</x:v>
      </x:c>
      <x:c r="M937" s="35" t="n">
        <x:v>23</x:v>
      </x:c>
      <x:c r="N937" s="35" t="str">
        <x:v>Yes</x:v>
      </x:c>
      <x:c r="O937" s="35" t="n">
        <x:v>2</x:v>
      </x:c>
      <x:c r="P937" s="35" t="n">
        <x:v>3</x:v>
      </x:c>
      <x:c r="Q937" s="35" t="n">
        <x:v>3</x:v>
      </x:c>
      <x:c r="R937" s="35" t="n">
        <x:v>3</x:v>
      </x:c>
      <x:c r="S937" s="35" t="n">
        <x:v>3</x:v>
      </x:c>
      <x:c r="T937" s="35" t="n">
        <x:v>3</x:v>
      </x:c>
      <x:c r="U937" s="35" t="n">
        <x:v>1</x:v>
      </x:c>
      <x:c r="V937" s="35" t="n">
        <x:v>4</x:v>
      </x:c>
      <x:c r="W937" s="35" t="n">
        <x:v>12</x:v>
      </x:c>
      <x:c r="X937" s="35" t="n">
        <x:v>67</x:v>
      </x:c>
      <x:c r="Y937" s="35" t="n">
        <x:v>5</x:v>
      </x:c>
      <x:c r="Z937" s="35" t="n">
        <x:v>98</x:v>
      </x:c>
      <x:c r="AA937" s="35" t="n">
        <x:v>5</x:v>
      </x:c>
      <x:c r="AB937" s="35" t="n">
        <x:v>4</x:v>
      </x:c>
      <x:c r="AC937" s="35" t="n">
        <x:v>3</x:v>
      </x:c>
      <x:c r="AD937" s="35" t="n">
        <x:v>100</x:v>
      </x:c>
      <x:c r="AE937" s="35" t="n">
        <x:v>73</x:v>
      </x:c>
      <x:c r="AF937" s="35" t="n">
        <x:v>80</x:v>
      </x:c>
      <x:c r="AG937" s="35" t="n">
        <x:v>96</x:v>
      </x:c>
      <x:c r="AH937" s="35" t="n">
        <x:v>7</x:v>
      </x:c>
      <x:c r="AI937" s="37" t="n">
        <x:v>95.4</x:v>
      </x:c>
      <x:c r="AJ937" s="37" t="n">
        <x:v>100</x:v>
      </x:c>
      <x:c r="AK937" s="35" t="str">
        <x:v>No</x:v>
      </x:c>
      <x:c r="AL937" s="38" t="n">
        <x:f>IF(AA937=0,0,AB937/AA937)</x:f>
        <x:v>0.8</x:v>
      </x:c>
      <x:c r="AM937" s="38" t="n">
        <x:f>IF(AB937=0,0,AC937/AB937)</x:f>
        <x:v>0.75</x:v>
      </x:c>
      <x:c r="AN937" s="37" t="n">
        <x:f>ROUND((AD937*0.20+AE937*0.20+AF937*0.25+AG937*0.15+MIN(100,AC937*12)*0.20),1)</x:f>
        <x:v>76.2</x:v>
      </x:c>
      <x:c r="AO937" s="37" t="n">
        <x:f>ROUND(MAX(0,MIN(100,(X937*0.35)+(W937/45*100*0.20)+((5-O937)/4*100*0.15)+((5-P937)/4*100*0.10)+((6-Y937)/5*100*0.10)+((100-Z937)*0.10))),1)</x:f>
        <x:v>47.2</x:v>
      </x:c>
      <x:c r="AP937" s="37" t="str">
        <x:f>IF(AO937&gt;=70,"High",IF(AO937&gt;=40,"Moderate","Low"))</x:f>
        <x:v>Moderate</x:v>
      </x:c>
      <x:c r="AQ937" s="37" t="n">
        <x:f>ROUND(MAX(0,MIN(100,(O937/4*100*0.25)+(P937/4*100*0.20)+(Q937/4*100*0.15)+(Y937/5*100*0.20)+(100-AO937)*0.20)),1)</x:f>
        <x:v>69.3</x:v>
      </x:c>
      <x:c r="AR937" s="37" t="n">
        <x:f>ROUND((AI937*0.20+AJ937*0.15+AN937*0.18+AG937*0.12+Z937*0.15+AQ937*0.20),1)</x:f>
        <x:v>87.9</x:v>
      </x:c>
      <x:c r="AS937" s="39" t="n">
        <x:f>ROUND((AC937*AF937*120)+(AH937*350)+(MAX(0,AI937-75)*220)+(MAX(0,AQ937-60)*100),0)</x:f>
        <x:v>36668</x:v>
      </x:c>
    </x:row>
    <x:row r="938">
      <x:c r="A938" s="35" t="n">
        <x:v>937</x:v>
      </x:c>
      <x:c r="B938" s="35" t="n">
        <x:v>44</x:v>
      </x:c>
      <x:c r="C938" s="35" t="str">
        <x:v>Female</x:v>
      </x:c>
      <x:c r="D938" s="35" t="str">
        <x:v>Finance</x:v>
      </x:c>
      <x:c r="E938" s="35" t="str">
        <x:v>Accountant</x:v>
      </x:c>
      <x:c r="F938" s="35" t="str">
        <x:v>Business</x:v>
      </x:c>
      <x:c r="G938" s="35" t="str">
        <x:v>Single</x:v>
      </x:c>
      <x:c r="H938" s="35" t="n">
        <x:v>3</x:v>
      </x:c>
      <x:c r="I938" s="36" t="n">
        <x:v>14470</x:v>
      </x:c>
      <x:c r="J938" s="35" t="n">
        <x:v>17</x:v>
      </x:c>
      <x:c r="K938" s="35" t="n">
        <x:v>7</x:v>
      </x:c>
      <x:c r="L938" s="35" t="n">
        <x:v>2</x:v>
      </x:c>
      <x:c r="M938" s="35" t="n">
        <x:v>9</x:v>
      </x:c>
      <x:c r="N938" s="35" t="str">
        <x:v>No</x:v>
      </x:c>
      <x:c r="O938" s="35" t="n">
        <x:v>3</x:v>
      </x:c>
      <x:c r="P938" s="35" t="n">
        <x:v>3</x:v>
      </x:c>
      <x:c r="Q938" s="35" t="n">
        <x:v>4</x:v>
      </x:c>
      <x:c r="R938" s="35" t="n">
        <x:v>2</x:v>
      </x:c>
      <x:c r="S938" s="35" t="n">
        <x:v>3</x:v>
      </x:c>
      <x:c r="T938" s="35" t="n">
        <x:v>5</x:v>
      </x:c>
      <x:c r="U938" s="35" t="n">
        <x:v>1</x:v>
      </x:c>
      <x:c r="V938" s="35" t="n">
        <x:v>9</x:v>
      </x:c>
      <x:c r="W938" s="35" t="n">
        <x:v>9</x:v>
      </x:c>
      <x:c r="X938" s="35" t="n">
        <x:v>49</x:v>
      </x:c>
      <x:c r="Y938" s="35" t="n">
        <x:v>5</x:v>
      </x:c>
      <x:c r="Z938" s="35" t="n">
        <x:v>100</x:v>
      </x:c>
      <x:c r="AA938" s="35" t="n">
        <x:v>4</x:v>
      </x:c>
      <x:c r="AB938" s="35" t="n">
        <x:v>4</x:v>
      </x:c>
      <x:c r="AC938" s="35" t="n">
        <x:v>4</x:v>
      </x:c>
      <x:c r="AD938" s="35" t="n">
        <x:v>60</x:v>
      </x:c>
      <x:c r="AE938" s="35" t="n">
        <x:v>77</x:v>
      </x:c>
      <x:c r="AF938" s="35" t="n">
        <x:v>80</x:v>
      </x:c>
      <x:c r="AG938" s="35" t="n">
        <x:v>86</x:v>
      </x:c>
      <x:c r="AH938" s="35" t="n">
        <x:v>9</x:v>
      </x:c>
      <x:c r="AI938" s="37" t="n">
        <x:v>91.5</x:v>
      </x:c>
      <x:c r="AJ938" s="37" t="n">
        <x:v>86.7</x:v>
      </x:c>
      <x:c r="AK938" s="35" t="str">
        <x:v>No</x:v>
      </x:c>
      <x:c r="AL938" s="38" t="n">
        <x:f>IF(AA938=0,0,AB938/AA938)</x:f>
        <x:v>1</x:v>
      </x:c>
      <x:c r="AM938" s="38" t="n">
        <x:f>IF(AB938=0,0,AC938/AB938)</x:f>
        <x:v>1</x:v>
      </x:c>
      <x:c r="AN938" s="37" t="n">
        <x:f>ROUND((AD938*0.20+AE938*0.20+AF938*0.25+AG938*0.15+MIN(100,AC938*12)*0.20),1)</x:f>
        <x:v>69.9</x:v>
      </x:c>
      <x:c r="AO938" s="37" t="n">
        <x:f>ROUND(MAX(0,MIN(100,(X938*0.35)+(W938/45*100*0.20)+((5-O938)/4*100*0.15)+((5-P938)/4*100*0.10)+((6-Y938)/5*100*0.10)+((100-Z938)*0.10))),1)</x:f>
        <x:v>35.7</x:v>
      </x:c>
      <x:c r="AP938" s="37" t="str">
        <x:f>IF(AO938&gt;=70,"High",IF(AO938&gt;=40,"Moderate","Low"))</x:f>
        <x:v>Low</x:v>
      </x:c>
      <x:c r="AQ938" s="37" t="n">
        <x:f>ROUND(MAX(0,MIN(100,(O938/4*100*0.25)+(P938/4*100*0.20)+(Q938/4*100*0.15)+(Y938/5*100*0.20)+(100-AO938)*0.20)),1)</x:f>
        <x:v>81.6</x:v>
      </x:c>
      <x:c r="AR938" s="37" t="n">
        <x:f>ROUND((AI938*0.20+AJ938*0.15+AN938*0.18+AG938*0.12+Z938*0.15+AQ938*0.20),1)</x:f>
        <x:v>85.5</x:v>
      </x:c>
      <x:c r="AS938" s="39" t="n">
        <x:f>ROUND((AC938*AF938*120)+(AH938*350)+(MAX(0,AI938-75)*220)+(MAX(0,AQ938-60)*100),0)</x:f>
        <x:v>47340</x:v>
      </x:c>
    </x:row>
    <x:row r="939">
      <x:c r="A939" s="35" t="n">
        <x:v>938</x:v>
      </x:c>
      <x:c r="B939" s="35" t="n">
        <x:v>32</x:v>
      </x:c>
      <x:c r="C939" s="35" t="str">
        <x:v>Female</x:v>
      </x:c>
      <x:c r="D939" s="35" t="str">
        <x:v>Sales</x:v>
      </x:c>
      <x:c r="E939" s="35" t="str">
        <x:v>Sales Representative</x:v>
      </x:c>
      <x:c r="F939" s="35" t="str">
        <x:v>Human Resources</x:v>
      </x:c>
      <x:c r="G939" s="35" t="str">
        <x:v>Single</x:v>
      </x:c>
      <x:c r="H939" s="35" t="n">
        <x:v>1</x:v>
      </x:c>
      <x:c r="I939" s="36" t="n">
        <x:v>6320</x:v>
      </x:c>
      <x:c r="J939" s="35" t="n">
        <x:v>6</x:v>
      </x:c>
      <x:c r="K939" s="35" t="n">
        <x:v>4</x:v>
      </x:c>
      <x:c r="L939" s="35" t="n">
        <x:v>3</x:v>
      </x:c>
      <x:c r="M939" s="35" t="n">
        <x:v>26</x:v>
      </x:c>
      <x:c r="N939" s="35" t="str">
        <x:v>Yes</x:v>
      </x:c>
      <x:c r="O939" s="35" t="n">
        <x:v>3</x:v>
      </x:c>
      <x:c r="P939" s="35" t="n">
        <x:v>3</x:v>
      </x:c>
      <x:c r="Q939" s="35" t="n">
        <x:v>3</x:v>
      </x:c>
      <x:c r="R939" s="35" t="n">
        <x:v>3</x:v>
      </x:c>
      <x:c r="S939" s="35" t="n">
        <x:v>4</x:v>
      </x:c>
      <x:c r="T939" s="35" t="n">
        <x:v>3</x:v>
      </x:c>
      <x:c r="U939" s="35" t="n">
        <x:v>0</x:v>
      </x:c>
      <x:c r="V939" s="35" t="n">
        <x:v>4</x:v>
      </x:c>
      <x:c r="W939" s="35" t="n">
        <x:v>27</x:v>
      </x:c>
      <x:c r="X939" s="35" t="n">
        <x:v>92</x:v>
      </x:c>
      <x:c r="Y939" s="35" t="n">
        <x:v>3</x:v>
      </x:c>
      <x:c r="Z939" s="35" t="n">
        <x:v>94</x:v>
      </x:c>
      <x:c r="AA939" s="35" t="n">
        <x:v>4</x:v>
      </x:c>
      <x:c r="AB939" s="35" t="n">
        <x:v>2</x:v>
      </x:c>
      <x:c r="AC939" s="35" t="n">
        <x:v>2</x:v>
      </x:c>
      <x:c r="AD939" s="35" t="n">
        <x:v>52</x:v>
      </x:c>
      <x:c r="AE939" s="35" t="n">
        <x:v>74</x:v>
      </x:c>
      <x:c r="AF939" s="35" t="n">
        <x:v>67</x:v>
      </x:c>
      <x:c r="AG939" s="35" t="n">
        <x:v>100</x:v>
      </x:c>
      <x:c r="AH939" s="35" t="n">
        <x:v>9</x:v>
      </x:c>
      <x:c r="AI939" s="37" t="n">
        <x:v>100</x:v>
      </x:c>
      <x:c r="AJ939" s="37" t="n">
        <x:v>100</x:v>
      </x:c>
      <x:c r="AK939" s="35" t="str">
        <x:v>No</x:v>
      </x:c>
      <x:c r="AL939" s="38" t="n">
        <x:f>IF(AA939=0,0,AB939/AA939)</x:f>
        <x:v>0.5</x:v>
      </x:c>
      <x:c r="AM939" s="38" t="n">
        <x:f>IF(AB939=0,0,AC939/AB939)</x:f>
        <x:v>1</x:v>
      </x:c>
      <x:c r="AN939" s="37" t="n">
        <x:f>ROUND((AD939*0.20+AE939*0.20+AF939*0.25+AG939*0.15+MIN(100,AC939*12)*0.20),1)</x:f>
        <x:v>61.8</x:v>
      </x:c>
      <x:c r="AO939" s="37" t="n">
        <x:f>ROUND(MAX(0,MIN(100,(X939*0.35)+(W939/45*100*0.20)+((5-O939)/4*100*0.15)+((5-P939)/4*100*0.10)+((6-Y939)/5*100*0.10)+((100-Z939)*0.10))),1)</x:f>
        <x:v>63.3</x:v>
      </x:c>
      <x:c r="AP939" s="37" t="str">
        <x:f>IF(AO939&gt;=70,"High",IF(AO939&gt;=40,"Moderate","Low"))</x:f>
        <x:v>Moderate</x:v>
      </x:c>
      <x:c r="AQ939" s="37" t="n">
        <x:f>ROUND(MAX(0,MIN(100,(O939/4*100*0.25)+(P939/4*100*0.20)+(Q939/4*100*0.15)+(Y939/5*100*0.20)+(100-AO939)*0.20)),1)</x:f>
        <x:v>64.3</x:v>
      </x:c>
      <x:c r="AR939" s="37" t="n">
        <x:f>ROUND((AI939*0.20+AJ939*0.15+AN939*0.18+AG939*0.12+Z939*0.15+AQ939*0.20),1)</x:f>
        <x:v>85.1</x:v>
      </x:c>
      <x:c r="AS939" s="39" t="n">
        <x:f>ROUND((AC939*AF939*120)+(AH939*350)+(MAX(0,AI939-75)*220)+(MAX(0,AQ939-60)*100),0)</x:f>
        <x:v>25160</x:v>
      </x:c>
    </x:row>
    <x:row r="940">
      <x:c r="A940" s="35" t="n">
        <x:v>939</x:v>
      </x:c>
      <x:c r="B940" s="35" t="n">
        <x:v>38</x:v>
      </x:c>
      <x:c r="C940" s="35" t="str">
        <x:v>Female</x:v>
      </x:c>
      <x:c r="D940" s="35" t="str">
        <x:v>Marketing</x:v>
      </x:c>
      <x:c r="E940" s="35" t="str">
        <x:v>Marketing Manager</x:v>
      </x:c>
      <x:c r="F940" s="35" t="str">
        <x:v>Medical</x:v>
      </x:c>
      <x:c r="G940" s="35" t="str">
        <x:v>Married</x:v>
      </x:c>
      <x:c r="H940" s="35" t="n">
        <x:v>2</x:v>
      </x:c>
      <x:c r="I940" s="36" t="n">
        <x:v>7660</x:v>
      </x:c>
      <x:c r="J940" s="35" t="n">
        <x:v>11</x:v>
      </x:c>
      <x:c r="K940" s="35" t="n">
        <x:v>3</x:v>
      </x:c>
      <x:c r="L940" s="35" t="n">
        <x:v>2</x:v>
      </x:c>
      <x:c r="M940" s="35" t="n">
        <x:v>6</x:v>
      </x:c>
      <x:c r="N940" s="35" t="str">
        <x:v>No</x:v>
      </x:c>
      <x:c r="O940" s="35" t="n">
        <x:v>2</x:v>
      </x:c>
      <x:c r="P940" s="35" t="n">
        <x:v>2</x:v>
      </x:c>
      <x:c r="Q940" s="35" t="n">
        <x:v>2</x:v>
      </x:c>
      <x:c r="R940" s="35" t="n">
        <x:v>3</x:v>
      </x:c>
      <x:c r="S940" s="35" t="n">
        <x:v>3</x:v>
      </x:c>
      <x:c r="T940" s="35" t="n">
        <x:v>3</x:v>
      </x:c>
      <x:c r="U940" s="35" t="n">
        <x:v>0</x:v>
      </x:c>
      <x:c r="V940" s="35" t="n">
        <x:v>3</x:v>
      </x:c>
      <x:c r="W940" s="35" t="n">
        <x:v>1</x:v>
      </x:c>
      <x:c r="X940" s="35" t="n">
        <x:v>63</x:v>
      </x:c>
      <x:c r="Y940" s="35" t="n">
        <x:v>4</x:v>
      </x:c>
      <x:c r="Z940" s="35" t="n">
        <x:v>84</x:v>
      </x:c>
      <x:c r="AA940" s="35" t="n">
        <x:v>6</x:v>
      </x:c>
      <x:c r="AB940" s="35" t="n">
        <x:v>5</x:v>
      </x:c>
      <x:c r="AC940" s="35" t="n">
        <x:v>5</x:v>
      </x:c>
      <x:c r="AD940" s="35" t="n">
        <x:v>75</x:v>
      </x:c>
      <x:c r="AE940" s="35" t="n">
        <x:v>85</x:v>
      </x:c>
      <x:c r="AF940" s="35" t="n">
        <x:v>85</x:v>
      </x:c>
      <x:c r="AG940" s="35" t="n">
        <x:v>90</x:v>
      </x:c>
      <x:c r="AH940" s="35" t="n">
        <x:v>7</x:v>
      </x:c>
      <x:c r="AI940" s="37" t="n">
        <x:v>100</x:v>
      </x:c>
      <x:c r="AJ940" s="37" t="n">
        <x:v>83.7</x:v>
      </x:c>
      <x:c r="AK940" s="35" t="str">
        <x:v>Yes</x:v>
      </x:c>
      <x:c r="AL940" s="38" t="n">
        <x:f>IF(AA940=0,0,AB940/AA940)</x:f>
        <x:v>0.8333333333333334</x:v>
      </x:c>
      <x:c r="AM940" s="38" t="n">
        <x:f>IF(AB940=0,0,AC940/AB940)</x:f>
        <x:v>1</x:v>
      </x:c>
      <x:c r="AN940" s="37" t="n">
        <x:f>ROUND((AD940*0.20+AE940*0.20+AF940*0.25+AG940*0.15+MIN(100,AC940*12)*0.20),1)</x:f>
        <x:v>78.8</x:v>
      </x:c>
      <x:c r="AO940" s="37" t="n">
        <x:f>ROUND(MAX(0,MIN(100,(X940*0.35)+(W940/45*100*0.20)+((5-O940)/4*100*0.15)+((5-P940)/4*100*0.10)+((6-Y940)/5*100*0.10)+((100-Z940)*0.10))),1)</x:f>
        <x:v>46.8</x:v>
      </x:c>
      <x:c r="AP940" s="37" t="str">
        <x:f>IF(AO940&gt;=70,"High",IF(AO940&gt;=40,"Moderate","Low"))</x:f>
        <x:v>Moderate</x:v>
      </x:c>
      <x:c r="AQ940" s="37" t="n">
        <x:f>ROUND(MAX(0,MIN(100,(O940/4*100*0.25)+(P940/4*100*0.20)+(Q940/4*100*0.15)+(Y940/5*100*0.20)+(100-AO940)*0.20)),1)</x:f>
        <x:v>56.6</x:v>
      </x:c>
      <x:c r="AR940" s="37" t="n">
        <x:f>ROUND((AI940*0.20+AJ940*0.15+AN940*0.18+AG940*0.12+Z940*0.15+AQ940*0.20),1)</x:f>
        <x:v>81.5</x:v>
      </x:c>
      <x:c r="AS940" s="39" t="n">
        <x:f>ROUND((AC940*AF940*120)+(AH940*350)+(MAX(0,AI940-75)*220)+(MAX(0,AQ940-60)*100),0)</x:f>
        <x:v>58950</x:v>
      </x:c>
    </x:row>
    <x:row r="941">
      <x:c r="A941" s="35" t="n">
        <x:v>940</x:v>
      </x:c>
      <x:c r="B941" s="35" t="n">
        <x:v>32</x:v>
      </x:c>
      <x:c r="C941" s="35" t="str">
        <x:v>Female</x:v>
      </x:c>
      <x:c r="D941" s="35" t="str">
        <x:v>Operations</x:v>
      </x:c>
      <x:c r="E941" s="35" t="str">
        <x:v>Quality Specialist</x:v>
      </x:c>
      <x:c r="F941" s="35" t="str">
        <x:v>Life Sciences</x:v>
      </x:c>
      <x:c r="G941" s="35" t="str">
        <x:v>Married</x:v>
      </x:c>
      <x:c r="H941" s="35" t="n">
        <x:v>1</x:v>
      </x:c>
      <x:c r="I941" s="36" t="n">
        <x:v>6360</x:v>
      </x:c>
      <x:c r="J941" s="35" t="n">
        <x:v>6</x:v>
      </x:c>
      <x:c r="K941" s="35" t="n">
        <x:v>4</x:v>
      </x:c>
      <x:c r="L941" s="35" t="n">
        <x:v>3</x:v>
      </x:c>
      <x:c r="M941" s="35" t="n">
        <x:v>14</x:v>
      </x:c>
      <x:c r="N941" s="35" t="str">
        <x:v>No</x:v>
      </x:c>
      <x:c r="O941" s="35" t="n">
        <x:v>2</x:v>
      </x:c>
      <x:c r="P941" s="35" t="n">
        <x:v>3</x:v>
      </x:c>
      <x:c r="Q941" s="35" t="n">
        <x:v>2</x:v>
      </x:c>
      <x:c r="R941" s="35" t="n">
        <x:v>3</x:v>
      </x:c>
      <x:c r="S941" s="35" t="n">
        <x:v>4</x:v>
      </x:c>
      <x:c r="T941" s="35" t="n">
        <x:v>2</x:v>
      </x:c>
      <x:c r="U941" s="35" t="n">
        <x:v>0</x:v>
      </x:c>
      <x:c r="V941" s="35" t="n">
        <x:v>6</x:v>
      </x:c>
      <x:c r="W941" s="35" t="n">
        <x:v>4</x:v>
      </x:c>
      <x:c r="X941" s="35" t="n">
        <x:v>69</x:v>
      </x:c>
      <x:c r="Y941" s="35" t="n">
        <x:v>4</x:v>
      </x:c>
      <x:c r="Z941" s="35" t="n">
        <x:v>94</x:v>
      </x:c>
      <x:c r="AA941" s="35" t="n">
        <x:v>9</x:v>
      </x:c>
      <x:c r="AB941" s="35" t="n">
        <x:v>7</x:v>
      </x:c>
      <x:c r="AC941" s="35" t="n">
        <x:v>7</x:v>
      </x:c>
      <x:c r="AD941" s="35" t="n">
        <x:v>77</x:v>
      </x:c>
      <x:c r="AE941" s="35" t="n">
        <x:v>100</x:v>
      </x:c>
      <x:c r="AF941" s="35" t="n">
        <x:v>85</x:v>
      </x:c>
      <x:c r="AG941" s="35" t="n">
        <x:v>98</x:v>
      </x:c>
      <x:c r="AH941" s="35" t="n">
        <x:v>12</x:v>
      </x:c>
      <x:c r="AI941" s="37" t="n">
        <x:v>98.1</x:v>
      </x:c>
      <x:c r="AJ941" s="37" t="n">
        <x:v>94.9</x:v>
      </x:c>
      <x:c r="AK941" s="35" t="str">
        <x:v>No</x:v>
      </x:c>
      <x:c r="AL941" s="38" t="n">
        <x:f>IF(AA941=0,0,AB941/AA941)</x:f>
        <x:v>0.7777777777777778</x:v>
      </x:c>
      <x:c r="AM941" s="38" t="n">
        <x:f>IF(AB941=0,0,AC941/AB941)</x:f>
        <x:v>1</x:v>
      </x:c>
      <x:c r="AN941" s="37" t="n">
        <x:f>ROUND((AD941*0.20+AE941*0.20+AF941*0.25+AG941*0.15+MIN(100,AC941*12)*0.20),1)</x:f>
        <x:v>88.1</x:v>
      </x:c>
      <x:c r="AO941" s="37" t="n">
        <x:f>ROUND(MAX(0,MIN(100,(X941*0.35)+(W941/45*100*0.20)+((5-O941)/4*100*0.15)+((5-P941)/4*100*0.10)+((6-Y941)/5*100*0.10)+((100-Z941)*0.10))),1)</x:f>
        <x:v>46.8</x:v>
      </x:c>
      <x:c r="AP941" s="37" t="str">
        <x:f>IF(AO941&gt;=70,"High",IF(AO941&gt;=40,"Moderate","Low"))</x:f>
        <x:v>Moderate</x:v>
      </x:c>
      <x:c r="AQ941" s="37" t="n">
        <x:f>ROUND(MAX(0,MIN(100,(O941/4*100*0.25)+(P941/4*100*0.20)+(Q941/4*100*0.15)+(Y941/5*100*0.20)+(100-AO941)*0.20)),1)</x:f>
        <x:v>61.6</x:v>
      </x:c>
      <x:c r="AR941" s="37" t="n">
        <x:f>ROUND((AI941*0.20+AJ941*0.15+AN941*0.18+AG941*0.12+Z941*0.15+AQ941*0.20),1)</x:f>
        <x:v>87.9</x:v>
      </x:c>
      <x:c r="AS941" s="39" t="n">
        <x:f>ROUND((AC941*AF941*120)+(AH941*350)+(MAX(0,AI941-75)*220)+(MAX(0,AQ941-60)*100),0)</x:f>
        <x:v>80842</x:v>
      </x:c>
    </x:row>
    <x:row r="942">
      <x:c r="A942" s="35" t="n">
        <x:v>941</x:v>
      </x:c>
      <x:c r="B942" s="35" t="n">
        <x:v>30</x:v>
      </x:c>
      <x:c r="C942" s="35" t="str">
        <x:v>Male</x:v>
      </x:c>
      <x:c r="D942" s="35" t="str">
        <x:v>Research &amp; Development</x:v>
      </x:c>
      <x:c r="E942" s="35" t="str">
        <x:v>Laboratory Technician</x:v>
      </x:c>
      <x:c r="F942" s="35" t="str">
        <x:v>Human Resources</x:v>
      </x:c>
      <x:c r="G942" s="35" t="str">
        <x:v>Divorced</x:v>
      </x:c>
      <x:c r="H942" s="35" t="n">
        <x:v>1</x:v>
      </x:c>
      <x:c r="I942" s="36" t="n">
        <x:v>5410</x:v>
      </x:c>
      <x:c r="J942" s="35" t="n">
        <x:v>7</x:v>
      </x:c>
      <x:c r="K942" s="35" t="n">
        <x:v>5</x:v>
      </x:c>
      <x:c r="L942" s="35" t="n">
        <x:v>1</x:v>
      </x:c>
      <x:c r="M942" s="35" t="n">
        <x:v>1</x:v>
      </x:c>
      <x:c r="N942" s="35" t="str">
        <x:v>No</x:v>
      </x:c>
      <x:c r="O942" s="35" t="n">
        <x:v>3</x:v>
      </x:c>
      <x:c r="P942" s="35" t="n">
        <x:v>4</x:v>
      </x:c>
      <x:c r="Q942" s="35" t="n">
        <x:v>2</x:v>
      </x:c>
      <x:c r="R942" s="35" t="n">
        <x:v>3</x:v>
      </x:c>
      <x:c r="S942" s="35" t="n">
        <x:v>3</x:v>
      </x:c>
      <x:c r="T942" s="35" t="n">
        <x:v>1</x:v>
      </x:c>
      <x:c r="U942" s="35" t="n">
        <x:v>0</x:v>
      </x:c>
      <x:c r="V942" s="35" t="n">
        <x:v>7</x:v>
      </x:c>
      <x:c r="W942" s="35" t="n">
        <x:v>20</x:v>
      </x:c>
      <x:c r="X942" s="35" t="n">
        <x:v>69</x:v>
      </x:c>
      <x:c r="Y942" s="35" t="n">
        <x:v>4</x:v>
      </x:c>
      <x:c r="Z942" s="35" t="n">
        <x:v>98</x:v>
      </x:c>
      <x:c r="AA942" s="35" t="n">
        <x:v>6</x:v>
      </x:c>
      <x:c r="AB942" s="35" t="n">
        <x:v>3</x:v>
      </x:c>
      <x:c r="AC942" s="35" t="n">
        <x:v>2</x:v>
      </x:c>
      <x:c r="AD942" s="35" t="n">
        <x:v>69</x:v>
      </x:c>
      <x:c r="AE942" s="35" t="n">
        <x:v>89</x:v>
      </x:c>
      <x:c r="AF942" s="35" t="n">
        <x:v>71</x:v>
      </x:c>
      <x:c r="AG942" s="35" t="n">
        <x:v>100</x:v>
      </x:c>
      <x:c r="AH942" s="35" t="n">
        <x:v>5</x:v>
      </x:c>
      <x:c r="AI942" s="37" t="n">
        <x:v>90.1</x:v>
      </x:c>
      <x:c r="AJ942" s="37" t="n">
        <x:v>96.6</x:v>
      </x:c>
      <x:c r="AK942" s="35" t="str">
        <x:v>No</x:v>
      </x:c>
      <x:c r="AL942" s="38" t="n">
        <x:f>IF(AA942=0,0,AB942/AA942)</x:f>
        <x:v>0.5</x:v>
      </x:c>
      <x:c r="AM942" s="38" t="n">
        <x:f>IF(AB942=0,0,AC942/AB942)</x:f>
        <x:v>0.6666666666666666</x:v>
      </x:c>
      <x:c r="AN942" s="37" t="n">
        <x:f>ROUND((AD942*0.20+AE942*0.20+AF942*0.25+AG942*0.15+MIN(100,AC942*12)*0.20),1)</x:f>
        <x:v>69.1</x:v>
      </x:c>
      <x:c r="AO942" s="37" t="n">
        <x:f>ROUND(MAX(0,MIN(100,(X942*0.35)+(W942/45*100*0.20)+((5-O942)/4*100*0.15)+((5-P942)/4*100*0.10)+((6-Y942)/5*100*0.10)+((100-Z942)*0.10))),1)</x:f>
        <x:v>47.2</x:v>
      </x:c>
      <x:c r="AP942" s="37" t="str">
        <x:f>IF(AO942&gt;=70,"High",IF(AO942&gt;=40,"Moderate","Low"))</x:f>
        <x:v>Moderate</x:v>
      </x:c>
      <x:c r="AQ942" s="37" t="n">
        <x:f>ROUND(MAX(0,MIN(100,(O942/4*100*0.25)+(P942/4*100*0.20)+(Q942/4*100*0.15)+(Y942/5*100*0.20)+(100-AO942)*0.20)),1)</x:f>
        <x:v>72.8</x:v>
      </x:c>
      <x:c r="AR942" s="37" t="n">
        <x:f>ROUND((AI942*0.20+AJ942*0.15+AN942*0.18+AG942*0.12+Z942*0.15+AQ942*0.20),1)</x:f>
        <x:v>86.2</x:v>
      </x:c>
      <x:c r="AS942" s="39" t="n">
        <x:f>ROUND((AC942*AF942*120)+(AH942*350)+(MAX(0,AI942-75)*220)+(MAX(0,AQ942-60)*100),0)</x:f>
        <x:v>23392</x:v>
      </x:c>
    </x:row>
    <x:row r="943">
      <x:c r="A943" s="35" t="n">
        <x:v>942</x:v>
      </x:c>
      <x:c r="B943" s="35" t="n">
        <x:v>43</x:v>
      </x:c>
      <x:c r="C943" s="35" t="str">
        <x:v>Female</x:v>
      </x:c>
      <x:c r="D943" s="35" t="str">
        <x:v>Marketing</x:v>
      </x:c>
      <x:c r="E943" s="35" t="str">
        <x:v>Marketing Manager</x:v>
      </x:c>
      <x:c r="F943" s="35" t="str">
        <x:v>Technical Degree</x:v>
      </x:c>
      <x:c r="G943" s="35" t="str">
        <x:v>Single</x:v>
      </x:c>
      <x:c r="H943" s="35" t="n">
        <x:v>3</x:v>
      </x:c>
      <x:c r="I943" s="36" t="n">
        <x:v>14670</x:v>
      </x:c>
      <x:c r="J943" s="35" t="n">
        <x:v>18</x:v>
      </x:c>
      <x:c r="K943" s="35" t="n">
        <x:v>7</x:v>
      </x:c>
      <x:c r="L943" s="35" t="n">
        <x:v>5</x:v>
      </x:c>
      <x:c r="M943" s="35" t="n">
        <x:v>3</x:v>
      </x:c>
      <x:c r="N943" s="35" t="str">
        <x:v>No</x:v>
      </x:c>
      <x:c r="O943" s="35" t="n">
        <x:v>2</x:v>
      </x:c>
      <x:c r="P943" s="35" t="n">
        <x:v>3</x:v>
      </x:c>
      <x:c r="Q943" s="35" t="n">
        <x:v>2</x:v>
      </x:c>
      <x:c r="R943" s="35" t="n">
        <x:v>2</x:v>
      </x:c>
      <x:c r="S943" s="35" t="n">
        <x:v>3</x:v>
      </x:c>
      <x:c r="T943" s="35" t="n">
        <x:v>2</x:v>
      </x:c>
      <x:c r="U943" s="35" t="n">
        <x:v>0</x:v>
      </x:c>
      <x:c r="V943" s="35" t="n">
        <x:v>4</x:v>
      </x:c>
      <x:c r="W943" s="35" t="n">
        <x:v>4</x:v>
      </x:c>
      <x:c r="X943" s="35" t="n">
        <x:v>44</x:v>
      </x:c>
      <x:c r="Y943" s="35" t="n">
        <x:v>5</x:v>
      </x:c>
      <x:c r="Z943" s="35" t="n">
        <x:v>88</x:v>
      </x:c>
      <x:c r="AA943" s="35" t="n">
        <x:v>6</x:v>
      </x:c>
      <x:c r="AB943" s="35" t="n">
        <x:v>6</x:v>
      </x:c>
      <x:c r="AC943" s="35" t="n">
        <x:v>5</x:v>
      </x:c>
      <x:c r="AD943" s="35" t="n">
        <x:v>76</x:v>
      </x:c>
      <x:c r="AE943" s="35" t="n">
        <x:v>80</x:v>
      </x:c>
      <x:c r="AF943" s="35" t="n">
        <x:v>82</x:v>
      </x:c>
      <x:c r="AG943" s="35" t="n">
        <x:v>76</x:v>
      </x:c>
      <x:c r="AH943" s="35" t="n">
        <x:v>7</x:v>
      </x:c>
      <x:c r="AI943" s="37" t="n">
        <x:v>88</x:v>
      </x:c>
      <x:c r="AJ943" s="37" t="n">
        <x:v>98.7</x:v>
      </x:c>
      <x:c r="AK943" s="35" t="str">
        <x:v>No</x:v>
      </x:c>
      <x:c r="AL943" s="38" t="n">
        <x:f>IF(AA943=0,0,AB943/AA943)</x:f>
        <x:v>1</x:v>
      </x:c>
      <x:c r="AM943" s="38" t="n">
        <x:f>IF(AB943=0,0,AC943/AB943)</x:f>
        <x:v>0.8333333333333334</x:v>
      </x:c>
      <x:c r="AN943" s="37" t="n">
        <x:f>ROUND((AD943*0.20+AE943*0.20+AF943*0.25+AG943*0.15+MIN(100,AC943*12)*0.20),1)</x:f>
        <x:v>75.1</x:v>
      </x:c>
      <x:c r="AO943" s="37" t="n">
        <x:f>ROUND(MAX(0,MIN(100,(X943*0.35)+(W943/45*100*0.20)+((5-O943)/4*100*0.15)+((5-P943)/4*100*0.10)+((6-Y943)/5*100*0.10)+((100-Z943)*0.10))),1)</x:f>
        <x:v>36.6</x:v>
      </x:c>
      <x:c r="AP943" s="37" t="str">
        <x:f>IF(AO943&gt;=70,"High",IF(AO943&gt;=40,"Moderate","Low"))</x:f>
        <x:v>Low</x:v>
      </x:c>
      <x:c r="AQ943" s="37" t="n">
        <x:f>ROUND(MAX(0,MIN(100,(O943/4*100*0.25)+(P943/4*100*0.20)+(Q943/4*100*0.15)+(Y943/5*100*0.20)+(100-AO943)*0.20)),1)</x:f>
        <x:v>67.7</x:v>
      </x:c>
      <x:c r="AR943" s="37" t="n">
        <x:f>ROUND((AI943*0.20+AJ943*0.15+AN943*0.18+AG943*0.12+Z943*0.15+AQ943*0.20),1)</x:f>
        <x:v>81.8</x:v>
      </x:c>
      <x:c r="AS943" s="39" t="n">
        <x:f>ROUND((AC943*AF943*120)+(AH943*350)+(MAX(0,AI943-75)*220)+(MAX(0,AQ943-60)*100),0)</x:f>
        <x:v>55280</x:v>
      </x:c>
    </x:row>
    <x:row r="944">
      <x:c r="A944" s="35" t="n">
        <x:v>943</x:v>
      </x:c>
      <x:c r="B944" s="35" t="n">
        <x:v>24</x:v>
      </x:c>
      <x:c r="C944" s="35" t="str">
        <x:v>Male</x:v>
      </x:c>
      <x:c r="D944" s="35" t="str">
        <x:v>Sales</x:v>
      </x:c>
      <x:c r="E944" s="35" t="str">
        <x:v>Account Manager</x:v>
      </x:c>
      <x:c r="F944" s="35" t="str">
        <x:v>Human Resources</x:v>
      </x:c>
      <x:c r="G944" s="35" t="str">
        <x:v>Married</x:v>
      </x:c>
      <x:c r="H944" s="35" t="n">
        <x:v>1</x:v>
      </x:c>
      <x:c r="I944" s="36" t="n">
        <x:v>6600</x:v>
      </x:c>
      <x:c r="J944" s="35" t="n">
        <x:v>1</x:v>
      </x:c>
      <x:c r="K944" s="35" t="n">
        <x:v>0</x:v>
      </x:c>
      <x:c r="L944" s="35" t="n">
        <x:v>0</x:v>
      </x:c>
      <x:c r="M944" s="35" t="n">
        <x:v>19</x:v>
      </x:c>
      <x:c r="N944" s="35" t="str">
        <x:v>No</x:v>
      </x:c>
      <x:c r="O944" s="35" t="n">
        <x:v>2</x:v>
      </x:c>
      <x:c r="P944" s="35" t="n">
        <x:v>4</x:v>
      </x:c>
      <x:c r="Q944" s="35" t="n">
        <x:v>4</x:v>
      </x:c>
      <x:c r="R944" s="35" t="n">
        <x:v>4</x:v>
      </x:c>
      <x:c r="S944" s="35" t="n">
        <x:v>3</x:v>
      </x:c>
      <x:c r="T944" s="35" t="n">
        <x:v>1</x:v>
      </x:c>
      <x:c r="U944" s="35" t="n">
        <x:v>1</x:v>
      </x:c>
      <x:c r="V944" s="35" t="n">
        <x:v>8</x:v>
      </x:c>
      <x:c r="W944" s="35" t="n">
        <x:v>9</x:v>
      </x:c>
      <x:c r="X944" s="35" t="n">
        <x:v>64</x:v>
      </x:c>
      <x:c r="Y944" s="35" t="n">
        <x:v>5</x:v>
      </x:c>
      <x:c r="Z944" s="35" t="n">
        <x:v>100</x:v>
      </x:c>
      <x:c r="AA944" s="35" t="n">
        <x:v>2</x:v>
      </x:c>
      <x:c r="AB944" s="35" t="n">
        <x:v>2</x:v>
      </x:c>
      <x:c r="AC944" s="35" t="n">
        <x:v>1</x:v>
      </x:c>
      <x:c r="AD944" s="35" t="n">
        <x:v>69</x:v>
      </x:c>
      <x:c r="AE944" s="35" t="n">
        <x:v>63</x:v>
      </x:c>
      <x:c r="AF944" s="35" t="n">
        <x:v>52</x:v>
      </x:c>
      <x:c r="AG944" s="35" t="n">
        <x:v>100</x:v>
      </x:c>
      <x:c r="AH944" s="35" t="n">
        <x:v>3</x:v>
      </x:c>
      <x:c r="AI944" s="37" t="n">
        <x:v>98.9</x:v>
      </x:c>
      <x:c r="AJ944" s="37" t="n">
        <x:v>93</x:v>
      </x:c>
      <x:c r="AK944" s="35" t="str">
        <x:v>No</x:v>
      </x:c>
      <x:c r="AL944" s="38" t="n">
        <x:f>IF(AA944=0,0,AB944/AA944)</x:f>
        <x:v>1</x:v>
      </x:c>
      <x:c r="AM944" s="38" t="n">
        <x:f>IF(AB944=0,0,AC944/AB944)</x:f>
        <x:v>0.5</x:v>
      </x:c>
      <x:c r="AN944" s="37" t="n">
        <x:f>ROUND((AD944*0.20+AE944*0.20+AF944*0.25+AG944*0.15+MIN(100,AC944*12)*0.20),1)</x:f>
        <x:v>56.8</x:v>
      </x:c>
      <x:c r="AO944" s="37" t="n">
        <x:f>ROUND(MAX(0,MIN(100,(X944*0.35)+(W944/45*100*0.20)+((5-O944)/4*100*0.15)+((5-P944)/4*100*0.10)+((6-Y944)/5*100*0.10)+((100-Z944)*0.10))),1)</x:f>
        <x:v>42.2</x:v>
      </x:c>
      <x:c r="AP944" s="37" t="str">
        <x:f>IF(AO944&gt;=70,"High",IF(AO944&gt;=40,"Moderate","Low"))</x:f>
        <x:v>Moderate</x:v>
      </x:c>
      <x:c r="AQ944" s="37" t="n">
        <x:f>ROUND(MAX(0,MIN(100,(O944/4*100*0.25)+(P944/4*100*0.20)+(Q944/4*100*0.15)+(Y944/5*100*0.20)+(100-AO944)*0.20)),1)</x:f>
        <x:v>79.1</x:v>
      </x:c>
      <x:c r="AR944" s="37" t="n">
        <x:f>ROUND((AI944*0.20+AJ944*0.15+AN944*0.18+AG944*0.12+Z944*0.15+AQ944*0.20),1)</x:f>
        <x:v>86.8</x:v>
      </x:c>
      <x:c r="AS944" s="39" t="n">
        <x:f>ROUND((AC944*AF944*120)+(AH944*350)+(MAX(0,AI944-75)*220)+(MAX(0,AQ944-60)*100),0)</x:f>
        <x:v>14458</x:v>
      </x:c>
    </x:row>
    <x:row r="945">
      <x:c r="A945" s="35" t="n">
        <x:v>944</x:v>
      </x:c>
      <x:c r="B945" s="35" t="n">
        <x:v>33</x:v>
      </x:c>
      <x:c r="C945" s="35" t="str">
        <x:v>Female</x:v>
      </x:c>
      <x:c r="D945" s="35" t="str">
        <x:v>Sales</x:v>
      </x:c>
      <x:c r="E945" s="35" t="str">
        <x:v>Sales Executive</x:v>
      </x:c>
      <x:c r="F945" s="35" t="str">
        <x:v>Marketing</x:v>
      </x:c>
      <x:c r="G945" s="35" t="str">
        <x:v>Married</x:v>
      </x:c>
      <x:c r="H945" s="35" t="n">
        <x:v>1</x:v>
      </x:c>
      <x:c r="I945" s="36" t="n">
        <x:v>4000</x:v>
      </x:c>
      <x:c r="J945" s="35" t="n">
        <x:v>7</x:v>
      </x:c>
      <x:c r="K945" s="35" t="n">
        <x:v>3</x:v>
      </x:c>
      <x:c r="L945" s="35" t="n">
        <x:v>1</x:v>
      </x:c>
      <x:c r="M945" s="35" t="n">
        <x:v>10</x:v>
      </x:c>
      <x:c r="N945" s="35" t="str">
        <x:v>Yes</x:v>
      </x:c>
      <x:c r="O945" s="35" t="n">
        <x:v>2</x:v>
      </x:c>
      <x:c r="P945" s="35" t="n">
        <x:v>3</x:v>
      </x:c>
      <x:c r="Q945" s="35" t="n">
        <x:v>4</x:v>
      </x:c>
      <x:c r="R945" s="35" t="n">
        <x:v>4</x:v>
      </x:c>
      <x:c r="S945" s="35" t="n">
        <x:v>3</x:v>
      </x:c>
      <x:c r="T945" s="35" t="n">
        <x:v>6</x:v>
      </x:c>
      <x:c r="U945" s="35" t="n">
        <x:v>1</x:v>
      </x:c>
      <x:c r="V945" s="35" t="n">
        <x:v>6</x:v>
      </x:c>
      <x:c r="W945" s="35" t="n">
        <x:v>10</x:v>
      </x:c>
      <x:c r="X945" s="35" t="n">
        <x:v>64</x:v>
      </x:c>
      <x:c r="Y945" s="35" t="n">
        <x:v>5</x:v>
      </x:c>
      <x:c r="Z945" s="35" t="n">
        <x:v>100</x:v>
      </x:c>
      <x:c r="AA945" s="35" t="n">
        <x:v>5</x:v>
      </x:c>
      <x:c r="AB945" s="35" t="n">
        <x:v>4</x:v>
      </x:c>
      <x:c r="AC945" s="35" t="n">
        <x:v>4</x:v>
      </x:c>
      <x:c r="AD945" s="35" t="n">
        <x:v>73</x:v>
      </x:c>
      <x:c r="AE945" s="35" t="n">
        <x:v>90</x:v>
      </x:c>
      <x:c r="AF945" s="35" t="n">
        <x:v>66</x:v>
      </x:c>
      <x:c r="AG945" s="35" t="n">
        <x:v>100</x:v>
      </x:c>
      <x:c r="AH945" s="35" t="n">
        <x:v>6</x:v>
      </x:c>
      <x:c r="AI945" s="37" t="n">
        <x:v>95.9</x:v>
      </x:c>
      <x:c r="AJ945" s="37" t="n">
        <x:v>100</x:v>
      </x:c>
      <x:c r="AK945" s="35" t="str">
        <x:v>No</x:v>
      </x:c>
      <x:c r="AL945" s="38" t="n">
        <x:f>IF(AA945=0,0,AB945/AA945)</x:f>
        <x:v>0.8</x:v>
      </x:c>
      <x:c r="AM945" s="38" t="n">
        <x:f>IF(AB945=0,0,AC945/AB945)</x:f>
        <x:v>1</x:v>
      </x:c>
      <x:c r="AN945" s="37" t="n">
        <x:f>ROUND((AD945*0.20+AE945*0.20+AF945*0.25+AG945*0.15+MIN(100,AC945*12)*0.20),1)</x:f>
        <x:v>73.7</x:v>
      </x:c>
      <x:c r="AO945" s="37" t="n">
        <x:f>ROUND(MAX(0,MIN(100,(X945*0.35)+(W945/45*100*0.20)+((5-O945)/4*100*0.15)+((5-P945)/4*100*0.10)+((6-Y945)/5*100*0.10)+((100-Z945)*0.10))),1)</x:f>
        <x:v>45.1</x:v>
      </x:c>
      <x:c r="AP945" s="37" t="str">
        <x:f>IF(AO945&gt;=70,"High",IF(AO945&gt;=40,"Moderate","Low"))</x:f>
        <x:v>Moderate</x:v>
      </x:c>
      <x:c r="AQ945" s="37" t="n">
        <x:f>ROUND(MAX(0,MIN(100,(O945/4*100*0.25)+(P945/4*100*0.20)+(Q945/4*100*0.15)+(Y945/5*100*0.20)+(100-AO945)*0.20)),1)</x:f>
        <x:v>73.5</x:v>
      </x:c>
      <x:c r="AR945" s="37" t="n">
        <x:f>ROUND((AI945*0.20+AJ945*0.15+AN945*0.18+AG945*0.12+Z945*0.15+AQ945*0.20),1)</x:f>
        <x:v>89.1</x:v>
      </x:c>
      <x:c r="AS945" s="39" t="n">
        <x:f>ROUND((AC945*AF945*120)+(AH945*350)+(MAX(0,AI945-75)*220)+(MAX(0,AQ945-60)*100),0)</x:f>
        <x:v>39728</x:v>
      </x:c>
    </x:row>
    <x:row r="946">
      <x:c r="A946" s="35" t="n">
        <x:v>945</x:v>
      </x:c>
      <x:c r="B946" s="35" t="n">
        <x:v>39</x:v>
      </x:c>
      <x:c r="C946" s="35" t="str">
        <x:v>Female</x:v>
      </x:c>
      <x:c r="D946" s="35" t="str">
        <x:v>Information Technology</x:v>
      </x:c>
      <x:c r="E946" s="35" t="str">
        <x:v>IT Support</x:v>
      </x:c>
      <x:c r="F946" s="35" t="str">
        <x:v>Business</x:v>
      </x:c>
      <x:c r="G946" s="35" t="str">
        <x:v>Divorced</x:v>
      </x:c>
      <x:c r="H946" s="35" t="n">
        <x:v>1</x:v>
      </x:c>
      <x:c r="I946" s="36" t="n">
        <x:v>5070</x:v>
      </x:c>
      <x:c r="J946" s="35" t="n">
        <x:v>16</x:v>
      </x:c>
      <x:c r="K946" s="35" t="n">
        <x:v>13</x:v>
      </x:c>
      <x:c r="L946" s="35" t="n">
        <x:v>5</x:v>
      </x:c>
      <x:c r="M946" s="35" t="n">
        <x:v>11</x:v>
      </x:c>
      <x:c r="N946" s="35" t="str">
        <x:v>Yes</x:v>
      </x:c>
      <x:c r="O946" s="35" t="n">
        <x:v>3</x:v>
      </x:c>
      <x:c r="P946" s="35" t="n">
        <x:v>4</x:v>
      </x:c>
      <x:c r="Q946" s="35" t="n">
        <x:v>2</x:v>
      </x:c>
      <x:c r="R946" s="35" t="n">
        <x:v>4</x:v>
      </x:c>
      <x:c r="S946" s="35" t="n">
        <x:v>3</x:v>
      </x:c>
      <x:c r="T946" s="35" t="n">
        <x:v>0</x:v>
      </x:c>
      <x:c r="U946" s="35" t="n">
        <x:v>2</x:v>
      </x:c>
      <x:c r="V946" s="35" t="n">
        <x:v>6</x:v>
      </x:c>
      <x:c r="W946" s="35" t="n">
        <x:v>18</x:v>
      </x:c>
      <x:c r="X946" s="35" t="n">
        <x:v>60</x:v>
      </x:c>
      <x:c r="Y946" s="35" t="n">
        <x:v>5</x:v>
      </x:c>
      <x:c r="Z946" s="35" t="n">
        <x:v>100</x:v>
      </x:c>
      <x:c r="AA946" s="35" t="n">
        <x:v>2</x:v>
      </x:c>
      <x:c r="AB946" s="35" t="n">
        <x:v>2</x:v>
      </x:c>
      <x:c r="AC946" s="35" t="n">
        <x:v>1</x:v>
      </x:c>
      <x:c r="AD946" s="35" t="n">
        <x:v>86</x:v>
      </x:c>
      <x:c r="AE946" s="35" t="n">
        <x:v>64</x:v>
      </x:c>
      <x:c r="AF946" s="35" t="n">
        <x:v>67</x:v>
      </x:c>
      <x:c r="AG946" s="35" t="n">
        <x:v>100</x:v>
      </x:c>
      <x:c r="AH946" s="35" t="n">
        <x:v>4</x:v>
      </x:c>
      <x:c r="AI946" s="37" t="n">
        <x:v>98.5</x:v>
      </x:c>
      <x:c r="AJ946" s="37" t="n">
        <x:v>86.2</x:v>
      </x:c>
      <x:c r="AK946" s="35" t="str">
        <x:v>No</x:v>
      </x:c>
      <x:c r="AL946" s="38" t="n">
        <x:f>IF(AA946=0,0,AB946/AA946)</x:f>
        <x:v>1</x:v>
      </x:c>
      <x:c r="AM946" s="38" t="n">
        <x:f>IF(AB946=0,0,AC946/AB946)</x:f>
        <x:v>0.5</x:v>
      </x:c>
      <x:c r="AN946" s="37" t="n">
        <x:f>ROUND((AD946*0.20+AE946*0.20+AF946*0.25+AG946*0.15+MIN(100,AC946*12)*0.20),1)</x:f>
        <x:v>64.2</x:v>
      </x:c>
      <x:c r="AO946" s="37" t="n">
        <x:f>ROUND(MAX(0,MIN(100,(X946*0.35)+(W946/45*100*0.20)+((5-O946)/4*100*0.15)+((5-P946)/4*100*0.10)+((6-Y946)/5*100*0.10)+((100-Z946)*0.10))),1)</x:f>
        <x:v>41</x:v>
      </x:c>
      <x:c r="AP946" s="37" t="str">
        <x:f>IF(AO946&gt;=70,"High",IF(AO946&gt;=40,"Moderate","Low"))</x:f>
        <x:v>Moderate</x:v>
      </x:c>
      <x:c r="AQ946" s="37" t="n">
        <x:f>ROUND(MAX(0,MIN(100,(O946/4*100*0.25)+(P946/4*100*0.20)+(Q946/4*100*0.15)+(Y946/5*100*0.20)+(100-AO946)*0.20)),1)</x:f>
        <x:v>78.1</x:v>
      </x:c>
      <x:c r="AR946" s="37" t="n">
        <x:f>ROUND((AI946*0.20+AJ946*0.15+AN946*0.18+AG946*0.12+Z946*0.15+AQ946*0.20),1)</x:f>
        <x:v>86.8</x:v>
      </x:c>
      <x:c r="AS946" s="39" t="n">
        <x:f>ROUND((AC946*AF946*120)+(AH946*350)+(MAX(0,AI946-75)*220)+(MAX(0,AQ946-60)*100),0)</x:f>
        <x:v>16420</x:v>
      </x:c>
    </x:row>
    <x:row r="947">
      <x:c r="A947" s="35" t="n">
        <x:v>946</x:v>
      </x:c>
      <x:c r="B947" s="35" t="n">
        <x:v>29</x:v>
      </x:c>
      <x:c r="C947" s="35" t="str">
        <x:v>Female</x:v>
      </x:c>
      <x:c r="D947" s="35" t="str">
        <x:v>Research &amp; Development</x:v>
      </x:c>
      <x:c r="E947" s="35" t="str">
        <x:v>Research Scientist</x:v>
      </x:c>
      <x:c r="F947" s="35" t="str">
        <x:v>Human Resources</x:v>
      </x:c>
      <x:c r="G947" s="35" t="str">
        <x:v>Married</x:v>
      </x:c>
      <x:c r="H947" s="35" t="n">
        <x:v>1</x:v>
      </x:c>
      <x:c r="I947" s="36" t="n">
        <x:v>5190</x:v>
      </x:c>
      <x:c r="J947" s="35" t="n">
        <x:v>7</x:v>
      </x:c>
      <x:c r="K947" s="35" t="n">
        <x:v>4</x:v>
      </x:c>
      <x:c r="L947" s="35" t="n">
        <x:v>2</x:v>
      </x:c>
      <x:c r="M947" s="35" t="n">
        <x:v>1</x:v>
      </x:c>
      <x:c r="N947" s="35" t="str">
        <x:v>No</x:v>
      </x:c>
      <x:c r="O947" s="35" t="n">
        <x:v>3</x:v>
      </x:c>
      <x:c r="P947" s="35" t="n">
        <x:v>3</x:v>
      </x:c>
      <x:c r="Q947" s="35" t="n">
        <x:v>1</x:v>
      </x:c>
      <x:c r="R947" s="35" t="n">
        <x:v>4</x:v>
      </x:c>
      <x:c r="S947" s="35" t="n">
        <x:v>3</x:v>
      </x:c>
      <x:c r="T947" s="35" t="n">
        <x:v>5</x:v>
      </x:c>
      <x:c r="U947" s="35" t="n">
        <x:v>0</x:v>
      </x:c>
      <x:c r="V947" s="35" t="n">
        <x:v>10</x:v>
      </x:c>
      <x:c r="W947" s="35" t="n">
        <x:v>8</x:v>
      </x:c>
      <x:c r="X947" s="35" t="n">
        <x:v>72</x:v>
      </x:c>
      <x:c r="Y947" s="35" t="n">
        <x:v>4</x:v>
      </x:c>
      <x:c r="Z947" s="35" t="n">
        <x:v>100</x:v>
      </x:c>
      <x:c r="AA947" s="35" t="n">
        <x:v>5</x:v>
      </x:c>
      <x:c r="AB947" s="35" t="n">
        <x:v>4</x:v>
      </x:c>
      <x:c r="AC947" s="35" t="n">
        <x:v>2</x:v>
      </x:c>
      <x:c r="AD947" s="35" t="n">
        <x:v>74</x:v>
      </x:c>
      <x:c r="AE947" s="35" t="n">
        <x:v>90</x:v>
      </x:c>
      <x:c r="AF947" s="35" t="n">
        <x:v>59</x:v>
      </x:c>
      <x:c r="AG947" s="35" t="n">
        <x:v>87</x:v>
      </x:c>
      <x:c r="AH947" s="35" t="n">
        <x:v>6</x:v>
      </x:c>
      <x:c r="AI947" s="37" t="n">
        <x:v>98.2</x:v>
      </x:c>
      <x:c r="AJ947" s="37" t="n">
        <x:v>100</x:v>
      </x:c>
      <x:c r="AK947" s="35" t="str">
        <x:v>No</x:v>
      </x:c>
      <x:c r="AL947" s="38" t="n">
        <x:f>IF(AA947=0,0,AB947/AA947)</x:f>
        <x:v>0.8</x:v>
      </x:c>
      <x:c r="AM947" s="38" t="n">
        <x:f>IF(AB947=0,0,AC947/AB947)</x:f>
        <x:v>0.5</x:v>
      </x:c>
      <x:c r="AN947" s="37" t="n">
        <x:f>ROUND((AD947*0.20+AE947*0.20+AF947*0.25+AG947*0.15+MIN(100,AC947*12)*0.20),1)</x:f>
        <x:v>65.4</x:v>
      </x:c>
      <x:c r="AO947" s="37" t="n">
        <x:f>ROUND(MAX(0,MIN(100,(X947*0.35)+(W947/45*100*0.20)+((5-O947)/4*100*0.15)+((5-P947)/4*100*0.10)+((6-Y947)/5*100*0.10)+((100-Z947)*0.10))),1)</x:f>
        <x:v>45.3</x:v>
      </x:c>
      <x:c r="AP947" s="37" t="str">
        <x:f>IF(AO947&gt;=70,"High",IF(AO947&gt;=40,"Moderate","Low"))</x:f>
        <x:v>Moderate</x:v>
      </x:c>
      <x:c r="AQ947" s="37" t="n">
        <x:f>ROUND(MAX(0,MIN(100,(O947/4*100*0.25)+(P947/4*100*0.20)+(Q947/4*100*0.15)+(Y947/5*100*0.20)+(100-AO947)*0.20)),1)</x:f>
        <x:v>64.4</x:v>
      </x:c>
      <x:c r="AR947" s="37" t="n">
        <x:f>ROUND((AI947*0.20+AJ947*0.15+AN947*0.18+AG947*0.12+Z947*0.15+AQ947*0.20),1)</x:f>
        <x:v>84.7</x:v>
      </x:c>
      <x:c r="AS947" s="39" t="n">
        <x:f>ROUND((AC947*AF947*120)+(AH947*350)+(MAX(0,AI947-75)*220)+(MAX(0,AQ947-60)*100),0)</x:f>
        <x:v>21804</x:v>
      </x:c>
    </x:row>
    <x:row r="948">
      <x:c r="A948" s="35" t="n">
        <x:v>947</x:v>
      </x:c>
      <x:c r="B948" s="35" t="n">
        <x:v>42</x:v>
      </x:c>
      <x:c r="C948" s="35" t="str">
        <x:v>Male</x:v>
      </x:c>
      <x:c r="D948" s="35" t="str">
        <x:v>Sales</x:v>
      </x:c>
      <x:c r="E948" s="35" t="str">
        <x:v>Sales Representative</x:v>
      </x:c>
      <x:c r="F948" s="35" t="str">
        <x:v>Technical Degree</x:v>
      </x:c>
      <x:c r="G948" s="35" t="str">
        <x:v>Married</x:v>
      </x:c>
      <x:c r="H948" s="35" t="n">
        <x:v>4</x:v>
      </x:c>
      <x:c r="I948" s="36" t="n">
        <x:v>13870</x:v>
      </x:c>
      <x:c r="J948" s="35" t="n">
        <x:v>12</x:v>
      </x:c>
      <x:c r="K948" s="35" t="n">
        <x:v>4</x:v>
      </x:c>
      <x:c r="L948" s="35" t="n">
        <x:v>2</x:v>
      </x:c>
      <x:c r="M948" s="35" t="n">
        <x:v>7</x:v>
      </x:c>
      <x:c r="N948" s="35" t="str">
        <x:v>No</x:v>
      </x:c>
      <x:c r="O948" s="35" t="n">
        <x:v>3</x:v>
      </x:c>
      <x:c r="P948" s="35" t="n">
        <x:v>2</x:v>
      </x:c>
      <x:c r="Q948" s="35" t="n">
        <x:v>3</x:v>
      </x:c>
      <x:c r="R948" s="35" t="n">
        <x:v>2</x:v>
      </x:c>
      <x:c r="S948" s="35" t="n">
        <x:v>3</x:v>
      </x:c>
      <x:c r="T948" s="35" t="n">
        <x:v>4</x:v>
      </x:c>
      <x:c r="U948" s="35" t="n">
        <x:v>1</x:v>
      </x:c>
      <x:c r="V948" s="35" t="n">
        <x:v>8</x:v>
      </x:c>
      <x:c r="W948" s="35" t="n">
        <x:v>13</x:v>
      </x:c>
      <x:c r="X948" s="35" t="n">
        <x:v>57</x:v>
      </x:c>
      <x:c r="Y948" s="35" t="n">
        <x:v>4</x:v>
      </x:c>
      <x:c r="Z948" s="35" t="n">
        <x:v>83</x:v>
      </x:c>
      <x:c r="AA948" s="35" t="n">
        <x:v>3</x:v>
      </x:c>
      <x:c r="AB948" s="35" t="n">
        <x:v>3</x:v>
      </x:c>
      <x:c r="AC948" s="35" t="n">
        <x:v>2</x:v>
      </x:c>
      <x:c r="AD948" s="35" t="n">
        <x:v>66</x:v>
      </x:c>
      <x:c r="AE948" s="35" t="n">
        <x:v>62</x:v>
      </x:c>
      <x:c r="AF948" s="35" t="n">
        <x:v>66</x:v>
      </x:c>
      <x:c r="AG948" s="35" t="n">
        <x:v>77</x:v>
      </x:c>
      <x:c r="AH948" s="35" t="n">
        <x:v>5</x:v>
      </x:c>
      <x:c r="AI948" s="37" t="n">
        <x:v>98</x:v>
      </x:c>
      <x:c r="AJ948" s="37" t="n">
        <x:v>93.8</x:v>
      </x:c>
      <x:c r="AK948" s="35" t="str">
        <x:v>No</x:v>
      </x:c>
      <x:c r="AL948" s="38" t="n">
        <x:f>IF(AA948=0,0,AB948/AA948)</x:f>
        <x:v>1</x:v>
      </x:c>
      <x:c r="AM948" s="38" t="n">
        <x:f>IF(AB948=0,0,AC948/AB948)</x:f>
        <x:v>0.6666666666666666</x:v>
      </x:c>
      <x:c r="AN948" s="37" t="n">
        <x:f>ROUND((AD948*0.20+AE948*0.20+AF948*0.25+AG948*0.15+MIN(100,AC948*12)*0.20),1)</x:f>
        <x:v>58.5</x:v>
      </x:c>
      <x:c r="AO948" s="37" t="n">
        <x:f>ROUND(MAX(0,MIN(100,(X948*0.35)+(W948/45*100*0.20)+((5-O948)/4*100*0.15)+((5-P948)/4*100*0.10)+((6-Y948)/5*100*0.10)+((100-Z948)*0.10))),1)</x:f>
        <x:v>46.4</x:v>
      </x:c>
      <x:c r="AP948" s="37" t="str">
        <x:f>IF(AO948&gt;=70,"High",IF(AO948&gt;=40,"Moderate","Low"))</x:f>
        <x:v>Moderate</x:v>
      </x:c>
      <x:c r="AQ948" s="37" t="n">
        <x:f>ROUND(MAX(0,MIN(100,(O948/4*100*0.25)+(P948/4*100*0.20)+(Q948/4*100*0.15)+(Y948/5*100*0.20)+(100-AO948)*0.20)),1)</x:f>
        <x:v>66.7</x:v>
      </x:c>
      <x:c r="AR948" s="37" t="n">
        <x:f>ROUND((AI948*0.20+AJ948*0.15+AN948*0.18+AG948*0.12+Z948*0.15+AQ948*0.20),1)</x:f>
        <x:v>79.2</x:v>
      </x:c>
      <x:c r="AS948" s="39" t="n">
        <x:f>ROUND((AC948*AF948*120)+(AH948*350)+(MAX(0,AI948-75)*220)+(MAX(0,AQ948-60)*100),0)</x:f>
        <x:v>23320</x:v>
      </x:c>
    </x:row>
    <x:row r="949">
      <x:c r="A949" s="35" t="n">
        <x:v>948</x:v>
      </x:c>
      <x:c r="B949" s="35" t="n">
        <x:v>39</x:v>
      </x:c>
      <x:c r="C949" s="35" t="str">
        <x:v>Female</x:v>
      </x:c>
      <x:c r="D949" s="35" t="str">
        <x:v>Operations</x:v>
      </x:c>
      <x:c r="E949" s="35" t="str">
        <x:v>Operations Specialist</x:v>
      </x:c>
      <x:c r="F949" s="35" t="str">
        <x:v>Technical Degree</x:v>
      </x:c>
      <x:c r="G949" s="35" t="str">
        <x:v>Single</x:v>
      </x:c>
      <x:c r="H949" s="35" t="n">
        <x:v>2</x:v>
      </x:c>
      <x:c r="I949" s="36" t="n">
        <x:v>7920</x:v>
      </x:c>
      <x:c r="J949" s="35" t="n">
        <x:v>11</x:v>
      </x:c>
      <x:c r="K949" s="35" t="n">
        <x:v>3</x:v>
      </x:c>
      <x:c r="L949" s="35" t="n">
        <x:v>2</x:v>
      </x:c>
      <x:c r="M949" s="35" t="n">
        <x:v>10</x:v>
      </x:c>
      <x:c r="N949" s="35" t="str">
        <x:v>No</x:v>
      </x:c>
      <x:c r="O949" s="35" t="n">
        <x:v>2</x:v>
      </x:c>
      <x:c r="P949" s="35" t="n">
        <x:v>2</x:v>
      </x:c>
      <x:c r="Q949" s="35" t="n">
        <x:v>3</x:v>
      </x:c>
      <x:c r="R949" s="35" t="n">
        <x:v>3</x:v>
      </x:c>
      <x:c r="S949" s="35" t="n">
        <x:v>4</x:v>
      </x:c>
      <x:c r="T949" s="35" t="n">
        <x:v>2</x:v>
      </x:c>
      <x:c r="U949" s="35" t="n">
        <x:v>0</x:v>
      </x:c>
      <x:c r="V949" s="35" t="n">
        <x:v>6</x:v>
      </x:c>
      <x:c r="W949" s="35" t="n">
        <x:v>17</x:v>
      </x:c>
      <x:c r="X949" s="35" t="n">
        <x:v>83</x:v>
      </x:c>
      <x:c r="Y949" s="35" t="n">
        <x:v>3</x:v>
      </x:c>
      <x:c r="Z949" s="35" t="n">
        <x:v>91</x:v>
      </x:c>
      <x:c r="AA949" s="35" t="n">
        <x:v>7</x:v>
      </x:c>
      <x:c r="AB949" s="35" t="n">
        <x:v>7</x:v>
      </x:c>
      <x:c r="AC949" s="35" t="n">
        <x:v>4</x:v>
      </x:c>
      <x:c r="AD949" s="35" t="n">
        <x:v>67</x:v>
      </x:c>
      <x:c r="AE949" s="35" t="n">
        <x:v>91</x:v>
      </x:c>
      <x:c r="AF949" s="35" t="n">
        <x:v>100</x:v>
      </x:c>
      <x:c r="AG949" s="35" t="n">
        <x:v>100</x:v>
      </x:c>
      <x:c r="AH949" s="35" t="n">
        <x:v>11</x:v>
      </x:c>
      <x:c r="AI949" s="37" t="n">
        <x:v>100</x:v>
      </x:c>
      <x:c r="AJ949" s="37" t="n">
        <x:v>94.3</x:v>
      </x:c>
      <x:c r="AK949" s="35" t="str">
        <x:v>Yes</x:v>
      </x:c>
      <x:c r="AL949" s="38" t="n">
        <x:f>IF(AA949=0,0,AB949/AA949)</x:f>
        <x:v>1</x:v>
      </x:c>
      <x:c r="AM949" s="38" t="n">
        <x:f>IF(AB949=0,0,AC949/AB949)</x:f>
        <x:v>0.5714285714285714</x:v>
      </x:c>
      <x:c r="AN949" s="37" t="n">
        <x:f>ROUND((AD949*0.20+AE949*0.20+AF949*0.25+AG949*0.15+MIN(100,AC949*12)*0.20),1)</x:f>
        <x:v>81.2</x:v>
      </x:c>
      <x:c r="AO949" s="37" t="n">
        <x:f>ROUND(MAX(0,MIN(100,(X949*0.35)+(W949/45*100*0.20)+((5-O949)/4*100*0.15)+((5-P949)/4*100*0.10)+((6-Y949)/5*100*0.10)+((100-Z949)*0.10))),1)</x:f>
        <x:v>62.3</x:v>
      </x:c>
      <x:c r="AP949" s="37" t="str">
        <x:f>IF(AO949&gt;=70,"High",IF(AO949&gt;=40,"Moderate","Low"))</x:f>
        <x:v>Moderate</x:v>
      </x:c>
      <x:c r="AQ949" s="37" t="n">
        <x:f>ROUND(MAX(0,MIN(100,(O949/4*100*0.25)+(P949/4*100*0.20)+(Q949/4*100*0.15)+(Y949/5*100*0.20)+(100-AO949)*0.20)),1)</x:f>
        <x:v>53.3</x:v>
      </x:c>
      <x:c r="AR949" s="37" t="n">
        <x:f>ROUND((AI949*0.20+AJ949*0.15+AN949*0.18+AG949*0.12+Z949*0.15+AQ949*0.20),1)</x:f>
        <x:v>85.1</x:v>
      </x:c>
      <x:c r="AS949" s="39" t="n">
        <x:f>ROUND((AC949*AF949*120)+(AH949*350)+(MAX(0,AI949-75)*220)+(MAX(0,AQ949-60)*100),0)</x:f>
        <x:v>57350</x:v>
      </x:c>
    </x:row>
    <x:row r="950">
      <x:c r="A950" s="35" t="n">
        <x:v>949</x:v>
      </x:c>
      <x:c r="B950" s="35" t="n">
        <x:v>32</x:v>
      </x:c>
      <x:c r="C950" s="35" t="str">
        <x:v>Female</x:v>
      </x:c>
      <x:c r="D950" s="35" t="str">
        <x:v>Information Technology</x:v>
      </x:c>
      <x:c r="E950" s="35" t="str">
        <x:v>Systems Analyst</x:v>
      </x:c>
      <x:c r="F950" s="35" t="str">
        <x:v>Business</x:v>
      </x:c>
      <x:c r="G950" s="35" t="str">
        <x:v>Divorced</x:v>
      </x:c>
      <x:c r="H950" s="35" t="n">
        <x:v>2</x:v>
      </x:c>
      <x:c r="I950" s="36" t="n">
        <x:v>8320</x:v>
      </x:c>
      <x:c r="J950" s="35" t="n">
        <x:v>6</x:v>
      </x:c>
      <x:c r="K950" s="35" t="n">
        <x:v>2</x:v>
      </x:c>
      <x:c r="L950" s="35" t="n">
        <x:v>1</x:v>
      </x:c>
      <x:c r="M950" s="35" t="n">
        <x:v>2</x:v>
      </x:c>
      <x:c r="N950" s="35" t="str">
        <x:v>Yes</x:v>
      </x:c>
      <x:c r="O950" s="35" t="n">
        <x:v>2</x:v>
      </x:c>
      <x:c r="P950" s="35" t="n">
        <x:v>3</x:v>
      </x:c>
      <x:c r="Q950" s="35" t="n">
        <x:v>3</x:v>
      </x:c>
      <x:c r="R950" s="35" t="n">
        <x:v>3</x:v>
      </x:c>
      <x:c r="S950" s="35" t="n">
        <x:v>3</x:v>
      </x:c>
      <x:c r="T950" s="35" t="n">
        <x:v>4</x:v>
      </x:c>
      <x:c r="U950" s="35" t="n">
        <x:v>1</x:v>
      </x:c>
      <x:c r="V950" s="35" t="n">
        <x:v>0</x:v>
      </x:c>
      <x:c r="W950" s="35" t="n">
        <x:v>22</x:v>
      </x:c>
      <x:c r="X950" s="35" t="n">
        <x:v>89</x:v>
      </x:c>
      <x:c r="Y950" s="35" t="n">
        <x:v>3</x:v>
      </x:c>
      <x:c r="Z950" s="35" t="n">
        <x:v>96</x:v>
      </x:c>
      <x:c r="AA950" s="35" t="n">
        <x:v>6</x:v>
      </x:c>
      <x:c r="AB950" s="35" t="n">
        <x:v>4</x:v>
      </x:c>
      <x:c r="AC950" s="35" t="n">
        <x:v>3</x:v>
      </x:c>
      <x:c r="AD950" s="35" t="n">
        <x:v>70</x:v>
      </x:c>
      <x:c r="AE950" s="35" t="n">
        <x:v>68</x:v>
      </x:c>
      <x:c r="AF950" s="35" t="n">
        <x:v>82</x:v>
      </x:c>
      <x:c r="AG950" s="35" t="n">
        <x:v>93</x:v>
      </x:c>
      <x:c r="AH950" s="35" t="n">
        <x:v>9</x:v>
      </x:c>
      <x:c r="AI950" s="37" t="n">
        <x:v>90.5</x:v>
      </x:c>
      <x:c r="AJ950" s="37" t="n">
        <x:v>90.2</x:v>
      </x:c>
      <x:c r="AK950" s="35" t="str">
        <x:v>No</x:v>
      </x:c>
      <x:c r="AL950" s="38" t="n">
        <x:f>IF(AA950=0,0,AB950/AA950)</x:f>
        <x:v>0.6666666666666666</x:v>
      </x:c>
      <x:c r="AM950" s="38" t="n">
        <x:f>IF(AB950=0,0,AC950/AB950)</x:f>
        <x:v>0.75</x:v>
      </x:c>
      <x:c r="AN950" s="37" t="n">
        <x:f>ROUND((AD950*0.20+AE950*0.20+AF950*0.25+AG950*0.15+MIN(100,AC950*12)*0.20),1)</x:f>
        <x:v>69.3</x:v>
      </x:c>
      <x:c r="AO950" s="37" t="n">
        <x:f>ROUND(MAX(0,MIN(100,(X950*0.35)+(W950/45*100*0.20)+((5-O950)/4*100*0.15)+((5-P950)/4*100*0.10)+((6-Y950)/5*100*0.10)+((100-Z950)*0.10))),1)</x:f>
        <x:v>63.6</x:v>
      </x:c>
      <x:c r="AP950" s="37" t="str">
        <x:f>IF(AO950&gt;=70,"High",IF(AO950&gt;=40,"Moderate","Low"))</x:f>
        <x:v>Moderate</x:v>
      </x:c>
      <x:c r="AQ950" s="37" t="n">
        <x:f>ROUND(MAX(0,MIN(100,(O950/4*100*0.25)+(P950/4*100*0.20)+(Q950/4*100*0.15)+(Y950/5*100*0.20)+(100-AO950)*0.20)),1)</x:f>
        <x:v>58</x:v>
      </x:c>
      <x:c r="AR950" s="37" t="n">
        <x:f>ROUND((AI950*0.20+AJ950*0.15+AN950*0.18+AG950*0.12+Z950*0.15+AQ950*0.20),1)</x:f>
        <x:v>81.3</x:v>
      </x:c>
      <x:c r="AS950" s="39" t="n">
        <x:f>ROUND((AC950*AF950*120)+(AH950*350)+(MAX(0,AI950-75)*220)+(MAX(0,AQ950-60)*100),0)</x:f>
        <x:v>36080</x:v>
      </x:c>
    </x:row>
    <x:row r="951">
      <x:c r="A951" s="35" t="n">
        <x:v>950</x:v>
      </x:c>
      <x:c r="B951" s="35" t="n">
        <x:v>34</x:v>
      </x:c>
      <x:c r="C951" s="35" t="str">
        <x:v>Female</x:v>
      </x:c>
      <x:c r="D951" s="35" t="str">
        <x:v>Operations</x:v>
      </x:c>
      <x:c r="E951" s="35" t="str">
        <x:v>Operations Manager</x:v>
      </x:c>
      <x:c r="F951" s="35" t="str">
        <x:v>Technical Degree</x:v>
      </x:c>
      <x:c r="G951" s="35" t="str">
        <x:v>Divorced</x:v>
      </x:c>
      <x:c r="H951" s="35" t="n">
        <x:v>2</x:v>
      </x:c>
      <x:c r="I951" s="36" t="n">
        <x:v>8810</x:v>
      </x:c>
      <x:c r="J951" s="35" t="n">
        <x:v>11</x:v>
      </x:c>
      <x:c r="K951" s="35" t="n">
        <x:v>5</x:v>
      </x:c>
      <x:c r="L951" s="35" t="n">
        <x:v>4</x:v>
      </x:c>
      <x:c r="M951" s="35" t="n">
        <x:v>8</x:v>
      </x:c>
      <x:c r="N951" s="35" t="str">
        <x:v>No</x:v>
      </x:c>
      <x:c r="O951" s="35" t="n">
        <x:v>3</x:v>
      </x:c>
      <x:c r="P951" s="35" t="n">
        <x:v>3</x:v>
      </x:c>
      <x:c r="Q951" s="35" t="n">
        <x:v>4</x:v>
      </x:c>
      <x:c r="R951" s="35" t="n">
        <x:v>4</x:v>
      </x:c>
      <x:c r="S951" s="35" t="n">
        <x:v>4</x:v>
      </x:c>
      <x:c r="T951" s="35" t="n">
        <x:v>4</x:v>
      </x:c>
      <x:c r="U951" s="35" t="n">
        <x:v>1</x:v>
      </x:c>
      <x:c r="V951" s="35" t="n">
        <x:v>11</x:v>
      </x:c>
      <x:c r="W951" s="35" t="n">
        <x:v>13</x:v>
      </x:c>
      <x:c r="X951" s="35" t="n">
        <x:v>60</x:v>
      </x:c>
      <x:c r="Y951" s="35" t="n">
        <x:v>4</x:v>
      </x:c>
      <x:c r="Z951" s="35" t="n">
        <x:v>100</x:v>
      </x:c>
      <x:c r="AA951" s="35" t="n">
        <x:v>3</x:v>
      </x:c>
      <x:c r="AB951" s="35" t="n">
        <x:v>3</x:v>
      </x:c>
      <x:c r="AC951" s="35" t="n">
        <x:v>2</x:v>
      </x:c>
      <x:c r="AD951" s="35" t="n">
        <x:v>60</x:v>
      </x:c>
      <x:c r="AE951" s="35" t="n">
        <x:v>72</x:v>
      </x:c>
      <x:c r="AF951" s="35" t="n">
        <x:v>92</x:v>
      </x:c>
      <x:c r="AG951" s="35" t="n">
        <x:v>96</x:v>
      </x:c>
      <x:c r="AH951" s="35" t="n">
        <x:v>7</x:v>
      </x:c>
      <x:c r="AI951" s="37" t="n">
        <x:v>100</x:v>
      </x:c>
      <x:c r="AJ951" s="37" t="n">
        <x:v>98.7</x:v>
      </x:c>
      <x:c r="AK951" s="35" t="str">
        <x:v>No</x:v>
      </x:c>
      <x:c r="AL951" s="38" t="n">
        <x:f>IF(AA951=0,0,AB951/AA951)</x:f>
        <x:v>1</x:v>
      </x:c>
      <x:c r="AM951" s="38" t="n">
        <x:f>IF(AB951=0,0,AC951/AB951)</x:f>
        <x:v>0.6666666666666666</x:v>
      </x:c>
      <x:c r="AN951" s="37" t="n">
        <x:f>ROUND((AD951*0.20+AE951*0.20+AF951*0.25+AG951*0.15+MIN(100,AC951*12)*0.20),1)</x:f>
        <x:v>68.6</x:v>
      </x:c>
      <x:c r="AO951" s="37" t="n">
        <x:f>ROUND(MAX(0,MIN(100,(X951*0.35)+(W951/45*100*0.20)+((5-O951)/4*100*0.15)+((5-P951)/4*100*0.10)+((6-Y951)/5*100*0.10)+((100-Z951)*0.10))),1)</x:f>
        <x:v>43.3</x:v>
      </x:c>
      <x:c r="AP951" s="37" t="str">
        <x:f>IF(AO951&gt;=70,"High",IF(AO951&gt;=40,"Moderate","Low"))</x:f>
        <x:v>Moderate</x:v>
      </x:c>
      <x:c r="AQ951" s="37" t="n">
        <x:f>ROUND(MAX(0,MIN(100,(O951/4*100*0.25)+(P951/4*100*0.20)+(Q951/4*100*0.15)+(Y951/5*100*0.20)+(100-AO951)*0.20)),1)</x:f>
        <x:v>76.1</x:v>
      </x:c>
      <x:c r="AR951" s="37" t="n">
        <x:f>ROUND((AI951*0.20+AJ951*0.15+AN951*0.18+AG951*0.12+Z951*0.15+AQ951*0.20),1)</x:f>
        <x:v>88.9</x:v>
      </x:c>
      <x:c r="AS951" s="39" t="n">
        <x:f>ROUND((AC951*AF951*120)+(AH951*350)+(MAX(0,AI951-75)*220)+(MAX(0,AQ951-60)*100),0)</x:f>
        <x:v>31640</x:v>
      </x:c>
    </x:row>
    <x:row r="952">
      <x:c r="A952" s="35" t="n">
        <x:v>951</x:v>
      </x:c>
      <x:c r="B952" s="35" t="n">
        <x:v>44</x:v>
      </x:c>
      <x:c r="C952" s="35" t="str">
        <x:v>Female</x:v>
      </x:c>
      <x:c r="D952" s="35" t="str">
        <x:v>Operations</x:v>
      </x:c>
      <x:c r="E952" s="35" t="str">
        <x:v>Quality Specialist</x:v>
      </x:c>
      <x:c r="F952" s="35" t="str">
        <x:v>Business</x:v>
      </x:c>
      <x:c r="G952" s="35" t="str">
        <x:v>Single</x:v>
      </x:c>
      <x:c r="H952" s="35" t="n">
        <x:v>4</x:v>
      </x:c>
      <x:c r="I952" s="36" t="n">
        <x:v>18920</x:v>
      </x:c>
      <x:c r="J952" s="35" t="n">
        <x:v>20</x:v>
      </x:c>
      <x:c r="K952" s="35" t="n">
        <x:v>12</x:v>
      </x:c>
      <x:c r="L952" s="35" t="n">
        <x:v>6</x:v>
      </x:c>
      <x:c r="M952" s="35" t="n">
        <x:v>3</x:v>
      </x:c>
      <x:c r="N952" s="35" t="str">
        <x:v>Yes</x:v>
      </x:c>
      <x:c r="O952" s="35" t="n">
        <x:v>1</x:v>
      </x:c>
      <x:c r="P952" s="35" t="n">
        <x:v>2</x:v>
      </x:c>
      <x:c r="Q952" s="35" t="n">
        <x:v>4</x:v>
      </x:c>
      <x:c r="R952" s="35" t="n">
        <x:v>3</x:v>
      </x:c>
      <x:c r="S952" s="35" t="n">
        <x:v>3</x:v>
      </x:c>
      <x:c r="T952" s="35" t="n">
        <x:v>4</x:v>
      </x:c>
      <x:c r="U952" s="35" t="n">
        <x:v>0</x:v>
      </x:c>
      <x:c r="V952" s="35" t="n">
        <x:v>6</x:v>
      </x:c>
      <x:c r="W952" s="35" t="n">
        <x:v>26</x:v>
      </x:c>
      <x:c r="X952" s="35" t="n">
        <x:v>85</x:v>
      </x:c>
      <x:c r="Y952" s="35" t="n">
        <x:v>3</x:v>
      </x:c>
      <x:c r="Z952" s="35" t="n">
        <x:v>82</x:v>
      </x:c>
      <x:c r="AA952" s="35" t="n">
        <x:v>9</x:v>
      </x:c>
      <x:c r="AB952" s="35" t="n">
        <x:v>9</x:v>
      </x:c>
      <x:c r="AC952" s="35" t="n">
        <x:v>6</x:v>
      </x:c>
      <x:c r="AD952" s="35" t="n">
        <x:v>88</x:v>
      </x:c>
      <x:c r="AE952" s="35" t="n">
        <x:v>88</x:v>
      </x:c>
      <x:c r="AF952" s="35" t="n">
        <x:v>59</x:v>
      </x:c>
      <x:c r="AG952" s="35" t="n">
        <x:v>90</x:v>
      </x:c>
      <x:c r="AH952" s="35" t="n">
        <x:v>7</x:v>
      </x:c>
      <x:c r="AI952" s="37" t="n">
        <x:v>100</x:v>
      </x:c>
      <x:c r="AJ952" s="37" t="n">
        <x:v>100</x:v>
      </x:c>
      <x:c r="AK952" s="35" t="str">
        <x:v>Yes</x:v>
      </x:c>
      <x:c r="AL952" s="38" t="n">
        <x:f>IF(AA952=0,0,AB952/AA952)</x:f>
        <x:v>1</x:v>
      </x:c>
      <x:c r="AM952" s="38" t="n">
        <x:f>IF(AB952=0,0,AC952/AB952)</x:f>
        <x:v>0.6666666666666666</x:v>
      </x:c>
      <x:c r="AN952" s="37" t="n">
        <x:f>ROUND((AD952*0.20+AE952*0.20+AF952*0.25+AG952*0.15+MIN(100,AC952*12)*0.20),1)</x:f>
        <x:v>77.9</x:v>
      </x:c>
      <x:c r="AO952" s="37" t="n">
        <x:f>ROUND(MAX(0,MIN(100,(X952*0.35)+(W952/45*100*0.20)+((5-O952)/4*100*0.15)+((5-P952)/4*100*0.10)+((6-Y952)/5*100*0.10)+((100-Z952)*0.10))),1)</x:f>
        <x:v>71.6</x:v>
      </x:c>
      <x:c r="AP952" s="37" t="str">
        <x:f>IF(AO952&gt;=70,"High",IF(AO952&gt;=40,"Moderate","Low"))</x:f>
        <x:v>High</x:v>
      </x:c>
      <x:c r="AQ952" s="37" t="n">
        <x:f>ROUND(MAX(0,MIN(100,(O952/4*100*0.25)+(P952/4*100*0.20)+(Q952/4*100*0.15)+(Y952/5*100*0.20)+(100-AO952)*0.20)),1)</x:f>
        <x:v>48.9</x:v>
      </x:c>
      <x:c r="AR952" s="37" t="n">
        <x:f>ROUND((AI952*0.20+AJ952*0.15+AN952*0.18+AG952*0.12+Z952*0.15+AQ952*0.20),1)</x:f>
        <x:v>81.9</x:v>
      </x:c>
      <x:c r="AS952" s="39" t="n">
        <x:f>ROUND((AC952*AF952*120)+(AH952*350)+(MAX(0,AI952-75)*220)+(MAX(0,AQ952-60)*100),0)</x:f>
        <x:v>50430</x:v>
      </x:c>
    </x:row>
    <x:row r="953">
      <x:c r="A953" s="35" t="n">
        <x:v>952</x:v>
      </x:c>
      <x:c r="B953" s="35" t="n">
        <x:v>29</x:v>
      </x:c>
      <x:c r="C953" s="35" t="str">
        <x:v>Female</x:v>
      </x:c>
      <x:c r="D953" s="35" t="str">
        <x:v>Research &amp; Development</x:v>
      </x:c>
      <x:c r="E953" s="35" t="str">
        <x:v>R&amp;D Manager</x:v>
      </x:c>
      <x:c r="F953" s="35" t="str">
        <x:v>Marketing</x:v>
      </x:c>
      <x:c r="G953" s="35" t="str">
        <x:v>Divorced</x:v>
      </x:c>
      <x:c r="H953" s="35" t="n">
        <x:v>1</x:v>
      </x:c>
      <x:c r="I953" s="36" t="n">
        <x:v>7020</x:v>
      </x:c>
      <x:c r="J953" s="35" t="n">
        <x:v>5</x:v>
      </x:c>
      <x:c r="K953" s="35" t="n">
        <x:v>1</x:v>
      </x:c>
      <x:c r="L953" s="35" t="n">
        <x:v>0</x:v>
      </x:c>
      <x:c r="M953" s="35" t="n">
        <x:v>5</x:v>
      </x:c>
      <x:c r="N953" s="35" t="str">
        <x:v>No</x:v>
      </x:c>
      <x:c r="O953" s="35" t="n">
        <x:v>4</x:v>
      </x:c>
      <x:c r="P953" s="35" t="n">
        <x:v>4</x:v>
      </x:c>
      <x:c r="Q953" s="35" t="n">
        <x:v>4</x:v>
      </x:c>
      <x:c r="R953" s="35" t="n">
        <x:v>4</x:v>
      </x:c>
      <x:c r="S953" s="35" t="n">
        <x:v>3</x:v>
      </x:c>
      <x:c r="T953" s="35" t="n">
        <x:v>4</x:v>
      </x:c>
      <x:c r="U953" s="35" t="n">
        <x:v>0</x:v>
      </x:c>
      <x:c r="V953" s="35" t="n">
        <x:v>11</x:v>
      </x:c>
      <x:c r="W953" s="35" t="n">
        <x:v>11</x:v>
      </x:c>
      <x:c r="X953" s="35" t="n">
        <x:v>54</x:v>
      </x:c>
      <x:c r="Y953" s="35" t="n">
        <x:v>5</x:v>
      </x:c>
      <x:c r="Z953" s="35" t="n">
        <x:v>100</x:v>
      </x:c>
      <x:c r="AA953" s="35" t="n">
        <x:v>2</x:v>
      </x:c>
      <x:c r="AB953" s="35" t="n">
        <x:v>2</x:v>
      </x:c>
      <x:c r="AC953" s="35" t="n">
        <x:v>1</x:v>
      </x:c>
      <x:c r="AD953" s="35" t="n">
        <x:v>73</x:v>
      </x:c>
      <x:c r="AE953" s="35" t="n">
        <x:v>60</x:v>
      </x:c>
      <x:c r="AF953" s="35" t="n">
        <x:v>54</x:v>
      </x:c>
      <x:c r="AG953" s="35" t="n">
        <x:v>100</x:v>
      </x:c>
      <x:c r="AH953" s="35" t="n">
        <x:v>4</x:v>
      </x:c>
      <x:c r="AI953" s="37" t="n">
        <x:v>100</x:v>
      </x:c>
      <x:c r="AJ953" s="37" t="n">
        <x:v>100</x:v>
      </x:c>
      <x:c r="AK953" s="35" t="str">
        <x:v>No</x:v>
      </x:c>
      <x:c r="AL953" s="38" t="n">
        <x:f>IF(AA953=0,0,AB953/AA953)</x:f>
        <x:v>1</x:v>
      </x:c>
      <x:c r="AM953" s="38" t="n">
        <x:f>IF(AB953=0,0,AC953/AB953)</x:f>
        <x:v>0.5</x:v>
      </x:c>
      <x:c r="AN953" s="37" t="n">
        <x:f>ROUND((AD953*0.20+AE953*0.20+AF953*0.25+AG953*0.15+MIN(100,AC953*12)*0.20),1)</x:f>
        <x:v>57.5</x:v>
      </x:c>
      <x:c r="AO953" s="37" t="n">
        <x:f>ROUND(MAX(0,MIN(100,(X953*0.35)+(W953/45*100*0.20)+((5-O953)/4*100*0.15)+((5-P953)/4*100*0.10)+((6-Y953)/5*100*0.10)+((100-Z953)*0.10))),1)</x:f>
        <x:v>32</x:v>
      </x:c>
      <x:c r="AP953" s="37" t="str">
        <x:f>IF(AO953&gt;=70,"High",IF(AO953&gt;=40,"Moderate","Low"))</x:f>
        <x:v>Low</x:v>
      </x:c>
      <x:c r="AQ953" s="37" t="n">
        <x:f>ROUND(MAX(0,MIN(100,(O953/4*100*0.25)+(P953/4*100*0.20)+(Q953/4*100*0.15)+(Y953/5*100*0.20)+(100-AO953)*0.20)),1)</x:f>
        <x:v>93.6</x:v>
      </x:c>
      <x:c r="AR953" s="37" t="n">
        <x:f>ROUND((AI953*0.20+AJ953*0.15+AN953*0.18+AG953*0.12+Z953*0.15+AQ953*0.20),1)</x:f>
        <x:v>91.1</x:v>
      </x:c>
      <x:c r="AS953" s="39" t="n">
        <x:f>ROUND((AC953*AF953*120)+(AH953*350)+(MAX(0,AI953-75)*220)+(MAX(0,AQ953-60)*100),0)</x:f>
        <x:v>16740</x:v>
      </x:c>
    </x:row>
    <x:row r="954">
      <x:c r="A954" s="35" t="n">
        <x:v>953</x:v>
      </x:c>
      <x:c r="B954" s="35" t="n">
        <x:v>42</x:v>
      </x:c>
      <x:c r="C954" s="35" t="str">
        <x:v>Female</x:v>
      </x:c>
      <x:c r="D954" s="35" t="str">
        <x:v>Finance</x:v>
      </x:c>
      <x:c r="E954" s="35" t="str">
        <x:v>Financial Analyst</x:v>
      </x:c>
      <x:c r="F954" s="35" t="str">
        <x:v>Computer Science</x:v>
      </x:c>
      <x:c r="G954" s="35" t="str">
        <x:v>Single</x:v>
      </x:c>
      <x:c r="H954" s="35" t="n">
        <x:v>2</x:v>
      </x:c>
      <x:c r="I954" s="36" t="n">
        <x:v>5380</x:v>
      </x:c>
      <x:c r="J954" s="35" t="n">
        <x:v>18</x:v>
      </x:c>
      <x:c r="K954" s="35" t="n">
        <x:v>15</x:v>
      </x:c>
      <x:c r="L954" s="35" t="n">
        <x:v>5</x:v>
      </x:c>
      <x:c r="M954" s="35" t="n">
        <x:v>5</x:v>
      </x:c>
      <x:c r="N954" s="35" t="str">
        <x:v>No</x:v>
      </x:c>
      <x:c r="O954" s="35" t="n">
        <x:v>3</x:v>
      </x:c>
      <x:c r="P954" s="35" t="n">
        <x:v>3</x:v>
      </x:c>
      <x:c r="Q954" s="35" t="n">
        <x:v>3</x:v>
      </x:c>
      <x:c r="R954" s="35" t="n">
        <x:v>4</x:v>
      </x:c>
      <x:c r="S954" s="35" t="n">
        <x:v>3</x:v>
      </x:c>
      <x:c r="T954" s="35" t="n">
        <x:v>4</x:v>
      </x:c>
      <x:c r="U954" s="35" t="n">
        <x:v>1</x:v>
      </x:c>
      <x:c r="V954" s="35" t="n">
        <x:v>4</x:v>
      </x:c>
      <x:c r="W954" s="35" t="n">
        <x:v>4</x:v>
      </x:c>
      <x:c r="X954" s="35" t="n">
        <x:v>56</x:v>
      </x:c>
      <x:c r="Y954" s="35" t="n">
        <x:v>4</x:v>
      </x:c>
      <x:c r="Z954" s="35" t="n">
        <x:v>100</x:v>
      </x:c>
      <x:c r="AA954" s="35" t="n">
        <x:v>4</x:v>
      </x:c>
      <x:c r="AB954" s="35" t="n">
        <x:v>4</x:v>
      </x:c>
      <x:c r="AC954" s="35" t="n">
        <x:v>4</x:v>
      </x:c>
      <x:c r="AD954" s="35" t="n">
        <x:v>67</x:v>
      </x:c>
      <x:c r="AE954" s="35" t="n">
        <x:v>90</x:v>
      </x:c>
      <x:c r="AF954" s="35" t="n">
        <x:v>72</x:v>
      </x:c>
      <x:c r="AG954" s="35" t="n">
        <x:v>92</x:v>
      </x:c>
      <x:c r="AH954" s="35" t="n">
        <x:v>7</x:v>
      </x:c>
      <x:c r="AI954" s="37" t="n">
        <x:v>100</x:v>
      </x:c>
      <x:c r="AJ954" s="37" t="n">
        <x:v>95.8</x:v>
      </x:c>
      <x:c r="AK954" s="35" t="str">
        <x:v>No</x:v>
      </x:c>
      <x:c r="AL954" s="38" t="n">
        <x:f>IF(AA954=0,0,AB954/AA954)</x:f>
        <x:v>1</x:v>
      </x:c>
      <x:c r="AM954" s="38" t="n">
        <x:f>IF(AB954=0,0,AC954/AB954)</x:f>
        <x:v>1</x:v>
      </x:c>
      <x:c r="AN954" s="37" t="n">
        <x:f>ROUND((AD954*0.20+AE954*0.20+AF954*0.25+AG954*0.15+MIN(100,AC954*12)*0.20),1)</x:f>
        <x:v>72.8</x:v>
      </x:c>
      <x:c r="AO954" s="37" t="n">
        <x:f>ROUND(MAX(0,MIN(100,(X954*0.35)+(W954/45*100*0.20)+((5-O954)/4*100*0.15)+((5-P954)/4*100*0.10)+((6-Y954)/5*100*0.10)+((100-Z954)*0.10))),1)</x:f>
        <x:v>37.9</x:v>
      </x:c>
      <x:c r="AP954" s="37" t="str">
        <x:f>IF(AO954&gt;=70,"High",IF(AO954&gt;=40,"Moderate","Low"))</x:f>
        <x:v>Low</x:v>
      </x:c>
      <x:c r="AQ954" s="37" t="n">
        <x:f>ROUND(MAX(0,MIN(100,(O954/4*100*0.25)+(P954/4*100*0.20)+(Q954/4*100*0.15)+(Y954/5*100*0.20)+(100-AO954)*0.20)),1)</x:f>
        <x:v>73.4</x:v>
      </x:c>
      <x:c r="AR954" s="37" t="n">
        <x:f>ROUND((AI954*0.20+AJ954*0.15+AN954*0.18+AG954*0.12+Z954*0.15+AQ954*0.20),1)</x:f>
        <x:v>88.2</x:v>
      </x:c>
      <x:c r="AS954" s="39" t="n">
        <x:f>ROUND((AC954*AF954*120)+(AH954*350)+(MAX(0,AI954-75)*220)+(MAX(0,AQ954-60)*100),0)</x:f>
        <x:v>43850</x:v>
      </x:c>
    </x:row>
    <x:row r="955">
      <x:c r="A955" s="35" t="n">
        <x:v>954</x:v>
      </x:c>
      <x:c r="B955" s="35" t="n">
        <x:v>32</x:v>
      </x:c>
      <x:c r="C955" s="35" t="str">
        <x:v>Male</x:v>
      </x:c>
      <x:c r="D955" s="35" t="str">
        <x:v>Information Technology</x:v>
      </x:c>
      <x:c r="E955" s="35" t="str">
        <x:v>Systems Analyst</x:v>
      </x:c>
      <x:c r="F955" s="35" t="str">
        <x:v>Technical Degree</x:v>
      </x:c>
      <x:c r="G955" s="35" t="str">
        <x:v>Single</x:v>
      </x:c>
      <x:c r="H955" s="35" t="n">
        <x:v>2</x:v>
      </x:c>
      <x:c r="I955" s="36" t="n">
        <x:v>6520</x:v>
      </x:c>
      <x:c r="J955" s="35" t="n">
        <x:v>8</x:v>
      </x:c>
      <x:c r="K955" s="35" t="n">
        <x:v>4</x:v>
      </x:c>
      <x:c r="L955" s="35" t="n">
        <x:v>2</x:v>
      </x:c>
      <x:c r="M955" s="35" t="n">
        <x:v>9</x:v>
      </x:c>
      <x:c r="N955" s="35" t="str">
        <x:v>No</x:v>
      </x:c>
      <x:c r="O955" s="35" t="n">
        <x:v>4</x:v>
      </x:c>
      <x:c r="P955" s="35" t="n">
        <x:v>4</x:v>
      </x:c>
      <x:c r="Q955" s="35" t="n">
        <x:v>3</x:v>
      </x:c>
      <x:c r="R955" s="35" t="n">
        <x:v>3</x:v>
      </x:c>
      <x:c r="S955" s="35" t="n">
        <x:v>3</x:v>
      </x:c>
      <x:c r="T955" s="35" t="n">
        <x:v>2</x:v>
      </x:c>
      <x:c r="U955" s="35" t="n">
        <x:v>1</x:v>
      </x:c>
      <x:c r="V955" s="35" t="n">
        <x:v>2</x:v>
      </x:c>
      <x:c r="W955" s="35" t="n">
        <x:v>11</x:v>
      </x:c>
      <x:c r="X955" s="35" t="n">
        <x:v>69</x:v>
      </x:c>
      <x:c r="Y955" s="35" t="n">
        <x:v>4</x:v>
      </x:c>
      <x:c r="Z955" s="35" t="n">
        <x:v>100</x:v>
      </x:c>
      <x:c r="AA955" s="35" t="n">
        <x:v>7</x:v>
      </x:c>
      <x:c r="AB955" s="35" t="n">
        <x:v>6</x:v>
      </x:c>
      <x:c r="AC955" s="35" t="n">
        <x:v>5</x:v>
      </x:c>
      <x:c r="AD955" s="35" t="n">
        <x:v>83</x:v>
      </x:c>
      <x:c r="AE955" s="35" t="n">
        <x:v>78</x:v>
      </x:c>
      <x:c r="AF955" s="35" t="n">
        <x:v>78</x:v>
      </x:c>
      <x:c r="AG955" s="35" t="n">
        <x:v>84</x:v>
      </x:c>
      <x:c r="AH955" s="35" t="n">
        <x:v>8</x:v>
      </x:c>
      <x:c r="AI955" s="37" t="n">
        <x:v>97.6</x:v>
      </x:c>
      <x:c r="AJ955" s="37" t="n">
        <x:v>99.9</x:v>
      </x:c>
      <x:c r="AK955" s="35" t="str">
        <x:v>No</x:v>
      </x:c>
      <x:c r="AL955" s="38" t="n">
        <x:f>IF(AA955=0,0,AB955/AA955)</x:f>
        <x:v>0.8571428571428571</x:v>
      </x:c>
      <x:c r="AM955" s="38" t="n">
        <x:f>IF(AB955=0,0,AC955/AB955)</x:f>
        <x:v>0.8333333333333334</x:v>
      </x:c>
      <x:c r="AN955" s="37" t="n">
        <x:f>ROUND((AD955*0.20+AE955*0.20+AF955*0.25+AG955*0.15+MIN(100,AC955*12)*0.20),1)</x:f>
        <x:v>76.3</x:v>
      </x:c>
      <x:c r="AO955" s="37" t="n">
        <x:f>ROUND(MAX(0,MIN(100,(X955*0.35)+(W955/45*100*0.20)+((5-O955)/4*100*0.15)+((5-P955)/4*100*0.10)+((6-Y955)/5*100*0.10)+((100-Z955)*0.10))),1)</x:f>
        <x:v>39.3</x:v>
      </x:c>
      <x:c r="AP955" s="37" t="str">
        <x:f>IF(AO955&gt;=70,"High",IF(AO955&gt;=40,"Moderate","Low"))</x:f>
        <x:v>Low</x:v>
      </x:c>
      <x:c r="AQ955" s="37" t="n">
        <x:f>ROUND(MAX(0,MIN(100,(O955/4*100*0.25)+(P955/4*100*0.20)+(Q955/4*100*0.15)+(Y955/5*100*0.20)+(100-AO955)*0.20)),1)</x:f>
        <x:v>84.4</x:v>
      </x:c>
      <x:c r="AR955" s="37" t="n">
        <x:f>ROUND((AI955*0.20+AJ955*0.15+AN955*0.18+AG955*0.12+Z955*0.15+AQ955*0.20),1)</x:f>
        <x:v>90.2</x:v>
      </x:c>
      <x:c r="AS955" s="39" t="n">
        <x:f>ROUND((AC955*AF955*120)+(AH955*350)+(MAX(0,AI955-75)*220)+(MAX(0,AQ955-60)*100),0)</x:f>
        <x:v>57012</x:v>
      </x:c>
    </x:row>
    <x:row r="956">
      <x:c r="A956" s="35" t="n">
        <x:v>955</x:v>
      </x:c>
      <x:c r="B956" s="35" t="n">
        <x:v>50</x:v>
      </x:c>
      <x:c r="C956" s="35" t="str">
        <x:v>Female</x:v>
      </x:c>
      <x:c r="D956" s="35" t="str">
        <x:v>Marketing</x:v>
      </x:c>
      <x:c r="E956" s="35" t="str">
        <x:v>Marketing Specialist</x:v>
      </x:c>
      <x:c r="F956" s="35" t="str">
        <x:v>Technical Degree</x:v>
      </x:c>
      <x:c r="G956" s="35" t="str">
        <x:v>Single</x:v>
      </x:c>
      <x:c r="H956" s="35" t="n">
        <x:v>5</x:v>
      </x:c>
      <x:c r="I956" s="36" t="n">
        <x:v>22570</x:v>
      </x:c>
      <x:c r="J956" s="35" t="n">
        <x:v>15</x:v>
      </x:c>
      <x:c r="K956" s="35" t="n">
        <x:v>8</x:v>
      </x:c>
      <x:c r="L956" s="35" t="n">
        <x:v>3</x:v>
      </x:c>
      <x:c r="M956" s="35" t="n">
        <x:v>5</x:v>
      </x:c>
      <x:c r="N956" s="35" t="str">
        <x:v>Yes</x:v>
      </x:c>
      <x:c r="O956" s="35" t="n">
        <x:v>2</x:v>
      </x:c>
      <x:c r="P956" s="35" t="n">
        <x:v>4</x:v>
      </x:c>
      <x:c r="Q956" s="35" t="n">
        <x:v>3</x:v>
      </x:c>
      <x:c r="R956" s="35" t="n">
        <x:v>2</x:v>
      </x:c>
      <x:c r="S956" s="35" t="n">
        <x:v>3</x:v>
      </x:c>
      <x:c r="T956" s="35" t="n">
        <x:v>3</x:v>
      </x:c>
      <x:c r="U956" s="35" t="n">
        <x:v>0</x:v>
      </x:c>
      <x:c r="V956" s="35" t="n">
        <x:v>5</x:v>
      </x:c>
      <x:c r="W956" s="35" t="n">
        <x:v>10</x:v>
      </x:c>
      <x:c r="X956" s="35" t="n">
        <x:v>72</x:v>
      </x:c>
      <x:c r="Y956" s="35" t="n">
        <x:v>4</x:v>
      </x:c>
      <x:c r="Z956" s="35" t="n">
        <x:v>91</x:v>
      </x:c>
      <x:c r="AA956" s="35" t="n">
        <x:v>15</x:v>
      </x:c>
      <x:c r="AB956" s="35" t="n">
        <x:v>14</x:v>
      </x:c>
      <x:c r="AC956" s="35" t="n">
        <x:v>11</x:v>
      </x:c>
      <x:c r="AD956" s="35" t="n">
        <x:v>75</x:v>
      </x:c>
      <x:c r="AE956" s="35" t="n">
        <x:v>91</x:v>
      </x:c>
      <x:c r="AF956" s="35" t="n">
        <x:v>87</x:v>
      </x:c>
      <x:c r="AG956" s="35" t="n">
        <x:v>89</x:v>
      </x:c>
      <x:c r="AH956" s="35" t="n">
        <x:v>10</x:v>
      </x:c>
      <x:c r="AI956" s="37" t="n">
        <x:v>100</x:v>
      </x:c>
      <x:c r="AJ956" s="37" t="n">
        <x:v>91.6</x:v>
      </x:c>
      <x:c r="AK956" s="35" t="str">
        <x:v>No</x:v>
      </x:c>
      <x:c r="AL956" s="38" t="n">
        <x:f>IF(AA956=0,0,AB956/AA956)</x:f>
        <x:v>0.9333333333333333</x:v>
      </x:c>
      <x:c r="AM956" s="38" t="n">
        <x:f>IF(AB956=0,0,AC956/AB956)</x:f>
        <x:v>0.7857142857142857</x:v>
      </x:c>
      <x:c r="AN956" s="37" t="n">
        <x:f>ROUND((AD956*0.20+AE956*0.20+AF956*0.25+AG956*0.15+MIN(100,AC956*12)*0.20),1)</x:f>
        <x:v>88.3</x:v>
      </x:c>
      <x:c r="AO956" s="37" t="n">
        <x:f>ROUND(MAX(0,MIN(100,(X956*0.35)+(W956/45*100*0.20)+((5-O956)/4*100*0.15)+((5-P956)/4*100*0.10)+((6-Y956)/5*100*0.10)+((100-Z956)*0.10))),1)</x:f>
        <x:v>48.3</x:v>
      </x:c>
      <x:c r="AP956" s="37" t="str">
        <x:f>IF(AO956&gt;=70,"High",IF(AO956&gt;=40,"Moderate","Low"))</x:f>
        <x:v>Moderate</x:v>
      </x:c>
      <x:c r="AQ956" s="37" t="n">
        <x:f>ROUND(MAX(0,MIN(100,(O956/4*100*0.25)+(P956/4*100*0.20)+(Q956/4*100*0.15)+(Y956/5*100*0.20)+(100-AO956)*0.20)),1)</x:f>
        <x:v>70.1</x:v>
      </x:c>
      <x:c r="AR956" s="37" t="n">
        <x:f>ROUND((AI956*0.20+AJ956*0.15+AN956*0.18+AG956*0.12+Z956*0.15+AQ956*0.20),1)</x:f>
        <x:v>88</x:v>
      </x:c>
      <x:c r="AS956" s="39" t="n">
        <x:f>ROUND((AC956*AF956*120)+(AH956*350)+(MAX(0,AI956-75)*220)+(MAX(0,AQ956-60)*100),0)</x:f>
        <x:v>124850</x:v>
      </x:c>
    </x:row>
    <x:row r="957">
      <x:c r="A957" s="35" t="n">
        <x:v>956</x:v>
      </x:c>
      <x:c r="B957" s="35" t="n">
        <x:v>39</x:v>
      </x:c>
      <x:c r="C957" s="35" t="str">
        <x:v>Female</x:v>
      </x:c>
      <x:c r="D957" s="35" t="str">
        <x:v>Research &amp; Development</x:v>
      </x:c>
      <x:c r="E957" s="35" t="str">
        <x:v>Laboratory Technician</x:v>
      </x:c>
      <x:c r="F957" s="35" t="str">
        <x:v>Computer Science</x:v>
      </x:c>
      <x:c r="G957" s="35" t="str">
        <x:v>Married</x:v>
      </x:c>
      <x:c r="H957" s="35" t="n">
        <x:v>2</x:v>
      </x:c>
      <x:c r="I957" s="36" t="n">
        <x:v>6960</x:v>
      </x:c>
      <x:c r="J957" s="35" t="n">
        <x:v>10</x:v>
      </x:c>
      <x:c r="K957" s="35" t="n">
        <x:v>8</x:v>
      </x:c>
      <x:c r="L957" s="35" t="n">
        <x:v>6</x:v>
      </x:c>
      <x:c r="M957" s="35" t="n">
        <x:v>9</x:v>
      </x:c>
      <x:c r="N957" s="35" t="str">
        <x:v>No</x:v>
      </x:c>
      <x:c r="O957" s="35" t="n">
        <x:v>3</x:v>
      </x:c>
      <x:c r="P957" s="35" t="n">
        <x:v>3</x:v>
      </x:c>
      <x:c r="Q957" s="35" t="n">
        <x:v>4</x:v>
      </x:c>
      <x:c r="R957" s="35" t="n">
        <x:v>3</x:v>
      </x:c>
      <x:c r="S957" s="35" t="n">
        <x:v>3</x:v>
      </x:c>
      <x:c r="T957" s="35" t="n">
        <x:v>5</x:v>
      </x:c>
      <x:c r="U957" s="35" t="n">
        <x:v>0</x:v>
      </x:c>
      <x:c r="V957" s="35" t="n">
        <x:v>5</x:v>
      </x:c>
      <x:c r="W957" s="35" t="n">
        <x:v>14</x:v>
      </x:c>
      <x:c r="X957" s="35" t="n">
        <x:v>81</x:v>
      </x:c>
      <x:c r="Y957" s="35" t="n">
        <x:v>4</x:v>
      </x:c>
      <x:c r="Z957" s="35" t="n">
        <x:v>100</x:v>
      </x:c>
      <x:c r="AA957" s="35" t="n">
        <x:v>7</x:v>
      </x:c>
      <x:c r="AB957" s="35" t="n">
        <x:v>7</x:v>
      </x:c>
      <x:c r="AC957" s="35" t="n">
        <x:v>6</x:v>
      </x:c>
      <x:c r="AD957" s="35" t="n">
        <x:v>84</x:v>
      </x:c>
      <x:c r="AE957" s="35" t="n">
        <x:v>82</x:v>
      </x:c>
      <x:c r="AF957" s="35" t="n">
        <x:v>100</x:v>
      </x:c>
      <x:c r="AG957" s="35" t="n">
        <x:v>100</x:v>
      </x:c>
      <x:c r="AH957" s="35" t="n">
        <x:v>9</x:v>
      </x:c>
      <x:c r="AI957" s="37" t="n">
        <x:v>90.4</x:v>
      </x:c>
      <x:c r="AJ957" s="37" t="n">
        <x:v>94</x:v>
      </x:c>
      <x:c r="AK957" s="35" t="str">
        <x:v>No</x:v>
      </x:c>
      <x:c r="AL957" s="38" t="n">
        <x:f>IF(AA957=0,0,AB957/AA957)</x:f>
        <x:v>1</x:v>
      </x:c>
      <x:c r="AM957" s="38" t="n">
        <x:f>IF(AB957=0,0,AC957/AB957)</x:f>
        <x:v>0.8571428571428571</x:v>
      </x:c>
      <x:c r="AN957" s="37" t="n">
        <x:f>ROUND((AD957*0.20+AE957*0.20+AF957*0.25+AG957*0.15+MIN(100,AC957*12)*0.20),1)</x:f>
        <x:v>87.6</x:v>
      </x:c>
      <x:c r="AO957" s="37" t="n">
        <x:f>ROUND(MAX(0,MIN(100,(X957*0.35)+(W957/45*100*0.20)+((5-O957)/4*100*0.15)+((5-P957)/4*100*0.10)+((6-Y957)/5*100*0.10)+((100-Z957)*0.10))),1)</x:f>
        <x:v>51.1</x:v>
      </x:c>
      <x:c r="AP957" s="37" t="str">
        <x:f>IF(AO957&gt;=70,"High",IF(AO957&gt;=40,"Moderate","Low"))</x:f>
        <x:v>Moderate</x:v>
      </x:c>
      <x:c r="AQ957" s="37" t="n">
        <x:f>ROUND(MAX(0,MIN(100,(O957/4*100*0.25)+(P957/4*100*0.20)+(Q957/4*100*0.15)+(Y957/5*100*0.20)+(100-AO957)*0.20)),1)</x:f>
        <x:v>74.5</x:v>
      </x:c>
      <x:c r="AR957" s="37" t="n">
        <x:f>ROUND((AI957*0.20+AJ957*0.15+AN957*0.18+AG957*0.12+Z957*0.15+AQ957*0.20),1)</x:f>
        <x:v>89.8</x:v>
      </x:c>
      <x:c r="AS957" s="39" t="n">
        <x:f>ROUND((AC957*AF957*120)+(AH957*350)+(MAX(0,AI957-75)*220)+(MAX(0,AQ957-60)*100),0)</x:f>
        <x:v>79988</x:v>
      </x:c>
    </x:row>
    <x:row r="958">
      <x:c r="A958" s="35" t="n">
        <x:v>957</x:v>
      </x:c>
      <x:c r="B958" s="35" t="n">
        <x:v>47</x:v>
      </x:c>
      <x:c r="C958" s="35" t="str">
        <x:v>Female</x:v>
      </x:c>
      <x:c r="D958" s="35" t="str">
        <x:v>Information Technology</x:v>
      </x:c>
      <x:c r="E958" s="35" t="str">
        <x:v>Systems Analyst</x:v>
      </x:c>
      <x:c r="F958" s="35" t="str">
        <x:v>Marketing</x:v>
      </x:c>
      <x:c r="G958" s="35" t="str">
        <x:v>Married</x:v>
      </x:c>
      <x:c r="H958" s="35" t="n">
        <x:v>3</x:v>
      </x:c>
      <x:c r="I958" s="36" t="n">
        <x:v>9440</x:v>
      </x:c>
      <x:c r="J958" s="35" t="n">
        <x:v>23</x:v>
      </x:c>
      <x:c r="K958" s="35" t="n">
        <x:v>13</x:v>
      </x:c>
      <x:c r="L958" s="35" t="n">
        <x:v>7</x:v>
      </x:c>
      <x:c r="M958" s="35" t="n">
        <x:v>4</x:v>
      </x:c>
      <x:c r="N958" s="35" t="str">
        <x:v>No</x:v>
      </x:c>
      <x:c r="O958" s="35" t="n">
        <x:v>2</x:v>
      </x:c>
      <x:c r="P958" s="35" t="n">
        <x:v>3</x:v>
      </x:c>
      <x:c r="Q958" s="35" t="n">
        <x:v>2</x:v>
      </x:c>
      <x:c r="R958" s="35" t="n">
        <x:v>3</x:v>
      </x:c>
      <x:c r="S958" s="35" t="n">
        <x:v>3</x:v>
      </x:c>
      <x:c r="T958" s="35" t="n">
        <x:v>2</x:v>
      </x:c>
      <x:c r="U958" s="35" t="n">
        <x:v>1</x:v>
      </x:c>
      <x:c r="V958" s="35" t="n">
        <x:v>6</x:v>
      </x:c>
      <x:c r="W958" s="35" t="n">
        <x:v>0</x:v>
      </x:c>
      <x:c r="X958" s="35" t="n">
        <x:v>58</x:v>
      </x:c>
      <x:c r="Y958" s="35" t="n">
        <x:v>4</x:v>
      </x:c>
      <x:c r="Z958" s="35" t="n">
        <x:v>100</x:v>
      </x:c>
      <x:c r="AA958" s="35" t="n">
        <x:v>2</x:v>
      </x:c>
      <x:c r="AB958" s="35" t="n">
        <x:v>2</x:v>
      </x:c>
      <x:c r="AC958" s="35" t="n">
        <x:v>1</x:v>
      </x:c>
      <x:c r="AD958" s="35" t="n">
        <x:v>81</x:v>
      </x:c>
      <x:c r="AE958" s="35" t="n">
        <x:v>70</x:v>
      </x:c>
      <x:c r="AF958" s="35" t="n">
        <x:v>74</x:v>
      </x:c>
      <x:c r="AG958" s="35" t="n">
        <x:v>85</x:v>
      </x:c>
      <x:c r="AH958" s="35" t="n">
        <x:v>6</x:v>
      </x:c>
      <x:c r="AI958" s="37" t="n">
        <x:v>100</x:v>
      </x:c>
      <x:c r="AJ958" s="37" t="n">
        <x:v>86.9</x:v>
      </x:c>
      <x:c r="AK958" s="35" t="str">
        <x:v>No</x:v>
      </x:c>
      <x:c r="AL958" s="38" t="n">
        <x:f>IF(AA958=0,0,AB958/AA958)</x:f>
        <x:v>1</x:v>
      </x:c>
      <x:c r="AM958" s="38" t="n">
        <x:f>IF(AB958=0,0,AC958/AB958)</x:f>
        <x:v>0.5</x:v>
      </x:c>
      <x:c r="AN958" s="37" t="n">
        <x:f>ROUND((AD958*0.20+AE958*0.20+AF958*0.25+AG958*0.15+MIN(100,AC958*12)*0.20),1)</x:f>
        <x:v>63.9</x:v>
      </x:c>
      <x:c r="AO958" s="37" t="n">
        <x:f>ROUND(MAX(0,MIN(100,(X958*0.35)+(W958/45*100*0.20)+((5-O958)/4*100*0.15)+((5-P958)/4*100*0.10)+((6-Y958)/5*100*0.10)+((100-Z958)*0.10))),1)</x:f>
        <x:v>40.6</x:v>
      </x:c>
      <x:c r="AP958" s="37" t="str">
        <x:f>IF(AO958&gt;=70,"High",IF(AO958&gt;=40,"Moderate","Low"))</x:f>
        <x:v>Moderate</x:v>
      </x:c>
      <x:c r="AQ958" s="37" t="n">
        <x:f>ROUND(MAX(0,MIN(100,(O958/4*100*0.25)+(P958/4*100*0.20)+(Q958/4*100*0.15)+(Y958/5*100*0.20)+(100-AO958)*0.20)),1)</x:f>
        <x:v>62.9</x:v>
      </x:c>
      <x:c r="AR958" s="37" t="n">
        <x:f>ROUND((AI958*0.20+AJ958*0.15+AN958*0.18+AG958*0.12+Z958*0.15+AQ958*0.20),1)</x:f>
        <x:v>82.3</x:v>
      </x:c>
      <x:c r="AS958" s="39" t="n">
        <x:f>ROUND((AC958*AF958*120)+(AH958*350)+(MAX(0,AI958-75)*220)+(MAX(0,AQ958-60)*100),0)</x:f>
        <x:v>16770</x:v>
      </x:c>
    </x:row>
    <x:row r="959">
      <x:c r="A959" s="35" t="n">
        <x:v>958</x:v>
      </x:c>
      <x:c r="B959" s="35" t="n">
        <x:v>32</x:v>
      </x:c>
      <x:c r="C959" s="35" t="str">
        <x:v>Male</x:v>
      </x:c>
      <x:c r="D959" s="35" t="str">
        <x:v>Human Resources</x:v>
      </x:c>
      <x:c r="E959" s="35" t="str">
        <x:v>Talent Development Specialist</x:v>
      </x:c>
      <x:c r="F959" s="35" t="str">
        <x:v>Technical Degree</x:v>
      </x:c>
      <x:c r="G959" s="35" t="str">
        <x:v>Married</x:v>
      </x:c>
      <x:c r="H959" s="35" t="n">
        <x:v>2</x:v>
      </x:c>
      <x:c r="I959" s="36" t="n">
        <x:v>10070</x:v>
      </x:c>
      <x:c r="J959" s="35" t="n">
        <x:v>5</x:v>
      </x:c>
      <x:c r="K959" s="35" t="n">
        <x:v>2</x:v>
      </x:c>
      <x:c r="L959" s="35" t="n">
        <x:v>1</x:v>
      </x:c>
      <x:c r="M959" s="35" t="n">
        <x:v>12</x:v>
      </x:c>
      <x:c r="N959" s="35" t="str">
        <x:v>No</x:v>
      </x:c>
      <x:c r="O959" s="35" t="n">
        <x:v>4</x:v>
      </x:c>
      <x:c r="P959" s="35" t="n">
        <x:v>3</x:v>
      </x:c>
      <x:c r="Q959" s="35" t="n">
        <x:v>4</x:v>
      </x:c>
      <x:c r="R959" s="35" t="n">
        <x:v>2</x:v>
      </x:c>
      <x:c r="S959" s="35" t="n">
        <x:v>4</x:v>
      </x:c>
      <x:c r="T959" s="35" t="n">
        <x:v>2</x:v>
      </x:c>
      <x:c r="U959" s="35" t="n">
        <x:v>2</x:v>
      </x:c>
      <x:c r="V959" s="35" t="n">
        <x:v>0</x:v>
      </x:c>
      <x:c r="W959" s="35" t="n">
        <x:v>21</x:v>
      </x:c>
      <x:c r="X959" s="35" t="n">
        <x:v>56</x:v>
      </x:c>
      <x:c r="Y959" s="35" t="n">
        <x:v>5</x:v>
      </x:c>
      <x:c r="Z959" s="35" t="n">
        <x:v>100</x:v>
      </x:c>
      <x:c r="AA959" s="35" t="n">
        <x:v>5</x:v>
      </x:c>
      <x:c r="AB959" s="35" t="n">
        <x:v>3</x:v>
      </x:c>
      <x:c r="AC959" s="35" t="n">
        <x:v>3</x:v>
      </x:c>
      <x:c r="AD959" s="35" t="n">
        <x:v>71</x:v>
      </x:c>
      <x:c r="AE959" s="35" t="n">
        <x:v>80</x:v>
      </x:c>
      <x:c r="AF959" s="35" t="n">
        <x:v>98</x:v>
      </x:c>
      <x:c r="AG959" s="35" t="n">
        <x:v>95</x:v>
      </x:c>
      <x:c r="AH959" s="35" t="n">
        <x:v>12</x:v>
      </x:c>
      <x:c r="AI959" s="37" t="n">
        <x:v>100</x:v>
      </x:c>
      <x:c r="AJ959" s="37" t="n">
        <x:v>98.4</x:v>
      </x:c>
      <x:c r="AK959" s="35" t="str">
        <x:v>No</x:v>
      </x:c>
      <x:c r="AL959" s="38" t="n">
        <x:f>IF(AA959=0,0,AB959/AA959)</x:f>
        <x:v>0.6</x:v>
      </x:c>
      <x:c r="AM959" s="38" t="n">
        <x:f>IF(AB959=0,0,AC959/AB959)</x:f>
        <x:v>1</x:v>
      </x:c>
      <x:c r="AN959" s="37" t="n">
        <x:f>ROUND((AD959*0.20+AE959*0.20+AF959*0.25+AG959*0.15+MIN(100,AC959*12)*0.20),1)</x:f>
        <x:v>76.2</x:v>
      </x:c>
      <x:c r="AO959" s="37" t="n">
        <x:f>ROUND(MAX(0,MIN(100,(X959*0.35)+(W959/45*100*0.20)+((5-O959)/4*100*0.15)+((5-P959)/4*100*0.10)+((6-Y959)/5*100*0.10)+((100-Z959)*0.10))),1)</x:f>
        <x:v>39.7</x:v>
      </x:c>
      <x:c r="AP959" s="37" t="str">
        <x:f>IF(AO959&gt;=70,"High",IF(AO959&gt;=40,"Moderate","Low"))</x:f>
        <x:v>Low</x:v>
      </x:c>
      <x:c r="AQ959" s="37" t="n">
        <x:f>ROUND(MAX(0,MIN(100,(O959/4*100*0.25)+(P959/4*100*0.20)+(Q959/4*100*0.15)+(Y959/5*100*0.20)+(100-AO959)*0.20)),1)</x:f>
        <x:v>87.1</x:v>
      </x:c>
      <x:c r="AR959" s="37" t="n">
        <x:f>ROUND((AI959*0.20+AJ959*0.15+AN959*0.18+AG959*0.12+Z959*0.15+AQ959*0.20),1)</x:f>
        <x:v>92.3</x:v>
      </x:c>
      <x:c r="AS959" s="39" t="n">
        <x:f>ROUND((AC959*AF959*120)+(AH959*350)+(MAX(0,AI959-75)*220)+(MAX(0,AQ959-60)*100),0)</x:f>
        <x:v>47690</x:v>
      </x:c>
    </x:row>
    <x:row r="960">
      <x:c r="A960" s="35" t="n">
        <x:v>959</x:v>
      </x:c>
      <x:c r="B960" s="35" t="n">
        <x:v>31</x:v>
      </x:c>
      <x:c r="C960" s="35" t="str">
        <x:v>Female</x:v>
      </x:c>
      <x:c r="D960" s="35" t="str">
        <x:v>Operations</x:v>
      </x:c>
      <x:c r="E960" s="35" t="str">
        <x:v>Operations Manager</x:v>
      </x:c>
      <x:c r="F960" s="35" t="str">
        <x:v>Human Resources</x:v>
      </x:c>
      <x:c r="G960" s="35" t="str">
        <x:v>Divorced</x:v>
      </x:c>
      <x:c r="H960" s="35" t="n">
        <x:v>1</x:v>
      </x:c>
      <x:c r="I960" s="36" t="n">
        <x:v>8500</x:v>
      </x:c>
      <x:c r="J960" s="35" t="n">
        <x:v>7</x:v>
      </x:c>
      <x:c r="K960" s="35" t="n">
        <x:v>5</x:v>
      </x:c>
      <x:c r="L960" s="35" t="n">
        <x:v>3</x:v>
      </x:c>
      <x:c r="M960" s="35" t="n">
        <x:v>2</x:v>
      </x:c>
      <x:c r="N960" s="35" t="str">
        <x:v>No</x:v>
      </x:c>
      <x:c r="O960" s="35" t="n">
        <x:v>3</x:v>
      </x:c>
      <x:c r="P960" s="35" t="n">
        <x:v>3</x:v>
      </x:c>
      <x:c r="Q960" s="35" t="n">
        <x:v>4</x:v>
      </x:c>
      <x:c r="R960" s="35" t="n">
        <x:v>2</x:v>
      </x:c>
      <x:c r="S960" s="35" t="n">
        <x:v>3</x:v>
      </x:c>
      <x:c r="T960" s="35" t="n">
        <x:v>2</x:v>
      </x:c>
      <x:c r="U960" s="35" t="n">
        <x:v>0</x:v>
      </x:c>
      <x:c r="V960" s="35" t="n">
        <x:v>5</x:v>
      </x:c>
      <x:c r="W960" s="35" t="n">
        <x:v>0</x:v>
      </x:c>
      <x:c r="X960" s="35" t="n">
        <x:v>80</x:v>
      </x:c>
      <x:c r="Y960" s="35" t="n">
        <x:v>4</x:v>
      </x:c>
      <x:c r="Z960" s="35" t="n">
        <x:v>89</x:v>
      </x:c>
      <x:c r="AA960" s="35" t="n">
        <x:v>6</x:v>
      </x:c>
      <x:c r="AB960" s="35" t="n">
        <x:v>6</x:v>
      </x:c>
      <x:c r="AC960" s="35" t="n">
        <x:v>4</x:v>
      </x:c>
      <x:c r="AD960" s="35" t="n">
        <x:v>62</x:v>
      </x:c>
      <x:c r="AE960" s="35" t="n">
        <x:v>83</x:v>
      </x:c>
      <x:c r="AF960" s="35" t="n">
        <x:v>76</x:v>
      </x:c>
      <x:c r="AG960" s="35" t="n">
        <x:v>77</x:v>
      </x:c>
      <x:c r="AH960" s="35" t="n">
        <x:v>9</x:v>
      </x:c>
      <x:c r="AI960" s="37" t="n">
        <x:v>100</x:v>
      </x:c>
      <x:c r="AJ960" s="37" t="n">
        <x:v>90.9</x:v>
      </x:c>
      <x:c r="AK960" s="35" t="str">
        <x:v>No</x:v>
      </x:c>
      <x:c r="AL960" s="38" t="n">
        <x:f>IF(AA960=0,0,AB960/AA960)</x:f>
        <x:v>1</x:v>
      </x:c>
      <x:c r="AM960" s="38" t="n">
        <x:f>IF(AB960=0,0,AC960/AB960)</x:f>
        <x:v>0.6666666666666666</x:v>
      </x:c>
      <x:c r="AN960" s="37" t="n">
        <x:f>ROUND((AD960*0.20+AE960*0.20+AF960*0.25+AG960*0.15+MIN(100,AC960*12)*0.20),1)</x:f>
        <x:v>69.2</x:v>
      </x:c>
      <x:c r="AO960" s="37" t="n">
        <x:f>ROUND(MAX(0,MIN(100,(X960*0.35)+(W960/45*100*0.20)+((5-O960)/4*100*0.15)+((5-P960)/4*100*0.10)+((6-Y960)/5*100*0.10)+((100-Z960)*0.10))),1)</x:f>
        <x:v>45.6</x:v>
      </x:c>
      <x:c r="AP960" s="37" t="str">
        <x:f>IF(AO960&gt;=70,"High",IF(AO960&gt;=40,"Moderate","Low"))</x:f>
        <x:v>Moderate</x:v>
      </x:c>
      <x:c r="AQ960" s="37" t="n">
        <x:f>ROUND(MAX(0,MIN(100,(O960/4*100*0.25)+(P960/4*100*0.20)+(Q960/4*100*0.15)+(Y960/5*100*0.20)+(100-AO960)*0.20)),1)</x:f>
        <x:v>75.6</x:v>
      </x:c>
      <x:c r="AR960" s="37" t="n">
        <x:f>ROUND((AI960*0.20+AJ960*0.15+AN960*0.18+AG960*0.12+Z960*0.15+AQ960*0.20),1)</x:f>
        <x:v>83.8</x:v>
      </x:c>
      <x:c r="AS960" s="39" t="n">
        <x:f>ROUND((AC960*AF960*120)+(AH960*350)+(MAX(0,AI960-75)*220)+(MAX(0,AQ960-60)*100),0)</x:f>
        <x:v>46690</x:v>
      </x:c>
    </x:row>
    <x:row r="961">
      <x:c r="A961" s="35" t="n">
        <x:v>960</x:v>
      </x:c>
      <x:c r="B961" s="35" t="n">
        <x:v>27</x:v>
      </x:c>
      <x:c r="C961" s="35" t="str">
        <x:v>Female</x:v>
      </x:c>
      <x:c r="D961" s="35" t="str">
        <x:v>Operations</x:v>
      </x:c>
      <x:c r="E961" s="35" t="str">
        <x:v>Quality Specialist</x:v>
      </x:c>
      <x:c r="F961" s="35" t="str">
        <x:v>Technical Degree</x:v>
      </x:c>
      <x:c r="G961" s="35" t="str">
        <x:v>Single</x:v>
      </x:c>
      <x:c r="H961" s="35" t="n">
        <x:v>1</x:v>
      </x:c>
      <x:c r="I961" s="36" t="n">
        <x:v>4800</x:v>
      </x:c>
      <x:c r="J961" s="35" t="n">
        <x:v>4</x:v>
      </x:c>
      <x:c r="K961" s="35" t="n">
        <x:v>3</x:v>
      </x:c>
      <x:c r="L961" s="35" t="n">
        <x:v>1</x:v>
      </x:c>
      <x:c r="M961" s="35" t="n">
        <x:v>10</x:v>
      </x:c>
      <x:c r="N961" s="35" t="str">
        <x:v>No</x:v>
      </x:c>
      <x:c r="O961" s="35" t="n">
        <x:v>2</x:v>
      </x:c>
      <x:c r="P961" s="35" t="n">
        <x:v>2</x:v>
      </x:c>
      <x:c r="Q961" s="35" t="n">
        <x:v>2</x:v>
      </x:c>
      <x:c r="R961" s="35" t="n">
        <x:v>4</x:v>
      </x:c>
      <x:c r="S961" s="35" t="n">
        <x:v>3</x:v>
      </x:c>
      <x:c r="T961" s="35" t="n">
        <x:v>5</x:v>
      </x:c>
      <x:c r="U961" s="35" t="n">
        <x:v>0</x:v>
      </x:c>
      <x:c r="V961" s="35" t="n">
        <x:v>0</x:v>
      </x:c>
      <x:c r="W961" s="35" t="n">
        <x:v>0</x:v>
      </x:c>
      <x:c r="X961" s="35" t="n">
        <x:v>66</x:v>
      </x:c>
      <x:c r="Y961" s="35" t="n">
        <x:v>4</x:v>
      </x:c>
      <x:c r="Z961" s="35" t="n">
        <x:v>100</x:v>
      </x:c>
      <x:c r="AA961" s="35" t="n">
        <x:v>7</x:v>
      </x:c>
      <x:c r="AB961" s="35" t="n">
        <x:v>5</x:v>
      </x:c>
      <x:c r="AC961" s="35" t="n">
        <x:v>5</x:v>
      </x:c>
      <x:c r="AD961" s="35" t="n">
        <x:v>61</x:v>
      </x:c>
      <x:c r="AE961" s="35" t="n">
        <x:v>61</x:v>
      </x:c>
      <x:c r="AF961" s="35" t="n">
        <x:v>81</x:v>
      </x:c>
      <x:c r="AG961" s="35" t="n">
        <x:v>100</x:v>
      </x:c>
      <x:c r="AH961" s="35" t="n">
        <x:v>7</x:v>
      </x:c>
      <x:c r="AI961" s="37" t="n">
        <x:v>96.7</x:v>
      </x:c>
      <x:c r="AJ961" s="37" t="n">
        <x:v>89.4</x:v>
      </x:c>
      <x:c r="AK961" s="35" t="str">
        <x:v>No</x:v>
      </x:c>
      <x:c r="AL961" s="38" t="n">
        <x:f>IF(AA961=0,0,AB961/AA961)</x:f>
        <x:v>0.7142857142857143</x:v>
      </x:c>
      <x:c r="AM961" s="38" t="n">
        <x:f>IF(AB961=0,0,AC961/AB961)</x:f>
        <x:v>1</x:v>
      </x:c>
      <x:c r="AN961" s="37" t="n">
        <x:f>ROUND((AD961*0.20+AE961*0.20+AF961*0.25+AG961*0.15+MIN(100,AC961*12)*0.20),1)</x:f>
        <x:v>71.7</x:v>
      </x:c>
      <x:c r="AO961" s="37" t="n">
        <x:f>ROUND(MAX(0,MIN(100,(X961*0.35)+(W961/45*100*0.20)+((5-O961)/4*100*0.15)+((5-P961)/4*100*0.10)+((6-Y961)/5*100*0.10)+((100-Z961)*0.10))),1)</x:f>
        <x:v>45.8</x:v>
      </x:c>
      <x:c r="AP961" s="37" t="str">
        <x:f>IF(AO961&gt;=70,"High",IF(AO961&gt;=40,"Moderate","Low"))</x:f>
        <x:v>Moderate</x:v>
      </x:c>
      <x:c r="AQ961" s="37" t="n">
        <x:f>ROUND(MAX(0,MIN(100,(O961/4*100*0.25)+(P961/4*100*0.20)+(Q961/4*100*0.15)+(Y961/5*100*0.20)+(100-AO961)*0.20)),1)</x:f>
        <x:v>56.8</x:v>
      </x:c>
      <x:c r="AR961" s="37" t="n">
        <x:f>ROUND((AI961*0.20+AJ961*0.15+AN961*0.18+AG961*0.12+Z961*0.15+AQ961*0.20),1)</x:f>
        <x:v>84</x:v>
      </x:c>
      <x:c r="AS961" s="39" t="n">
        <x:f>ROUND((AC961*AF961*120)+(AH961*350)+(MAX(0,AI961-75)*220)+(MAX(0,AQ961-60)*100),0)</x:f>
        <x:v>55824</x:v>
      </x:c>
    </x:row>
    <x:row r="962">
      <x:c r="A962" s="35" t="n">
        <x:v>961</x:v>
      </x:c>
      <x:c r="B962" s="35" t="n">
        <x:v>34</x:v>
      </x:c>
      <x:c r="C962" s="35" t="str">
        <x:v>Male</x:v>
      </x:c>
      <x:c r="D962" s="35" t="str">
        <x:v>Sales</x:v>
      </x:c>
      <x:c r="E962" s="35" t="str">
        <x:v>Account Manager</x:v>
      </x:c>
      <x:c r="F962" s="35" t="str">
        <x:v>Marketing</x:v>
      </x:c>
      <x:c r="G962" s="35" t="str">
        <x:v>Married</x:v>
      </x:c>
      <x:c r="H962" s="35" t="n">
        <x:v>2</x:v>
      </x:c>
      <x:c r="I962" s="36" t="n">
        <x:v>9180</x:v>
      </x:c>
      <x:c r="J962" s="35" t="n">
        <x:v>11</x:v>
      </x:c>
      <x:c r="K962" s="35" t="n">
        <x:v>8</x:v>
      </x:c>
      <x:c r="L962" s="35" t="n">
        <x:v>2</x:v>
      </x:c>
      <x:c r="M962" s="35" t="n">
        <x:v>17</x:v>
      </x:c>
      <x:c r="N962" s="35" t="str">
        <x:v>No</x:v>
      </x:c>
      <x:c r="O962" s="35" t="n">
        <x:v>3</x:v>
      </x:c>
      <x:c r="P962" s="35" t="n">
        <x:v>2</x:v>
      </x:c>
      <x:c r="Q962" s="35" t="n">
        <x:v>2</x:v>
      </x:c>
      <x:c r="R962" s="35" t="n">
        <x:v>2</x:v>
      </x:c>
      <x:c r="S962" s="35" t="n">
        <x:v>3</x:v>
      </x:c>
      <x:c r="T962" s="35" t="n">
        <x:v>0</x:v>
      </x:c>
      <x:c r="U962" s="35" t="n">
        <x:v>1</x:v>
      </x:c>
      <x:c r="V962" s="35" t="n">
        <x:v>7</x:v>
      </x:c>
      <x:c r="W962" s="35" t="n">
        <x:v>12</x:v>
      </x:c>
      <x:c r="X962" s="35" t="n">
        <x:v>58</x:v>
      </x:c>
      <x:c r="Y962" s="35" t="n">
        <x:v>5</x:v>
      </x:c>
      <x:c r="Z962" s="35" t="n">
        <x:v>89</x:v>
      </x:c>
      <x:c r="AA962" s="35" t="n">
        <x:v>1</x:v>
      </x:c>
      <x:c r="AB962" s="35" t="n">
        <x:v>0</x:v>
      </x:c>
      <x:c r="AC962" s="35" t="n">
        <x:v>0</x:v>
      </x:c>
      <x:c r="AD962" s="35" t="n">
        <x:v>60</x:v>
      </x:c>
      <x:c r="AE962" s="35" t="n">
        <x:v>61</x:v>
      </x:c>
      <x:c r="AF962" s="35" t="n">
        <x:v>68</x:v>
      </x:c>
      <x:c r="AG962" s="35" t="n">
        <x:v>80</x:v>
      </x:c>
      <x:c r="AH962" s="35" t="n">
        <x:v>6</x:v>
      </x:c>
      <x:c r="AI962" s="37" t="n">
        <x:v>98.4</x:v>
      </x:c>
      <x:c r="AJ962" s="37" t="n">
        <x:v>100</x:v>
      </x:c>
      <x:c r="AK962" s="35" t="str">
        <x:v>No</x:v>
      </x:c>
      <x:c r="AL962" s="38" t="n">
        <x:f>IF(AA962=0,0,AB962/AA962)</x:f>
        <x:v>0</x:v>
      </x:c>
      <x:c r="AM962" s="38" t="n">
        <x:f>IF(AB962=0,0,AC962/AB962)</x:f>
        <x:v>0</x:v>
      </x:c>
      <x:c r="AN962" s="37" t="n">
        <x:f>ROUND((AD962*0.20+AE962*0.20+AF962*0.25+AG962*0.15+MIN(100,AC962*12)*0.20),1)</x:f>
        <x:v>53.2</x:v>
      </x:c>
      <x:c r="AO962" s="37" t="n">
        <x:f>ROUND(MAX(0,MIN(100,(X962*0.35)+(W962/45*100*0.20)+((5-O962)/4*100*0.15)+((5-P962)/4*100*0.10)+((6-Y962)/5*100*0.10)+((100-Z962)*0.10))),1)</x:f>
        <x:v>43.7</x:v>
      </x:c>
      <x:c r="AP962" s="37" t="str">
        <x:f>IF(AO962&gt;=70,"High",IF(AO962&gt;=40,"Moderate","Low"))</x:f>
        <x:v>Moderate</x:v>
      </x:c>
      <x:c r="AQ962" s="37" t="n">
        <x:f>ROUND(MAX(0,MIN(100,(O962/4*100*0.25)+(P962/4*100*0.20)+(Q962/4*100*0.15)+(Y962/5*100*0.20)+(100-AO962)*0.20)),1)</x:f>
        <x:v>67.5</x:v>
      </x:c>
      <x:c r="AR962" s="37" t="n">
        <x:f>ROUND((AI962*0.20+AJ962*0.15+AN962*0.18+AG962*0.12+Z962*0.15+AQ962*0.20),1)</x:f>
        <x:v>80.7</x:v>
      </x:c>
      <x:c r="AS962" s="39" t="n">
        <x:f>ROUND((AC962*AF962*120)+(AH962*350)+(MAX(0,AI962-75)*220)+(MAX(0,AQ962-60)*100),0)</x:f>
        <x:v>7998</x:v>
      </x:c>
    </x:row>
    <x:row r="963">
      <x:c r="A963" s="35" t="n">
        <x:v>962</x:v>
      </x:c>
      <x:c r="B963" s="35" t="n">
        <x:v>27</x:v>
      </x:c>
      <x:c r="C963" s="35" t="str">
        <x:v>Male</x:v>
      </x:c>
      <x:c r="D963" s="35" t="str">
        <x:v>Human Resources</x:v>
      </x:c>
      <x:c r="E963" s="35" t="str">
        <x:v>HR Manager</x:v>
      </x:c>
      <x:c r="F963" s="35" t="str">
        <x:v>Life Sciences</x:v>
      </x:c>
      <x:c r="G963" s="35" t="str">
        <x:v>Single</x:v>
      </x:c>
      <x:c r="H963" s="35" t="n">
        <x:v>2</x:v>
      </x:c>
      <x:c r="I963" s="36" t="n">
        <x:v>10040</x:v>
      </x:c>
      <x:c r="J963" s="35" t="n">
        <x:v>3</x:v>
      </x:c>
      <x:c r="K963" s="35" t="n">
        <x:v>2</x:v>
      </x:c>
      <x:c r="L963" s="35" t="n">
        <x:v>1</x:v>
      </x:c>
      <x:c r="M963" s="35" t="n">
        <x:v>9</x:v>
      </x:c>
      <x:c r="N963" s="35" t="str">
        <x:v>No</x:v>
      </x:c>
      <x:c r="O963" s="35" t="n">
        <x:v>3</x:v>
      </x:c>
      <x:c r="P963" s="35" t="n">
        <x:v>1</x:v>
      </x:c>
      <x:c r="Q963" s="35" t="n">
        <x:v>3</x:v>
      </x:c>
      <x:c r="R963" s="35" t="n">
        <x:v>3</x:v>
      </x:c>
      <x:c r="S963" s="35" t="n">
        <x:v>3</x:v>
      </x:c>
      <x:c r="T963" s="35" t="n">
        <x:v>6</x:v>
      </x:c>
      <x:c r="U963" s="35" t="n">
        <x:v>1</x:v>
      </x:c>
      <x:c r="V963" s="35" t="n">
        <x:v>0</x:v>
      </x:c>
      <x:c r="W963" s="35" t="n">
        <x:v>6</x:v>
      </x:c>
      <x:c r="X963" s="35" t="n">
        <x:v>76</x:v>
      </x:c>
      <x:c r="Y963" s="35" t="n">
        <x:v>4</x:v>
      </x:c>
      <x:c r="Z963" s="35" t="n">
        <x:v>80</x:v>
      </x:c>
      <x:c r="AA963" s="35" t="n">
        <x:v>3</x:v>
      </x:c>
      <x:c r="AB963" s="35" t="n">
        <x:v>2</x:v>
      </x:c>
      <x:c r="AC963" s="35" t="n">
        <x:v>1</x:v>
      </x:c>
      <x:c r="AD963" s="35" t="n">
        <x:v>54</x:v>
      </x:c>
      <x:c r="AE963" s="35" t="n">
        <x:v>66</x:v>
      </x:c>
      <x:c r="AF963" s="35" t="n">
        <x:v>66</x:v>
      </x:c>
      <x:c r="AG963" s="35" t="n">
        <x:v>90</x:v>
      </x:c>
      <x:c r="AH963" s="35" t="n">
        <x:v>8</x:v>
      </x:c>
      <x:c r="AI963" s="37" t="n">
        <x:v>93.5</x:v>
      </x:c>
      <x:c r="AJ963" s="37" t="n">
        <x:v>95.9</x:v>
      </x:c>
      <x:c r="AK963" s="35" t="str">
        <x:v>No</x:v>
      </x:c>
      <x:c r="AL963" s="38" t="n">
        <x:f>IF(AA963=0,0,AB963/AA963)</x:f>
        <x:v>0.6666666666666666</x:v>
      </x:c>
      <x:c r="AM963" s="38" t="n">
        <x:f>IF(AB963=0,0,AC963/AB963)</x:f>
        <x:v>0.5</x:v>
      </x:c>
      <x:c r="AN963" s="37" t="n">
        <x:f>ROUND((AD963*0.20+AE963*0.20+AF963*0.25+AG963*0.15+MIN(100,AC963*12)*0.20),1)</x:f>
        <x:v>56.4</x:v>
      </x:c>
      <x:c r="AO963" s="37" t="n">
        <x:f>ROUND(MAX(0,MIN(100,(X963*0.35)+(W963/45*100*0.20)+((5-O963)/4*100*0.15)+((5-P963)/4*100*0.10)+((6-Y963)/5*100*0.10)+((100-Z963)*0.10))),1)</x:f>
        <x:v>52.8</x:v>
      </x:c>
      <x:c r="AP963" s="37" t="str">
        <x:f>IF(AO963&gt;=70,"High",IF(AO963&gt;=40,"Moderate","Low"))</x:f>
        <x:v>Moderate</x:v>
      </x:c>
      <x:c r="AQ963" s="37" t="n">
        <x:f>ROUND(MAX(0,MIN(100,(O963/4*100*0.25)+(P963/4*100*0.20)+(Q963/4*100*0.15)+(Y963/5*100*0.20)+(100-AO963)*0.20)),1)</x:f>
        <x:v>60.4</x:v>
      </x:c>
      <x:c r="AR963" s="37" t="n">
        <x:f>ROUND((AI963*0.20+AJ963*0.15+AN963*0.18+AG963*0.12+Z963*0.15+AQ963*0.20),1)</x:f>
        <x:v>78.1</x:v>
      </x:c>
      <x:c r="AS963" s="39" t="n">
        <x:f>ROUND((AC963*AF963*120)+(AH963*350)+(MAX(0,AI963-75)*220)+(MAX(0,AQ963-60)*100),0)</x:f>
        <x:v>14830</x:v>
      </x:c>
    </x:row>
    <x:row r="964">
      <x:c r="A964" s="35" t="n">
        <x:v>963</x:v>
      </x:c>
      <x:c r="B964" s="35" t="n">
        <x:v>31</x:v>
      </x:c>
      <x:c r="C964" s="35" t="str">
        <x:v>Female</x:v>
      </x:c>
      <x:c r="D964" s="35" t="str">
        <x:v>Research &amp; Development</x:v>
      </x:c>
      <x:c r="E964" s="35" t="str">
        <x:v>R&amp;D Manager</x:v>
      </x:c>
      <x:c r="F964" s="35" t="str">
        <x:v>Life Sciences</x:v>
      </x:c>
      <x:c r="G964" s="35" t="str">
        <x:v>Married</x:v>
      </x:c>
      <x:c r="H964" s="35" t="n">
        <x:v>1</x:v>
      </x:c>
      <x:c r="I964" s="36" t="n">
        <x:v>4310</x:v>
      </x:c>
      <x:c r="J964" s="35" t="n">
        <x:v>5</x:v>
      </x:c>
      <x:c r="K964" s="35" t="n">
        <x:v>2</x:v>
      </x:c>
      <x:c r="L964" s="35" t="n">
        <x:v>1</x:v>
      </x:c>
      <x:c r="M964" s="35" t="n">
        <x:v>11</x:v>
      </x:c>
      <x:c r="N964" s="35" t="str">
        <x:v>Yes</x:v>
      </x:c>
      <x:c r="O964" s="35" t="n">
        <x:v>4</x:v>
      </x:c>
      <x:c r="P964" s="35" t="n">
        <x:v>3</x:v>
      </x:c>
      <x:c r="Q964" s="35" t="n">
        <x:v>3</x:v>
      </x:c>
      <x:c r="R964" s="35" t="n">
        <x:v>3</x:v>
      </x:c>
      <x:c r="S964" s="35" t="n">
        <x:v>3</x:v>
      </x:c>
      <x:c r="T964" s="35" t="n">
        <x:v>2</x:v>
      </x:c>
      <x:c r="U964" s="35" t="n">
        <x:v>1</x:v>
      </x:c>
      <x:c r="V964" s="35" t="n">
        <x:v>6</x:v>
      </x:c>
      <x:c r="W964" s="35" t="n">
        <x:v>26</x:v>
      </x:c>
      <x:c r="X964" s="35" t="n">
        <x:v>68</x:v>
      </x:c>
      <x:c r="Y964" s="35" t="n">
        <x:v>4</x:v>
      </x:c>
      <x:c r="Z964" s="35" t="n">
        <x:v>100</x:v>
      </x:c>
      <x:c r="AA964" s="35" t="n">
        <x:v>4</x:v>
      </x:c>
      <x:c r="AB964" s="35" t="n">
        <x:v>4</x:v>
      </x:c>
      <x:c r="AC964" s="35" t="n">
        <x:v>2</x:v>
      </x:c>
      <x:c r="AD964" s="35" t="n">
        <x:v>76</x:v>
      </x:c>
      <x:c r="AE964" s="35" t="n">
        <x:v>85</x:v>
      </x:c>
      <x:c r="AF964" s="35" t="n">
        <x:v>75</x:v>
      </x:c>
      <x:c r="AG964" s="35" t="n">
        <x:v>98</x:v>
      </x:c>
      <x:c r="AH964" s="35" t="n">
        <x:v>6</x:v>
      </x:c>
      <x:c r="AI964" s="37" t="n">
        <x:v>92.2</x:v>
      </x:c>
      <x:c r="AJ964" s="37" t="n">
        <x:v>83.7</x:v>
      </x:c>
      <x:c r="AK964" s="35" t="str">
        <x:v>Yes</x:v>
      </x:c>
      <x:c r="AL964" s="38" t="n">
        <x:f>IF(AA964=0,0,AB964/AA964)</x:f>
        <x:v>1</x:v>
      </x:c>
      <x:c r="AM964" s="38" t="n">
        <x:f>IF(AB964=0,0,AC964/AB964)</x:f>
        <x:v>0.5</x:v>
      </x:c>
      <x:c r="AN964" s="37" t="n">
        <x:f>ROUND((AD964*0.20+AE964*0.20+AF964*0.25+AG964*0.15+MIN(100,AC964*12)*0.20),1)</x:f>
        <x:v>70.5</x:v>
      </x:c>
      <x:c r="AO964" s="37" t="n">
        <x:f>ROUND(MAX(0,MIN(100,(X964*0.35)+(W964/45*100*0.20)+((5-O964)/4*100*0.15)+((5-P964)/4*100*0.10)+((6-Y964)/5*100*0.10)+((100-Z964)*0.10))),1)</x:f>
        <x:v>48.1</x:v>
      </x:c>
      <x:c r="AP964" s="37" t="str">
        <x:f>IF(AO964&gt;=70,"High",IF(AO964&gt;=40,"Moderate","Low"))</x:f>
        <x:v>Moderate</x:v>
      </x:c>
      <x:c r="AQ964" s="37" t="n">
        <x:f>ROUND(MAX(0,MIN(100,(O964/4*100*0.25)+(P964/4*100*0.20)+(Q964/4*100*0.15)+(Y964/5*100*0.20)+(100-AO964)*0.20)),1)</x:f>
        <x:v>77.6</x:v>
      </x:c>
      <x:c r="AR964" s="37" t="n">
        <x:f>ROUND((AI964*0.20+AJ964*0.15+AN964*0.18+AG964*0.12+Z964*0.15+AQ964*0.20),1)</x:f>
        <x:v>86</x:v>
      </x:c>
      <x:c r="AS964" s="39" t="n">
        <x:f>ROUND((AC964*AF964*120)+(AH964*350)+(MAX(0,AI964-75)*220)+(MAX(0,AQ964-60)*100),0)</x:f>
        <x:v>25644</x:v>
      </x:c>
    </x:row>
    <x:row r="965">
      <x:c r="A965" s="35" t="n">
        <x:v>964</x:v>
      </x:c>
      <x:c r="B965" s="35" t="n">
        <x:v>37</x:v>
      </x:c>
      <x:c r="C965" s="35" t="str">
        <x:v>Male</x:v>
      </x:c>
      <x:c r="D965" s="35" t="str">
        <x:v>Research &amp; Development</x:v>
      </x:c>
      <x:c r="E965" s="35" t="str">
        <x:v>Data Scientist</x:v>
      </x:c>
      <x:c r="F965" s="35" t="str">
        <x:v>Technical Degree</x:v>
      </x:c>
      <x:c r="G965" s="35" t="str">
        <x:v>Married</x:v>
      </x:c>
      <x:c r="H965" s="35" t="n">
        <x:v>2</x:v>
      </x:c>
      <x:c r="I965" s="36" t="n">
        <x:v>9120</x:v>
      </x:c>
      <x:c r="J965" s="35" t="n">
        <x:v>14</x:v>
      </x:c>
      <x:c r="K965" s="35" t="n">
        <x:v>8</x:v>
      </x:c>
      <x:c r="L965" s="35" t="n">
        <x:v>2</x:v>
      </x:c>
      <x:c r="M965" s="35" t="n">
        <x:v>11</x:v>
      </x:c>
      <x:c r="N965" s="35" t="str">
        <x:v>No</x:v>
      </x:c>
      <x:c r="O965" s="35" t="n">
        <x:v>3</x:v>
      </x:c>
      <x:c r="P965" s="35" t="n">
        <x:v>3</x:v>
      </x:c>
      <x:c r="Q965" s="35" t="n">
        <x:v>2</x:v>
      </x:c>
      <x:c r="R965" s="35" t="n">
        <x:v>2</x:v>
      </x:c>
      <x:c r="S965" s="35" t="n">
        <x:v>3</x:v>
      </x:c>
      <x:c r="T965" s="35" t="n">
        <x:v>5</x:v>
      </x:c>
      <x:c r="U965" s="35" t="n">
        <x:v>1</x:v>
      </x:c>
      <x:c r="V965" s="35" t="n">
        <x:v>5</x:v>
      </x:c>
      <x:c r="W965" s="35" t="n">
        <x:v>7</x:v>
      </x:c>
      <x:c r="X965" s="35" t="n">
        <x:v>73</x:v>
      </x:c>
      <x:c r="Y965" s="35" t="n">
        <x:v>4</x:v>
      </x:c>
      <x:c r="Z965" s="35" t="n">
        <x:v>90</x:v>
      </x:c>
      <x:c r="AA965" s="35" t="n">
        <x:v>1</x:v>
      </x:c>
      <x:c r="AB965" s="35" t="n">
        <x:v>1</x:v>
      </x:c>
      <x:c r="AC965" s="35" t="n">
        <x:v>0</x:v>
      </x:c>
      <x:c r="AD965" s="35" t="n">
        <x:v>74</x:v>
      </x:c>
      <x:c r="AE965" s="35" t="n">
        <x:v>74</x:v>
      </x:c>
      <x:c r="AF965" s="35" t="n">
        <x:v>84</x:v>
      </x:c>
      <x:c r="AG965" s="35" t="n">
        <x:v>81</x:v>
      </x:c>
      <x:c r="AH965" s="35" t="n">
        <x:v>4</x:v>
      </x:c>
      <x:c r="AI965" s="37" t="n">
        <x:v>97</x:v>
      </x:c>
      <x:c r="AJ965" s="37" t="n">
        <x:v>89.4</x:v>
      </x:c>
      <x:c r="AK965" s="35" t="str">
        <x:v>No</x:v>
      </x:c>
      <x:c r="AL965" s="38" t="n">
        <x:f>IF(AA965=0,0,AB965/AA965)</x:f>
        <x:v>1</x:v>
      </x:c>
      <x:c r="AM965" s="38" t="n">
        <x:f>IF(AB965=0,0,AC965/AB965)</x:f>
        <x:v>0</x:v>
      </x:c>
      <x:c r="AN965" s="37" t="n">
        <x:f>ROUND((AD965*0.20+AE965*0.20+AF965*0.25+AG965*0.15+MIN(100,AC965*12)*0.20),1)</x:f>
        <x:v>62.8</x:v>
      </x:c>
      <x:c r="AO965" s="37" t="n">
        <x:f>ROUND(MAX(0,MIN(100,(X965*0.35)+(W965/45*100*0.20)+((5-O965)/4*100*0.15)+((5-P965)/4*100*0.10)+((6-Y965)/5*100*0.10)+((100-Z965)*0.10))),1)</x:f>
        <x:v>46.2</x:v>
      </x:c>
      <x:c r="AP965" s="37" t="str">
        <x:f>IF(AO965&gt;=70,"High",IF(AO965&gt;=40,"Moderate","Low"))</x:f>
        <x:v>Moderate</x:v>
      </x:c>
      <x:c r="AQ965" s="37" t="n">
        <x:f>ROUND(MAX(0,MIN(100,(O965/4*100*0.25)+(P965/4*100*0.20)+(Q965/4*100*0.15)+(Y965/5*100*0.20)+(100-AO965)*0.20)),1)</x:f>
        <x:v>68</x:v>
      </x:c>
      <x:c r="AR965" s="37" t="n">
        <x:f>ROUND((AI965*0.20+AJ965*0.15+AN965*0.18+AG965*0.12+Z965*0.15+AQ965*0.20),1)</x:f>
        <x:v>80.9</x:v>
      </x:c>
      <x:c r="AS965" s="39" t="n">
        <x:f>ROUND((AC965*AF965*120)+(AH965*350)+(MAX(0,AI965-75)*220)+(MAX(0,AQ965-60)*100),0)</x:f>
        <x:v>7040</x:v>
      </x:c>
    </x:row>
    <x:row r="966">
      <x:c r="A966" s="35" t="n">
        <x:v>965</x:v>
      </x:c>
      <x:c r="B966" s="35" t="n">
        <x:v>28</x:v>
      </x:c>
      <x:c r="C966" s="35" t="str">
        <x:v>Male</x:v>
      </x:c>
      <x:c r="D966" s="35" t="str">
        <x:v>Research &amp; Development</x:v>
      </x:c>
      <x:c r="E966" s="35" t="str">
        <x:v>Data Scientist</x:v>
      </x:c>
      <x:c r="F966" s="35" t="str">
        <x:v>Marketing</x:v>
      </x:c>
      <x:c r="G966" s="35" t="str">
        <x:v>Single</x:v>
      </x:c>
      <x:c r="H966" s="35" t="n">
        <x:v>1</x:v>
      </x:c>
      <x:c r="I966" s="36" t="n">
        <x:v>6430</x:v>
      </x:c>
      <x:c r="J966" s="35" t="n">
        <x:v>5</x:v>
      </x:c>
      <x:c r="K966" s="35" t="n">
        <x:v>2</x:v>
      </x:c>
      <x:c r="L966" s="35" t="n">
        <x:v>1</x:v>
      </x:c>
      <x:c r="M966" s="35" t="n">
        <x:v>3</x:v>
      </x:c>
      <x:c r="N966" s="35" t="str">
        <x:v>No</x:v>
      </x:c>
      <x:c r="O966" s="35" t="n">
        <x:v>4</x:v>
      </x:c>
      <x:c r="P966" s="35" t="n">
        <x:v>3</x:v>
      </x:c>
      <x:c r="Q966" s="35" t="n">
        <x:v>3</x:v>
      </x:c>
      <x:c r="R966" s="35" t="n">
        <x:v>3</x:v>
      </x:c>
      <x:c r="S966" s="35" t="n">
        <x:v>3</x:v>
      </x:c>
      <x:c r="T966" s="35" t="n">
        <x:v>3</x:v>
      </x:c>
      <x:c r="U966" s="35" t="n">
        <x:v>0</x:v>
      </x:c>
      <x:c r="V966" s="35" t="n">
        <x:v>5</x:v>
      </x:c>
      <x:c r="W966" s="35" t="n">
        <x:v>0</x:v>
      </x:c>
      <x:c r="X966" s="35" t="n">
        <x:v>80</x:v>
      </x:c>
      <x:c r="Y966" s="35" t="n">
        <x:v>5</x:v>
      </x:c>
      <x:c r="Z966" s="35" t="n">
        <x:v>100</x:v>
      </x:c>
      <x:c r="AA966" s="35" t="n">
        <x:v>11</x:v>
      </x:c>
      <x:c r="AB966" s="35" t="n">
        <x:v>9</x:v>
      </x:c>
      <x:c r="AC966" s="35" t="n">
        <x:v>6</x:v>
      </x:c>
      <x:c r="AD966" s="35" t="n">
        <x:v>96</x:v>
      </x:c>
      <x:c r="AE966" s="35" t="n">
        <x:v>87</x:v>
      </x:c>
      <x:c r="AF966" s="35" t="n">
        <x:v>98</x:v>
      </x:c>
      <x:c r="AG966" s="35" t="n">
        <x:v>94</x:v>
      </x:c>
      <x:c r="AH966" s="35" t="n">
        <x:v>8</x:v>
      </x:c>
      <x:c r="AI966" s="37" t="n">
        <x:v>94.3</x:v>
      </x:c>
      <x:c r="AJ966" s="37" t="n">
        <x:v>93.3</x:v>
      </x:c>
      <x:c r="AK966" s="35" t="str">
        <x:v>No</x:v>
      </x:c>
      <x:c r="AL966" s="38" t="n">
        <x:f>IF(AA966=0,0,AB966/AA966)</x:f>
        <x:v>0.8181818181818182</x:v>
      </x:c>
      <x:c r="AM966" s="38" t="n">
        <x:f>IF(AB966=0,0,AC966/AB966)</x:f>
        <x:v>0.6666666666666666</x:v>
      </x:c>
      <x:c r="AN966" s="37" t="n">
        <x:f>ROUND((AD966*0.20+AE966*0.20+AF966*0.25+AG966*0.15+MIN(100,AC966*12)*0.20),1)</x:f>
        <x:v>89.6</x:v>
      </x:c>
      <x:c r="AO966" s="37" t="n">
        <x:f>ROUND(MAX(0,MIN(100,(X966*0.35)+(W966/45*100*0.20)+((5-O966)/4*100*0.15)+((5-P966)/4*100*0.10)+((6-Y966)/5*100*0.10)+((100-Z966)*0.10))),1)</x:f>
        <x:v>38.8</x:v>
      </x:c>
      <x:c r="AP966" s="37" t="str">
        <x:f>IF(AO966&gt;=70,"High",IF(AO966&gt;=40,"Moderate","Low"))</x:f>
        <x:v>Low</x:v>
      </x:c>
      <x:c r="AQ966" s="37" t="n">
        <x:f>ROUND(MAX(0,MIN(100,(O966/4*100*0.25)+(P966/4*100*0.20)+(Q966/4*100*0.15)+(Y966/5*100*0.20)+(100-AO966)*0.20)),1)</x:f>
        <x:v>83.5</x:v>
      </x:c>
      <x:c r="AR966" s="37" t="n">
        <x:f>ROUND((AI966*0.20+AJ966*0.15+AN966*0.18+AG966*0.12+Z966*0.15+AQ966*0.20),1)</x:f>
        <x:v>92</x:v>
      </x:c>
      <x:c r="AS966" s="39" t="n">
        <x:f>ROUND((AC966*AF966*120)+(AH966*350)+(MAX(0,AI966-75)*220)+(MAX(0,AQ966-60)*100),0)</x:f>
        <x:v>79956</x:v>
      </x:c>
    </x:row>
    <x:row r="967">
      <x:c r="A967" s="35" t="n">
        <x:v>966</x:v>
      </x:c>
      <x:c r="B967" s="35" t="n">
        <x:v>52</x:v>
      </x:c>
      <x:c r="C967" s="35" t="str">
        <x:v>Male</x:v>
      </x:c>
      <x:c r="D967" s="35" t="str">
        <x:v>Operations</x:v>
      </x:c>
      <x:c r="E967" s="35" t="str">
        <x:v>Quality Specialist</x:v>
      </x:c>
      <x:c r="F967" s="35" t="str">
        <x:v>Marketing</x:v>
      </x:c>
      <x:c r="G967" s="35" t="str">
        <x:v>Married</x:v>
      </x:c>
      <x:c r="H967" s="35" t="n">
        <x:v>4</x:v>
      </x:c>
      <x:c r="I967" s="36" t="n">
        <x:v>14710</x:v>
      </x:c>
      <x:c r="J967" s="35" t="n">
        <x:v>15</x:v>
      </x:c>
      <x:c r="K967" s="35" t="n">
        <x:v>11</x:v>
      </x:c>
      <x:c r="L967" s="35" t="n">
        <x:v>8</x:v>
      </x:c>
      <x:c r="M967" s="35" t="n">
        <x:v>11</x:v>
      </x:c>
      <x:c r="N967" s="35" t="str">
        <x:v>No</x:v>
      </x:c>
      <x:c r="O967" s="35" t="n">
        <x:v>2</x:v>
      </x:c>
      <x:c r="P967" s="35" t="n">
        <x:v>2</x:v>
      </x:c>
      <x:c r="Q967" s="35" t="n">
        <x:v>3</x:v>
      </x:c>
      <x:c r="R967" s="35" t="n">
        <x:v>4</x:v>
      </x:c>
      <x:c r="S967" s="35" t="n">
        <x:v>3</x:v>
      </x:c>
      <x:c r="T967" s="35" t="n">
        <x:v>2</x:v>
      </x:c>
      <x:c r="U967" s="35" t="n">
        <x:v>1</x:v>
      </x:c>
      <x:c r="V967" s="35" t="n">
        <x:v>9</x:v>
      </x:c>
      <x:c r="W967" s="35" t="n">
        <x:v>0</x:v>
      </x:c>
      <x:c r="X967" s="35" t="n">
        <x:v>49</x:v>
      </x:c>
      <x:c r="Y967" s="35" t="n">
        <x:v>4</x:v>
      </x:c>
      <x:c r="Z967" s="35" t="n">
        <x:v>100</x:v>
      </x:c>
      <x:c r="AA967" s="35" t="n">
        <x:v>5</x:v>
      </x:c>
      <x:c r="AB967" s="35" t="n">
        <x:v>3</x:v>
      </x:c>
      <x:c r="AC967" s="35" t="n">
        <x:v>2</x:v>
      </x:c>
      <x:c r="AD967" s="35" t="n">
        <x:v>66</x:v>
      </x:c>
      <x:c r="AE967" s="35" t="n">
        <x:v>80</x:v>
      </x:c>
      <x:c r="AF967" s="35" t="n">
        <x:v>77</x:v>
      </x:c>
      <x:c r="AG967" s="35" t="n">
        <x:v>100</x:v>
      </x:c>
      <x:c r="AH967" s="35" t="n">
        <x:v>8</x:v>
      </x:c>
      <x:c r="AI967" s="37" t="n">
        <x:v>99.6</x:v>
      </x:c>
      <x:c r="AJ967" s="37" t="n">
        <x:v>94.4</x:v>
      </x:c>
      <x:c r="AK967" s="35" t="str">
        <x:v>Yes</x:v>
      </x:c>
      <x:c r="AL967" s="38" t="n">
        <x:f>IF(AA967=0,0,AB967/AA967)</x:f>
        <x:v>0.6</x:v>
      </x:c>
      <x:c r="AM967" s="38" t="n">
        <x:f>IF(AB967=0,0,AC967/AB967)</x:f>
        <x:v>0.6666666666666666</x:v>
      </x:c>
      <x:c r="AN967" s="37" t="n">
        <x:f>ROUND((AD967*0.20+AE967*0.20+AF967*0.25+AG967*0.15+MIN(100,AC967*12)*0.20),1)</x:f>
        <x:v>68.3</x:v>
      </x:c>
      <x:c r="AO967" s="37" t="n">
        <x:f>ROUND(MAX(0,MIN(100,(X967*0.35)+(W967/45*100*0.20)+((5-O967)/4*100*0.15)+((5-P967)/4*100*0.10)+((6-Y967)/5*100*0.10)+((100-Z967)*0.10))),1)</x:f>
        <x:v>39.9</x:v>
      </x:c>
      <x:c r="AP967" s="37" t="str">
        <x:f>IF(AO967&gt;=70,"High",IF(AO967&gt;=40,"Moderate","Low"))</x:f>
        <x:v>Low</x:v>
      </x:c>
      <x:c r="AQ967" s="37" t="n">
        <x:f>ROUND(MAX(0,MIN(100,(O967/4*100*0.25)+(P967/4*100*0.20)+(Q967/4*100*0.15)+(Y967/5*100*0.20)+(100-AO967)*0.20)),1)</x:f>
        <x:v>61.8</x:v>
      </x:c>
      <x:c r="AR967" s="37" t="n">
        <x:f>ROUND((AI967*0.20+AJ967*0.15+AN967*0.18+AG967*0.12+Z967*0.15+AQ967*0.20),1)</x:f>
        <x:v>85.7</x:v>
      </x:c>
      <x:c r="AS967" s="39" t="n">
        <x:f>ROUND((AC967*AF967*120)+(AH967*350)+(MAX(0,AI967-75)*220)+(MAX(0,AQ967-60)*100),0)</x:f>
        <x:v>26872</x:v>
      </x:c>
    </x:row>
    <x:row r="968">
      <x:c r="A968" s="35" t="n">
        <x:v>967</x:v>
      </x:c>
      <x:c r="B968" s="35" t="n">
        <x:v>46</x:v>
      </x:c>
      <x:c r="C968" s="35" t="str">
        <x:v>Male</x:v>
      </x:c>
      <x:c r="D968" s="35" t="str">
        <x:v>Information Technology</x:v>
      </x:c>
      <x:c r="E968" s="35" t="str">
        <x:v>IT Support</x:v>
      </x:c>
      <x:c r="F968" s="35" t="str">
        <x:v>Human Resources</x:v>
      </x:c>
      <x:c r="G968" s="35" t="str">
        <x:v>Married</x:v>
      </x:c>
      <x:c r="H968" s="35" t="n">
        <x:v>4</x:v>
      </x:c>
      <x:c r="I968" s="36" t="n">
        <x:v>18650</x:v>
      </x:c>
      <x:c r="J968" s="35" t="n">
        <x:v>22</x:v>
      </x:c>
      <x:c r="K968" s="35" t="n">
        <x:v>17</x:v>
      </x:c>
      <x:c r="L968" s="35" t="n">
        <x:v>5</x:v>
      </x:c>
      <x:c r="M968" s="35" t="n">
        <x:v>5</x:v>
      </x:c>
      <x:c r="N968" s="35" t="str">
        <x:v>No</x:v>
      </x:c>
      <x:c r="O968" s="35" t="n">
        <x:v>2</x:v>
      </x:c>
      <x:c r="P968" s="35" t="n">
        <x:v>3</x:v>
      </x:c>
      <x:c r="Q968" s="35" t="n">
        <x:v>3</x:v>
      </x:c>
      <x:c r="R968" s="35" t="n">
        <x:v>4</x:v>
      </x:c>
      <x:c r="S968" s="35" t="n">
        <x:v>3</x:v>
      </x:c>
      <x:c r="T968" s="35" t="n">
        <x:v>5</x:v>
      </x:c>
      <x:c r="U968" s="35" t="n">
        <x:v>0</x:v>
      </x:c>
      <x:c r="V968" s="35" t="n">
        <x:v>6</x:v>
      </x:c>
      <x:c r="W968" s="35" t="n">
        <x:v>10</x:v>
      </x:c>
      <x:c r="X968" s="35" t="n">
        <x:v>47</x:v>
      </x:c>
      <x:c r="Y968" s="35" t="n">
        <x:v>5</x:v>
      </x:c>
      <x:c r="Z968" s="35" t="n">
        <x:v>100</x:v>
      </x:c>
      <x:c r="AA968" s="35" t="n">
        <x:v>7</x:v>
      </x:c>
      <x:c r="AB968" s="35" t="n">
        <x:v>6</x:v>
      </x:c>
      <x:c r="AC968" s="35" t="n">
        <x:v>4</x:v>
      </x:c>
      <x:c r="AD968" s="35" t="n">
        <x:v>65</x:v>
      </x:c>
      <x:c r="AE968" s="35" t="n">
        <x:v>78</x:v>
      </x:c>
      <x:c r="AF968" s="35" t="n">
        <x:v>87</x:v>
      </x:c>
      <x:c r="AG968" s="35" t="n">
        <x:v>100</x:v>
      </x:c>
      <x:c r="AH968" s="35" t="n">
        <x:v>10</x:v>
      </x:c>
      <x:c r="AI968" s="37" t="n">
        <x:v>96.1</x:v>
      </x:c>
      <x:c r="AJ968" s="37" t="n">
        <x:v>96.2</x:v>
      </x:c>
      <x:c r="AK968" s="35" t="str">
        <x:v>No</x:v>
      </x:c>
      <x:c r="AL968" s="38" t="n">
        <x:f>IF(AA968=0,0,AB968/AA968)</x:f>
        <x:v>0.8571428571428571</x:v>
      </x:c>
      <x:c r="AM968" s="38" t="n">
        <x:f>IF(AB968=0,0,AC968/AB968)</x:f>
        <x:v>0.6666666666666666</x:v>
      </x:c>
      <x:c r="AN968" s="37" t="n">
        <x:f>ROUND((AD968*0.20+AE968*0.20+AF968*0.25+AG968*0.15+MIN(100,AC968*12)*0.20),1)</x:f>
        <x:v>74.9</x:v>
      </x:c>
      <x:c r="AO968" s="37" t="n">
        <x:f>ROUND(MAX(0,MIN(100,(X968*0.35)+(W968/45*100*0.20)+((5-O968)/4*100*0.15)+((5-P968)/4*100*0.10)+((6-Y968)/5*100*0.10)+((100-Z968)*0.10))),1)</x:f>
        <x:v>39.1</x:v>
      </x:c>
      <x:c r="AP968" s="37" t="str">
        <x:f>IF(AO968&gt;=70,"High",IF(AO968&gt;=40,"Moderate","Low"))</x:f>
        <x:v>Low</x:v>
      </x:c>
      <x:c r="AQ968" s="37" t="n">
        <x:f>ROUND(MAX(0,MIN(100,(O968/4*100*0.25)+(P968/4*100*0.20)+(Q968/4*100*0.15)+(Y968/5*100*0.20)+(100-AO968)*0.20)),1)</x:f>
        <x:v>70.9</x:v>
      </x:c>
      <x:c r="AR968" s="37" t="n">
        <x:f>ROUND((AI968*0.20+AJ968*0.15+AN968*0.18+AG968*0.12+Z968*0.15+AQ968*0.20),1)</x:f>
        <x:v>88.3</x:v>
      </x:c>
      <x:c r="AS968" s="39" t="n">
        <x:f>ROUND((AC968*AF968*120)+(AH968*350)+(MAX(0,AI968-75)*220)+(MAX(0,AQ968-60)*100),0)</x:f>
        <x:v>50992</x:v>
      </x:c>
    </x:row>
    <x:row r="969">
      <x:c r="A969" s="35" t="n">
        <x:v>968</x:v>
      </x:c>
      <x:c r="B969" s="35" t="n">
        <x:v>21</x:v>
      </x:c>
      <x:c r="C969" s="35" t="str">
        <x:v>Female</x:v>
      </x:c>
      <x:c r="D969" s="35" t="str">
        <x:v>Research &amp; Development</x:v>
      </x:c>
      <x:c r="E969" s="35" t="str">
        <x:v>Data Scientist</x:v>
      </x:c>
      <x:c r="F969" s="35" t="str">
        <x:v>Computer Science</x:v>
      </x:c>
      <x:c r="G969" s="35" t="str">
        <x:v>Married</x:v>
      </x:c>
      <x:c r="H969" s="35" t="n">
        <x:v>1</x:v>
      </x:c>
      <x:c r="I969" s="36" t="n">
        <x:v>4620</x:v>
      </x:c>
      <x:c r="J969" s="35" t="n">
        <x:v>0</x:v>
      </x:c>
      <x:c r="K969" s="35" t="n">
        <x:v>0</x:v>
      </x:c>
      <x:c r="L969" s="35" t="n">
        <x:v>0</x:v>
      </x:c>
      <x:c r="M969" s="35" t="n">
        <x:v>10</x:v>
      </x:c>
      <x:c r="N969" s="35" t="str">
        <x:v>No</x:v>
      </x:c>
      <x:c r="O969" s="35" t="n">
        <x:v>3</x:v>
      </x:c>
      <x:c r="P969" s="35" t="n">
        <x:v>2</x:v>
      </x:c>
      <x:c r="Q969" s="35" t="n">
        <x:v>3</x:v>
      </x:c>
      <x:c r="R969" s="35" t="n">
        <x:v>1</x:v>
      </x:c>
      <x:c r="S969" s="35" t="n">
        <x:v>3</x:v>
      </x:c>
      <x:c r="T969" s="35" t="n">
        <x:v>2</x:v>
      </x:c>
      <x:c r="U969" s="35" t="n">
        <x:v>1</x:v>
      </x:c>
      <x:c r="V969" s="35" t="n">
        <x:v>3</x:v>
      </x:c>
      <x:c r="W969" s="35" t="n">
        <x:v>1</x:v>
      </x:c>
      <x:c r="X969" s="35" t="n">
        <x:v>25</x:v>
      </x:c>
      <x:c r="Y969" s="35" t="n">
        <x:v>5</x:v>
      </x:c>
      <x:c r="Z969" s="35" t="n">
        <x:v>84</x:v>
      </x:c>
      <x:c r="AA969" s="35" t="n">
        <x:v>4</x:v>
      </x:c>
      <x:c r="AB969" s="35" t="n">
        <x:v>2</x:v>
      </x:c>
      <x:c r="AC969" s="35" t="n">
        <x:v>1</x:v>
      </x:c>
      <x:c r="AD969" s="35" t="n">
        <x:v>99</x:v>
      </x:c>
      <x:c r="AE969" s="35" t="n">
        <x:v>89</x:v>
      </x:c>
      <x:c r="AF969" s="35" t="n">
        <x:v>63</x:v>
      </x:c>
      <x:c r="AG969" s="35" t="n">
        <x:v>53</x:v>
      </x:c>
      <x:c r="AH969" s="35" t="n">
        <x:v>3</x:v>
      </x:c>
      <x:c r="AI969" s="37" t="n">
        <x:v>100</x:v>
      </x:c>
      <x:c r="AJ969" s="37" t="n">
        <x:v>88.7</x:v>
      </x:c>
      <x:c r="AK969" s="35" t="str">
        <x:v>No</x:v>
      </x:c>
      <x:c r="AL969" s="38" t="n">
        <x:f>IF(AA969=0,0,AB969/AA969)</x:f>
        <x:v>0.5</x:v>
      </x:c>
      <x:c r="AM969" s="38" t="n">
        <x:f>IF(AB969=0,0,AC969/AB969)</x:f>
        <x:v>0.5</x:v>
      </x:c>
      <x:c r="AN969" s="37" t="n">
        <x:f>ROUND((AD969*0.20+AE969*0.20+AF969*0.25+AG969*0.15+MIN(100,AC969*12)*0.20),1)</x:f>
        <x:v>63.7</x:v>
      </x:c>
      <x:c r="AO969" s="37" t="n">
        <x:f>ROUND(MAX(0,MIN(100,(X969*0.35)+(W969/45*100*0.20)+((5-O969)/4*100*0.15)+((5-P969)/4*100*0.10)+((6-Y969)/5*100*0.10)+((100-Z969)*0.10))),1)</x:f>
        <x:v>27.8</x:v>
      </x:c>
      <x:c r="AP969" s="37" t="str">
        <x:f>IF(AO969&gt;=70,"High",IF(AO969&gt;=40,"Moderate","Low"))</x:f>
        <x:v>Low</x:v>
      </x:c>
      <x:c r="AQ969" s="37" t="n">
        <x:f>ROUND(MAX(0,MIN(100,(O969/4*100*0.25)+(P969/4*100*0.20)+(Q969/4*100*0.15)+(Y969/5*100*0.20)+(100-AO969)*0.20)),1)</x:f>
        <x:v>74.4</x:v>
      </x:c>
      <x:c r="AR969" s="37" t="n">
        <x:f>ROUND((AI969*0.20+AJ969*0.15+AN969*0.18+AG969*0.12+Z969*0.15+AQ969*0.20),1)</x:f>
        <x:v>78.6</x:v>
      </x:c>
      <x:c r="AS969" s="39" t="n">
        <x:f>ROUND((AC969*AF969*120)+(AH969*350)+(MAX(0,AI969-75)*220)+(MAX(0,AQ969-60)*100),0)</x:f>
        <x:v>15550</x:v>
      </x:c>
    </x:row>
    <x:row r="970">
      <x:c r="A970" s="35" t="n">
        <x:v>969</x:v>
      </x:c>
      <x:c r="B970" s="35" t="n">
        <x:v>38</x:v>
      </x:c>
      <x:c r="C970" s="35" t="str">
        <x:v>Male</x:v>
      </x:c>
      <x:c r="D970" s="35" t="str">
        <x:v>Research &amp; Development</x:v>
      </x:c>
      <x:c r="E970" s="35" t="str">
        <x:v>R&amp;D Manager</x:v>
      </x:c>
      <x:c r="F970" s="35" t="str">
        <x:v>Technical Degree</x:v>
      </x:c>
      <x:c r="G970" s="35" t="str">
        <x:v>Married</x:v>
      </x:c>
      <x:c r="H970" s="35" t="n">
        <x:v>3</x:v>
      </x:c>
      <x:c r="I970" s="36" t="n">
        <x:v>11650</x:v>
      </x:c>
      <x:c r="J970" s="35" t="n">
        <x:v>9</x:v>
      </x:c>
      <x:c r="K970" s="35" t="n">
        <x:v>6</x:v>
      </x:c>
      <x:c r="L970" s="35" t="n">
        <x:v>3</x:v>
      </x:c>
      <x:c r="M970" s="35" t="n">
        <x:v>9</x:v>
      </x:c>
      <x:c r="N970" s="35" t="str">
        <x:v>No</x:v>
      </x:c>
      <x:c r="O970" s="35" t="n">
        <x:v>3</x:v>
      </x:c>
      <x:c r="P970" s="35" t="n">
        <x:v>4</x:v>
      </x:c>
      <x:c r="Q970" s="35" t="n">
        <x:v>3</x:v>
      </x:c>
      <x:c r="R970" s="35" t="n">
        <x:v>3</x:v>
      </x:c>
      <x:c r="S970" s="35" t="n">
        <x:v>3</x:v>
      </x:c>
      <x:c r="T970" s="35" t="n">
        <x:v>6</x:v>
      </x:c>
      <x:c r="U970" s="35" t="n">
        <x:v>0</x:v>
      </x:c>
      <x:c r="V970" s="35" t="n">
        <x:v>3</x:v>
      </x:c>
      <x:c r="W970" s="35" t="n">
        <x:v>15</x:v>
      </x:c>
      <x:c r="X970" s="35" t="n">
        <x:v>63</x:v>
      </x:c>
      <x:c r="Y970" s="35" t="n">
        <x:v>5</x:v>
      </x:c>
      <x:c r="Z970" s="35" t="n">
        <x:v>100</x:v>
      </x:c>
      <x:c r="AA970" s="35" t="n">
        <x:v>14</x:v>
      </x:c>
      <x:c r="AB970" s="35" t="n">
        <x:v>11</x:v>
      </x:c>
      <x:c r="AC970" s="35" t="n">
        <x:v>5</x:v>
      </x:c>
      <x:c r="AD970" s="35" t="n">
        <x:v>100</x:v>
      </x:c>
      <x:c r="AE970" s="35" t="n">
        <x:v>67</x:v>
      </x:c>
      <x:c r="AF970" s="35" t="n">
        <x:v>79</x:v>
      </x:c>
      <x:c r="AG970" s="35" t="n">
        <x:v>96</x:v>
      </x:c>
      <x:c r="AH970" s="35" t="n">
        <x:v>8</x:v>
      </x:c>
      <x:c r="AI970" s="37" t="n">
        <x:v>87.7</x:v>
      </x:c>
      <x:c r="AJ970" s="37" t="n">
        <x:v>98.2</x:v>
      </x:c>
      <x:c r="AK970" s="35" t="str">
        <x:v>No</x:v>
      </x:c>
      <x:c r="AL970" s="38" t="n">
        <x:f>IF(AA970=0,0,AB970/AA970)</x:f>
        <x:v>0.7857142857142857</x:v>
      </x:c>
      <x:c r="AM970" s="38" t="n">
        <x:f>IF(AB970=0,0,AC970/AB970)</x:f>
        <x:v>0.45454545454545453</x:v>
      </x:c>
      <x:c r="AN970" s="37" t="n">
        <x:f>ROUND((AD970*0.20+AE970*0.20+AF970*0.25+AG970*0.15+MIN(100,AC970*12)*0.20),1)</x:f>
        <x:v>79.6</x:v>
      </x:c>
      <x:c r="AO970" s="37" t="n">
        <x:f>ROUND(MAX(0,MIN(100,(X970*0.35)+(W970/45*100*0.20)+((5-O970)/4*100*0.15)+((5-P970)/4*100*0.10)+((6-Y970)/5*100*0.10)+((100-Z970)*0.10))),1)</x:f>
        <x:v>40.7</x:v>
      </x:c>
      <x:c r="AP970" s="37" t="str">
        <x:f>IF(AO970&gt;=70,"High",IF(AO970&gt;=40,"Moderate","Low"))</x:f>
        <x:v>Moderate</x:v>
      </x:c>
      <x:c r="AQ970" s="37" t="n">
        <x:f>ROUND(MAX(0,MIN(100,(O970/4*100*0.25)+(P970/4*100*0.20)+(Q970/4*100*0.15)+(Y970/5*100*0.20)+(100-AO970)*0.20)),1)</x:f>
        <x:v>81.9</x:v>
      </x:c>
      <x:c r="AR970" s="37" t="n">
        <x:f>ROUND((AI970*0.20+AJ970*0.15+AN970*0.18+AG970*0.12+Z970*0.15+AQ970*0.20),1)</x:f>
        <x:v>89.5</x:v>
      </x:c>
      <x:c r="AS970" s="39" t="n">
        <x:f>ROUND((AC970*AF970*120)+(AH970*350)+(MAX(0,AI970-75)*220)+(MAX(0,AQ970-60)*100),0)</x:f>
        <x:v>55184</x:v>
      </x:c>
    </x:row>
    <x:row r="971">
      <x:c r="A971" s="35" t="n">
        <x:v>970</x:v>
      </x:c>
      <x:c r="B971" s="35" t="n">
        <x:v>58</x:v>
      </x:c>
      <x:c r="C971" s="35" t="str">
        <x:v>Male</x:v>
      </x:c>
      <x:c r="D971" s="35" t="str">
        <x:v>Sales</x:v>
      </x:c>
      <x:c r="E971" s="35" t="str">
        <x:v>Account Manager</x:v>
      </x:c>
      <x:c r="F971" s="35" t="str">
        <x:v>Business</x:v>
      </x:c>
      <x:c r="G971" s="35" t="str">
        <x:v>Single</x:v>
      </x:c>
      <x:c r="H971" s="35" t="n">
        <x:v>5</x:v>
      </x:c>
      <x:c r="I971" s="36" t="n">
        <x:v>29680</x:v>
      </x:c>
      <x:c r="J971" s="35" t="n">
        <x:v>21</x:v>
      </x:c>
      <x:c r="K971" s="35" t="n">
        <x:v>13</x:v>
      </x:c>
      <x:c r="L971" s="35" t="n">
        <x:v>9</x:v>
      </x:c>
      <x:c r="M971" s="35" t="n">
        <x:v>1</x:v>
      </x:c>
      <x:c r="N971" s="35" t="str">
        <x:v>No</x:v>
      </x:c>
      <x:c r="O971" s="35" t="n">
        <x:v>3</x:v>
      </x:c>
      <x:c r="P971" s="35" t="n">
        <x:v>2</x:v>
      </x:c>
      <x:c r="Q971" s="35" t="n">
        <x:v>3</x:v>
      </x:c>
      <x:c r="R971" s="35" t="n">
        <x:v>3</x:v>
      </x:c>
      <x:c r="S971" s="35" t="n">
        <x:v>4</x:v>
      </x:c>
      <x:c r="T971" s="35" t="n">
        <x:v>2</x:v>
      </x:c>
      <x:c r="U971" s="35" t="n">
        <x:v>0</x:v>
      </x:c>
      <x:c r="V971" s="35" t="n">
        <x:v>8</x:v>
      </x:c>
      <x:c r="W971" s="35" t="n">
        <x:v>11</x:v>
      </x:c>
      <x:c r="X971" s="35" t="n">
        <x:v>65</x:v>
      </x:c>
      <x:c r="Y971" s="35" t="n">
        <x:v>5</x:v>
      </x:c>
      <x:c r="Z971" s="35" t="n">
        <x:v>100</x:v>
      </x:c>
      <x:c r="AA971" s="35" t="n">
        <x:v>12</x:v>
      </x:c>
      <x:c r="AB971" s="35" t="n">
        <x:v>8</x:v>
      </x:c>
      <x:c r="AC971" s="35" t="n">
        <x:v>4</x:v>
      </x:c>
      <x:c r="AD971" s="35" t="n">
        <x:v>80</x:v>
      </x:c>
      <x:c r="AE971" s="35" t="n">
        <x:v>100</x:v>
      </x:c>
      <x:c r="AF971" s="35" t="n">
        <x:v>90</x:v>
      </x:c>
      <x:c r="AG971" s="35" t="n">
        <x:v>100</x:v>
      </x:c>
      <x:c r="AH971" s="35" t="n">
        <x:v>10</x:v>
      </x:c>
      <x:c r="AI971" s="37" t="n">
        <x:v>100</x:v>
      </x:c>
      <x:c r="AJ971" s="37" t="n">
        <x:v>98.2</x:v>
      </x:c>
      <x:c r="AK971" s="35" t="str">
        <x:v>No</x:v>
      </x:c>
      <x:c r="AL971" s="38" t="n">
        <x:f>IF(AA971=0,0,AB971/AA971)</x:f>
        <x:v>0.6666666666666666</x:v>
      </x:c>
      <x:c r="AM971" s="38" t="n">
        <x:f>IF(AB971=0,0,AC971/AB971)</x:f>
        <x:v>0.5</x:v>
      </x:c>
      <x:c r="AN971" s="37" t="n">
        <x:f>ROUND((AD971*0.20+AE971*0.20+AF971*0.25+AG971*0.15+MIN(100,AC971*12)*0.20),1)</x:f>
        <x:v>83.1</x:v>
      </x:c>
      <x:c r="AO971" s="37" t="n">
        <x:f>ROUND(MAX(0,MIN(100,(X971*0.35)+(W971/45*100*0.20)+((5-O971)/4*100*0.15)+((5-P971)/4*100*0.10)+((6-Y971)/5*100*0.10)+((100-Z971)*0.10))),1)</x:f>
        <x:v>44.6</x:v>
      </x:c>
      <x:c r="AP971" s="37" t="str">
        <x:f>IF(AO971&gt;=70,"High",IF(AO971&gt;=40,"Moderate","Low"))</x:f>
        <x:v>Moderate</x:v>
      </x:c>
      <x:c r="AQ971" s="37" t="n">
        <x:f>ROUND(MAX(0,MIN(100,(O971/4*100*0.25)+(P971/4*100*0.20)+(Q971/4*100*0.15)+(Y971/5*100*0.20)+(100-AO971)*0.20)),1)</x:f>
        <x:v>71.1</x:v>
      </x:c>
      <x:c r="AR971" s="37" t="n">
        <x:f>ROUND((AI971*0.20+AJ971*0.15+AN971*0.18+AG971*0.12+Z971*0.15+AQ971*0.20),1)</x:f>
        <x:v>90.9</x:v>
      </x:c>
      <x:c r="AS971" s="39" t="n">
        <x:f>ROUND((AC971*AF971*120)+(AH971*350)+(MAX(0,AI971-75)*220)+(MAX(0,AQ971-60)*100),0)</x:f>
        <x:v>53310</x:v>
      </x:c>
    </x:row>
    <x:row r="972">
      <x:c r="A972" s="35" t="n">
        <x:v>971</x:v>
      </x:c>
      <x:c r="B972" s="35" t="n">
        <x:v>33</x:v>
      </x:c>
      <x:c r="C972" s="35" t="str">
        <x:v>Female</x:v>
      </x:c>
      <x:c r="D972" s="35" t="str">
        <x:v>Information Technology</x:v>
      </x:c>
      <x:c r="E972" s="35" t="str">
        <x:v>IT Support</x:v>
      </x:c>
      <x:c r="F972" s="35" t="str">
        <x:v>Human Resources</x:v>
      </x:c>
      <x:c r="G972" s="35" t="str">
        <x:v>Married</x:v>
      </x:c>
      <x:c r="H972" s="35" t="n">
        <x:v>3</x:v>
      </x:c>
      <x:c r="I972" s="36" t="n">
        <x:v>14500</x:v>
      </x:c>
      <x:c r="J972" s="35" t="n">
        <x:v>8</x:v>
      </x:c>
      <x:c r="K972" s="35" t="n">
        <x:v>7</x:v>
      </x:c>
      <x:c r="L972" s="35" t="n">
        <x:v>3</x:v>
      </x:c>
      <x:c r="M972" s="35" t="n">
        <x:v>15</x:v>
      </x:c>
      <x:c r="N972" s="35" t="str">
        <x:v>No</x:v>
      </x:c>
      <x:c r="O972" s="35" t="n">
        <x:v>4</x:v>
      </x:c>
      <x:c r="P972" s="35" t="n">
        <x:v>4</x:v>
      </x:c>
      <x:c r="Q972" s="35" t="n">
        <x:v>2</x:v>
      </x:c>
      <x:c r="R972" s="35" t="n">
        <x:v>3</x:v>
      </x:c>
      <x:c r="S972" s="35" t="n">
        <x:v>3</x:v>
      </x:c>
      <x:c r="T972" s="35" t="n">
        <x:v>3</x:v>
      </x:c>
      <x:c r="U972" s="35" t="n">
        <x:v>0</x:v>
      </x:c>
      <x:c r="V972" s="35" t="n">
        <x:v>1</x:v>
      </x:c>
      <x:c r="W972" s="35" t="n">
        <x:v>0</x:v>
      </x:c>
      <x:c r="X972" s="35" t="n">
        <x:v>71</x:v>
      </x:c>
      <x:c r="Y972" s="35" t="n">
        <x:v>4</x:v>
      </x:c>
      <x:c r="Z972" s="35" t="n">
        <x:v>100</x:v>
      </x:c>
      <x:c r="AA972" s="35" t="n">
        <x:v>10</x:v>
      </x:c>
      <x:c r="AB972" s="35" t="n">
        <x:v>9</x:v>
      </x:c>
      <x:c r="AC972" s="35" t="n">
        <x:v>8</x:v>
      </x:c>
      <x:c r="AD972" s="35" t="n">
        <x:v>96</x:v>
      </x:c>
      <x:c r="AE972" s="35" t="n">
        <x:v>94</x:v>
      </x:c>
      <x:c r="AF972" s="35" t="n">
        <x:v>74</x:v>
      </x:c>
      <x:c r="AG972" s="35" t="n">
        <x:v>82</x:v>
      </x:c>
      <x:c r="AH972" s="35" t="n">
        <x:v>11</x:v>
      </x:c>
      <x:c r="AI972" s="37" t="n">
        <x:v>96.8</x:v>
      </x:c>
      <x:c r="AJ972" s="37" t="n">
        <x:v>92.6</x:v>
      </x:c>
      <x:c r="AK972" s="35" t="str">
        <x:v>No</x:v>
      </x:c>
      <x:c r="AL972" s="38" t="n">
        <x:f>IF(AA972=0,0,AB972/AA972)</x:f>
        <x:v>0.9</x:v>
      </x:c>
      <x:c r="AM972" s="38" t="n">
        <x:f>IF(AB972=0,0,AC972/AB972)</x:f>
        <x:v>0.8888888888888888</x:v>
      </x:c>
      <x:c r="AN972" s="37" t="n">
        <x:f>ROUND((AD972*0.20+AE972*0.20+AF972*0.25+AG972*0.15+MIN(100,AC972*12)*0.20),1)</x:f>
        <x:v>88</x:v>
      </x:c>
      <x:c r="AO972" s="37" t="n">
        <x:f>ROUND(MAX(0,MIN(100,(X972*0.35)+(W972/45*100*0.20)+((5-O972)/4*100*0.15)+((5-P972)/4*100*0.10)+((6-Y972)/5*100*0.10)+((100-Z972)*0.10))),1)</x:f>
        <x:v>35.1</x:v>
      </x:c>
      <x:c r="AP972" s="37" t="str">
        <x:f>IF(AO972&gt;=70,"High",IF(AO972&gt;=40,"Moderate","Low"))</x:f>
        <x:v>Low</x:v>
      </x:c>
      <x:c r="AQ972" s="37" t="n">
        <x:f>ROUND(MAX(0,MIN(100,(O972/4*100*0.25)+(P972/4*100*0.20)+(Q972/4*100*0.15)+(Y972/5*100*0.20)+(100-AO972)*0.20)),1)</x:f>
        <x:v>81.5</x:v>
      </x:c>
      <x:c r="AR972" s="37" t="n">
        <x:f>ROUND((AI972*0.20+AJ972*0.15+AN972*0.18+AG972*0.12+Z972*0.15+AQ972*0.20),1)</x:f>
        <x:v>90.2</x:v>
      </x:c>
      <x:c r="AS972" s="39" t="n">
        <x:f>ROUND((AC972*AF972*120)+(AH972*350)+(MAX(0,AI972-75)*220)+(MAX(0,AQ972-60)*100),0)</x:f>
        <x:v>81836</x:v>
      </x:c>
    </x:row>
    <x:row r="973">
      <x:c r="A973" s="35" t="n">
        <x:v>972</x:v>
      </x:c>
      <x:c r="B973" s="35" t="n">
        <x:v>23</x:v>
      </x:c>
      <x:c r="C973" s="35" t="str">
        <x:v>Male</x:v>
      </x:c>
      <x:c r="D973" s="35" t="str">
        <x:v>Finance</x:v>
      </x:c>
      <x:c r="E973" s="35" t="str">
        <x:v>Finance Manager</x:v>
      </x:c>
      <x:c r="F973" s="35" t="str">
        <x:v>Technical Degree</x:v>
      </x:c>
      <x:c r="G973" s="35" t="str">
        <x:v>Married</x:v>
      </x:c>
      <x:c r="H973" s="35" t="n">
        <x:v>1</x:v>
      </x:c>
      <x:c r="I973" s="36" t="n">
        <x:v>4340</x:v>
      </x:c>
      <x:c r="J973" s="35" t="n">
        <x:v>2</x:v>
      </x:c>
      <x:c r="K973" s="35" t="n">
        <x:v>1</x:v>
      </x:c>
      <x:c r="L973" s="35" t="n">
        <x:v>1</x:v>
      </x:c>
      <x:c r="M973" s="35" t="n">
        <x:v>2</x:v>
      </x:c>
      <x:c r="N973" s="35" t="str">
        <x:v>No</x:v>
      </x:c>
      <x:c r="O973" s="35" t="n">
        <x:v>4</x:v>
      </x:c>
      <x:c r="P973" s="35" t="n">
        <x:v>2</x:v>
      </x:c>
      <x:c r="Q973" s="35" t="n">
        <x:v>4</x:v>
      </x:c>
      <x:c r="R973" s="35" t="n">
        <x:v>4</x:v>
      </x:c>
      <x:c r="S973" s="35" t="n">
        <x:v>3</x:v>
      </x:c>
      <x:c r="T973" s="35" t="n">
        <x:v>4</x:v>
      </x:c>
      <x:c r="U973" s="35" t="n">
        <x:v>1</x:v>
      </x:c>
      <x:c r="V973" s="35" t="n">
        <x:v>8</x:v>
      </x:c>
      <x:c r="W973" s="35" t="n">
        <x:v>16</x:v>
      </x:c>
      <x:c r="X973" s="35" t="n">
        <x:v>69</x:v>
      </x:c>
      <x:c r="Y973" s="35" t="n">
        <x:v>5</x:v>
      </x:c>
      <x:c r="Z973" s="35" t="n">
        <x:v>100</x:v>
      </x:c>
      <x:c r="AA973" s="35" t="n">
        <x:v>3</x:v>
      </x:c>
      <x:c r="AB973" s="35" t="n">
        <x:v>1</x:v>
      </x:c>
      <x:c r="AC973" s="35" t="n">
        <x:v>1</x:v>
      </x:c>
      <x:c r="AD973" s="35" t="n">
        <x:v>59</x:v>
      </x:c>
      <x:c r="AE973" s="35" t="n">
        <x:v>63</x:v>
      </x:c>
      <x:c r="AF973" s="35" t="n">
        <x:v>93</x:v>
      </x:c>
      <x:c r="AG973" s="35" t="n">
        <x:v>79</x:v>
      </x:c>
      <x:c r="AH973" s="35" t="n">
        <x:v>7</x:v>
      </x:c>
      <x:c r="AI973" s="37" t="n">
        <x:v>93.4</x:v>
      </x:c>
      <x:c r="AJ973" s="37" t="n">
        <x:v>90.4</x:v>
      </x:c>
      <x:c r="AK973" s="35" t="str">
        <x:v>No</x:v>
      </x:c>
      <x:c r="AL973" s="38" t="n">
        <x:f>IF(AA973=0,0,AB973/AA973)</x:f>
        <x:v>0.3333333333333333</x:v>
      </x:c>
      <x:c r="AM973" s="38" t="n">
        <x:f>IF(AB973=0,0,AC973/AB973)</x:f>
        <x:v>1</x:v>
      </x:c>
      <x:c r="AN973" s="37" t="n">
        <x:f>ROUND((AD973*0.20+AE973*0.20+AF973*0.25+AG973*0.15+MIN(100,AC973*12)*0.20),1)</x:f>
        <x:v>61.9</x:v>
      </x:c>
      <x:c r="AO973" s="37" t="n">
        <x:f>ROUND(MAX(0,MIN(100,(X973*0.35)+(W973/45*100*0.20)+((5-O973)/4*100*0.15)+((5-P973)/4*100*0.10)+((6-Y973)/5*100*0.10)+((100-Z973)*0.10))),1)</x:f>
        <x:v>44.5</x:v>
      </x:c>
      <x:c r="AP973" s="37" t="str">
        <x:f>IF(AO973&gt;=70,"High",IF(AO973&gt;=40,"Moderate","Low"))</x:f>
        <x:v>Moderate</x:v>
      </x:c>
      <x:c r="AQ973" s="37" t="n">
        <x:f>ROUND(MAX(0,MIN(100,(O973/4*100*0.25)+(P973/4*100*0.20)+(Q973/4*100*0.15)+(Y973/5*100*0.20)+(100-AO973)*0.20)),1)</x:f>
        <x:v>81.1</x:v>
      </x:c>
      <x:c r="AR973" s="37" t="n">
        <x:f>ROUND((AI973*0.20+AJ973*0.15+AN973*0.18+AG973*0.12+Z973*0.15+AQ973*0.20),1)</x:f>
        <x:v>84.1</x:v>
      </x:c>
      <x:c r="AS973" s="39" t="n">
        <x:f>ROUND((AC973*AF973*120)+(AH973*350)+(MAX(0,AI973-75)*220)+(MAX(0,AQ973-60)*100),0)</x:f>
        <x:v>19768</x:v>
      </x:c>
    </x:row>
    <x:row r="974">
      <x:c r="A974" s="35" t="n">
        <x:v>973</x:v>
      </x:c>
      <x:c r="B974" s="35" t="n">
        <x:v>35</x:v>
      </x:c>
      <x:c r="C974" s="35" t="str">
        <x:v>Female</x:v>
      </x:c>
      <x:c r="D974" s="35" t="str">
        <x:v>Research &amp; Development</x:v>
      </x:c>
      <x:c r="E974" s="35" t="str">
        <x:v>Laboratory Technician</x:v>
      </x:c>
      <x:c r="F974" s="35" t="str">
        <x:v>Technical Degree</x:v>
      </x:c>
      <x:c r="G974" s="35" t="str">
        <x:v>Single</x:v>
      </x:c>
      <x:c r="H974" s="35" t="n">
        <x:v>1</x:v>
      </x:c>
      <x:c r="I974" s="36" t="n">
        <x:v>5780</x:v>
      </x:c>
      <x:c r="J974" s="35" t="n">
        <x:v>9</x:v>
      </x:c>
      <x:c r="K974" s="35" t="n">
        <x:v>7</x:v>
      </x:c>
      <x:c r="L974" s="35" t="n">
        <x:v>5</x:v>
      </x:c>
      <x:c r="M974" s="35" t="n">
        <x:v>5</x:v>
      </x:c>
      <x:c r="N974" s="35" t="str">
        <x:v>No</x:v>
      </x:c>
      <x:c r="O974" s="35" t="n">
        <x:v>3</x:v>
      </x:c>
      <x:c r="P974" s="35" t="n">
        <x:v>3</x:v>
      </x:c>
      <x:c r="Q974" s="35" t="n">
        <x:v>2</x:v>
      </x:c>
      <x:c r="R974" s="35" t="n">
        <x:v>2</x:v>
      </x:c>
      <x:c r="S974" s="35" t="n">
        <x:v>3</x:v>
      </x:c>
      <x:c r="T974" s="35" t="n">
        <x:v>6</x:v>
      </x:c>
      <x:c r="U974" s="35" t="n">
        <x:v>2</x:v>
      </x:c>
      <x:c r="V974" s="35" t="n">
        <x:v>0</x:v>
      </x:c>
      <x:c r="W974" s="35" t="n">
        <x:v>6</x:v>
      </x:c>
      <x:c r="X974" s="35" t="n">
        <x:v>75</x:v>
      </x:c>
      <x:c r="Y974" s="35" t="n">
        <x:v>4</x:v>
      </x:c>
      <x:c r="Z974" s="35" t="n">
        <x:v>86</x:v>
      </x:c>
      <x:c r="AA974" s="35" t="n">
        <x:v>3</x:v>
      </x:c>
      <x:c r="AB974" s="35" t="n">
        <x:v>2</x:v>
      </x:c>
      <x:c r="AC974" s="35" t="n">
        <x:v>2</x:v>
      </x:c>
      <x:c r="AD974" s="35" t="n">
        <x:v>49</x:v>
      </x:c>
      <x:c r="AE974" s="35" t="n">
        <x:v>89</x:v>
      </x:c>
      <x:c r="AF974" s="35" t="n">
        <x:v>49</x:v>
      </x:c>
      <x:c r="AG974" s="35" t="n">
        <x:v>82</x:v>
      </x:c>
      <x:c r="AH974" s="35" t="n">
        <x:v>8</x:v>
      </x:c>
      <x:c r="AI974" s="37" t="n">
        <x:v>99.1</x:v>
      </x:c>
      <x:c r="AJ974" s="37" t="n">
        <x:v>98.4</x:v>
      </x:c>
      <x:c r="AK974" s="35" t="str">
        <x:v>No</x:v>
      </x:c>
      <x:c r="AL974" s="38" t="n">
        <x:f>IF(AA974=0,0,AB974/AA974)</x:f>
        <x:v>0.6666666666666666</x:v>
      </x:c>
      <x:c r="AM974" s="38" t="n">
        <x:f>IF(AB974=0,0,AC974/AB974)</x:f>
        <x:v>1</x:v>
      </x:c>
      <x:c r="AN974" s="37" t="n">
        <x:f>ROUND((AD974*0.20+AE974*0.20+AF974*0.25+AG974*0.15+MIN(100,AC974*12)*0.20),1)</x:f>
        <x:v>57</x:v>
      </x:c>
      <x:c r="AO974" s="37" t="n">
        <x:f>ROUND(MAX(0,MIN(100,(X974*0.35)+(W974/45*100*0.20)+((5-O974)/4*100*0.15)+((5-P974)/4*100*0.10)+((6-Y974)/5*100*0.10)+((100-Z974)*0.10))),1)</x:f>
        <x:v>46.8</x:v>
      </x:c>
      <x:c r="AP974" s="37" t="str">
        <x:f>IF(AO974&gt;=70,"High",IF(AO974&gt;=40,"Moderate","Low"))</x:f>
        <x:v>Moderate</x:v>
      </x:c>
      <x:c r="AQ974" s="37" t="n">
        <x:f>ROUND(MAX(0,MIN(100,(O974/4*100*0.25)+(P974/4*100*0.20)+(Q974/4*100*0.15)+(Y974/5*100*0.20)+(100-AO974)*0.20)),1)</x:f>
        <x:v>67.9</x:v>
      </x:c>
      <x:c r="AR974" s="37" t="n">
        <x:f>ROUND((AI974*0.20+AJ974*0.15+AN974*0.18+AG974*0.12+Z974*0.15+AQ974*0.20),1)</x:f>
        <x:v>81.2</x:v>
      </x:c>
      <x:c r="AS974" s="39" t="n">
        <x:f>ROUND((AC974*AF974*120)+(AH974*350)+(MAX(0,AI974-75)*220)+(MAX(0,AQ974-60)*100),0)</x:f>
        <x:v>20652</x:v>
      </x:c>
    </x:row>
    <x:row r="975">
      <x:c r="A975" s="35" t="n">
        <x:v>974</x:v>
      </x:c>
      <x:c r="B975" s="35" t="n">
        <x:v>29</x:v>
      </x:c>
      <x:c r="C975" s="35" t="str">
        <x:v>Female</x:v>
      </x:c>
      <x:c r="D975" s="35" t="str">
        <x:v>Information Technology</x:v>
      </x:c>
      <x:c r="E975" s="35" t="str">
        <x:v>IT Manager</x:v>
      </x:c>
      <x:c r="F975" s="35" t="str">
        <x:v>Computer Science</x:v>
      </x:c>
      <x:c r="G975" s="35" t="str">
        <x:v>Single</x:v>
      </x:c>
      <x:c r="H975" s="35" t="n">
        <x:v>2</x:v>
      </x:c>
      <x:c r="I975" s="36" t="n">
        <x:v>8070</x:v>
      </x:c>
      <x:c r="J975" s="35" t="n">
        <x:v>5</x:v>
      </x:c>
      <x:c r="K975" s="35" t="n">
        <x:v>4</x:v>
      </x:c>
      <x:c r="L975" s="35" t="n">
        <x:v>3</x:v>
      </x:c>
      <x:c r="M975" s="35" t="n">
        <x:v>6</x:v>
      </x:c>
      <x:c r="N975" s="35" t="str">
        <x:v>No</x:v>
      </x:c>
      <x:c r="O975" s="35" t="n">
        <x:v>4</x:v>
      </x:c>
      <x:c r="P975" s="35" t="n">
        <x:v>3</x:v>
      </x:c>
      <x:c r="Q975" s="35" t="n">
        <x:v>1</x:v>
      </x:c>
      <x:c r="R975" s="35" t="n">
        <x:v>4</x:v>
      </x:c>
      <x:c r="S975" s="35" t="n">
        <x:v>3</x:v>
      </x:c>
      <x:c r="T975" s="35" t="n">
        <x:v>0</x:v>
      </x:c>
      <x:c r="U975" s="35" t="n">
        <x:v>2</x:v>
      </x:c>
      <x:c r="V975" s="35" t="n">
        <x:v>10</x:v>
      </x:c>
      <x:c r="W975" s="35" t="n">
        <x:v>3</x:v>
      </x:c>
      <x:c r="X975" s="35" t="n">
        <x:v>71</x:v>
      </x:c>
      <x:c r="Y975" s="35" t="n">
        <x:v>4</x:v>
      </x:c>
      <x:c r="Z975" s="35" t="n">
        <x:v>100</x:v>
      </x:c>
      <x:c r="AA975" s="35" t="n">
        <x:v>7</x:v>
      </x:c>
      <x:c r="AB975" s="35" t="n">
        <x:v>6</x:v>
      </x:c>
      <x:c r="AC975" s="35" t="n">
        <x:v>5</x:v>
      </x:c>
      <x:c r="AD975" s="35" t="n">
        <x:v>78</x:v>
      </x:c>
      <x:c r="AE975" s="35" t="n">
        <x:v>67</x:v>
      </x:c>
      <x:c r="AF975" s="35" t="n">
        <x:v>85</x:v>
      </x:c>
      <x:c r="AG975" s="35" t="n">
        <x:v>99</x:v>
      </x:c>
      <x:c r="AH975" s="35" t="n">
        <x:v>9</x:v>
      </x:c>
      <x:c r="AI975" s="37" t="n">
        <x:v>100</x:v>
      </x:c>
      <x:c r="AJ975" s="37" t="n">
        <x:v>88.6</x:v>
      </x:c>
      <x:c r="AK975" s="35" t="str">
        <x:v>No</x:v>
      </x:c>
      <x:c r="AL975" s="38" t="n">
        <x:f>IF(AA975=0,0,AB975/AA975)</x:f>
        <x:v>0.8571428571428571</x:v>
      </x:c>
      <x:c r="AM975" s="38" t="n">
        <x:f>IF(AB975=0,0,AC975/AB975)</x:f>
        <x:v>0.8333333333333334</x:v>
      </x:c>
      <x:c r="AN975" s="37" t="n">
        <x:f>ROUND((AD975*0.20+AE975*0.20+AF975*0.25+AG975*0.15+MIN(100,AC975*12)*0.20),1)</x:f>
        <x:v>77.1</x:v>
      </x:c>
      <x:c r="AO975" s="37" t="n">
        <x:f>ROUND(MAX(0,MIN(100,(X975*0.35)+(W975/45*100*0.20)+((5-O975)/4*100*0.15)+((5-P975)/4*100*0.10)+((6-Y975)/5*100*0.10)+((100-Z975)*0.10))),1)</x:f>
        <x:v>38.9</x:v>
      </x:c>
      <x:c r="AP975" s="37" t="str">
        <x:f>IF(AO975&gt;=70,"High",IF(AO975&gt;=40,"Moderate","Low"))</x:f>
        <x:v>Low</x:v>
      </x:c>
      <x:c r="AQ975" s="37" t="n">
        <x:f>ROUND(MAX(0,MIN(100,(O975/4*100*0.25)+(P975/4*100*0.20)+(Q975/4*100*0.15)+(Y975/5*100*0.20)+(100-AO975)*0.20)),1)</x:f>
        <x:v>72</x:v>
      </x:c>
      <x:c r="AR975" s="37" t="n">
        <x:f>ROUND((AI975*0.20+AJ975*0.15+AN975*0.18+AG975*0.12+Z975*0.15+AQ975*0.20),1)</x:f>
        <x:v>88.4</x:v>
      </x:c>
      <x:c r="AS975" s="39" t="n">
        <x:f>ROUND((AC975*AF975*120)+(AH975*350)+(MAX(0,AI975-75)*220)+(MAX(0,AQ975-60)*100),0)</x:f>
        <x:v>60850</x:v>
      </x:c>
    </x:row>
    <x:row r="976">
      <x:c r="A976" s="35" t="n">
        <x:v>975</x:v>
      </x:c>
      <x:c r="B976" s="35" t="n">
        <x:v>23</x:v>
      </x:c>
      <x:c r="C976" s="35" t="str">
        <x:v>Male</x:v>
      </x:c>
      <x:c r="D976" s="35" t="str">
        <x:v>Information Technology</x:v>
      </x:c>
      <x:c r="E976" s="35" t="str">
        <x:v>IT Support</x:v>
      </x:c>
      <x:c r="F976" s="35" t="str">
        <x:v>Life Sciences</x:v>
      </x:c>
      <x:c r="G976" s="35" t="str">
        <x:v>Divorced</x:v>
      </x:c>
      <x:c r="H976" s="35" t="n">
        <x:v>1</x:v>
      </x:c>
      <x:c r="I976" s="36" t="n">
        <x:v>4200</x:v>
      </x:c>
      <x:c r="J976" s="35" t="n">
        <x:v>1</x:v>
      </x:c>
      <x:c r="K976" s="35" t="n">
        <x:v>0</x:v>
      </x:c>
      <x:c r="L976" s="35" t="n">
        <x:v>0</x:v>
      </x:c>
      <x:c r="M976" s="35" t="n">
        <x:v>3</x:v>
      </x:c>
      <x:c r="N976" s="35" t="str">
        <x:v>No</x:v>
      </x:c>
      <x:c r="O976" s="35" t="n">
        <x:v>2</x:v>
      </x:c>
      <x:c r="P976" s="35" t="n">
        <x:v>3</x:v>
      </x:c>
      <x:c r="Q976" s="35" t="n">
        <x:v>4</x:v>
      </x:c>
      <x:c r="R976" s="35" t="n">
        <x:v>2</x:v>
      </x:c>
      <x:c r="S976" s="35" t="n">
        <x:v>4</x:v>
      </x:c>
      <x:c r="T976" s="35" t="n">
        <x:v>2</x:v>
      </x:c>
      <x:c r="U976" s="35" t="n">
        <x:v>1</x:v>
      </x:c>
      <x:c r="V976" s="35" t="n">
        <x:v>0</x:v>
      </x:c>
      <x:c r="W976" s="35" t="n">
        <x:v>9</x:v>
      </x:c>
      <x:c r="X976" s="35" t="n">
        <x:v>68</x:v>
      </x:c>
      <x:c r="Y976" s="35" t="n">
        <x:v>5</x:v>
      </x:c>
      <x:c r="Z976" s="35" t="n">
        <x:v>100</x:v>
      </x:c>
      <x:c r="AA976" s="35" t="n">
        <x:v>2</x:v>
      </x:c>
      <x:c r="AB976" s="35" t="n">
        <x:v>1</x:v>
      </x:c>
      <x:c r="AC976" s="35" t="n">
        <x:v>1</x:v>
      </x:c>
      <x:c r="AD976" s="35" t="n">
        <x:v>90</x:v>
      </x:c>
      <x:c r="AE976" s="35" t="n">
        <x:v>78</x:v>
      </x:c>
      <x:c r="AF976" s="35" t="n">
        <x:v>63</x:v>
      </x:c>
      <x:c r="AG976" s="35" t="n">
        <x:v>81</x:v>
      </x:c>
      <x:c r="AH976" s="35" t="n">
        <x:v>6</x:v>
      </x:c>
      <x:c r="AI976" s="37" t="n">
        <x:v>95.8</x:v>
      </x:c>
      <x:c r="AJ976" s="37" t="n">
        <x:v>100</x:v>
      </x:c>
      <x:c r="AK976" s="35" t="str">
        <x:v>No</x:v>
      </x:c>
      <x:c r="AL976" s="38" t="n">
        <x:f>IF(AA976=0,0,AB976/AA976)</x:f>
        <x:v>0.5</x:v>
      </x:c>
      <x:c r="AM976" s="38" t="n">
        <x:f>IF(AB976=0,0,AC976/AB976)</x:f>
        <x:v>1</x:v>
      </x:c>
      <x:c r="AN976" s="37" t="n">
        <x:f>ROUND((AD976*0.20+AE976*0.20+AF976*0.25+AG976*0.15+MIN(100,AC976*12)*0.20),1)</x:f>
        <x:v>63.9</x:v>
      </x:c>
      <x:c r="AO976" s="37" t="n">
        <x:f>ROUND(MAX(0,MIN(100,(X976*0.35)+(W976/45*100*0.20)+((5-O976)/4*100*0.15)+((5-P976)/4*100*0.10)+((6-Y976)/5*100*0.10)+((100-Z976)*0.10))),1)</x:f>
        <x:v>46.1</x:v>
      </x:c>
      <x:c r="AP976" s="37" t="str">
        <x:f>IF(AO976&gt;=70,"High",IF(AO976&gt;=40,"Moderate","Low"))</x:f>
        <x:v>Moderate</x:v>
      </x:c>
      <x:c r="AQ976" s="37" t="n">
        <x:f>ROUND(MAX(0,MIN(100,(O976/4*100*0.25)+(P976/4*100*0.20)+(Q976/4*100*0.15)+(Y976/5*100*0.20)+(100-AO976)*0.20)),1)</x:f>
        <x:v>73.3</x:v>
      </x:c>
      <x:c r="AR976" s="37" t="n">
        <x:f>ROUND((AI976*0.20+AJ976*0.15+AN976*0.18+AG976*0.12+Z976*0.15+AQ976*0.20),1)</x:f>
        <x:v>85</x:v>
      </x:c>
      <x:c r="AS976" s="39" t="n">
        <x:f>ROUND((AC976*AF976*120)+(AH976*350)+(MAX(0,AI976-75)*220)+(MAX(0,AQ976-60)*100),0)</x:f>
        <x:v>15566</x:v>
      </x:c>
    </x:row>
    <x:row r="977">
      <x:c r="A977" s="35" t="n">
        <x:v>976</x:v>
      </x:c>
      <x:c r="B977" s="35" t="n">
        <x:v>27</x:v>
      </x:c>
      <x:c r="C977" s="35" t="str">
        <x:v>Male</x:v>
      </x:c>
      <x:c r="D977" s="35" t="str">
        <x:v>Sales</x:v>
      </x:c>
      <x:c r="E977" s="35" t="str">
        <x:v>Account Manager</x:v>
      </x:c>
      <x:c r="F977" s="35" t="str">
        <x:v>Marketing</x:v>
      </x:c>
      <x:c r="G977" s="35" t="str">
        <x:v>Single</x:v>
      </x:c>
      <x:c r="H977" s="35" t="n">
        <x:v>2</x:v>
      </x:c>
      <x:c r="I977" s="36" t="n">
        <x:v>8560</x:v>
      </x:c>
      <x:c r="J977" s="35" t="n">
        <x:v>5</x:v>
      </x:c>
      <x:c r="K977" s="35" t="n">
        <x:v>2</x:v>
      </x:c>
      <x:c r="L977" s="35" t="n">
        <x:v>1</x:v>
      </x:c>
      <x:c r="M977" s="35" t="n">
        <x:v>5</x:v>
      </x:c>
      <x:c r="N977" s="35" t="str">
        <x:v>No</x:v>
      </x:c>
      <x:c r="O977" s="35" t="n">
        <x:v>2</x:v>
      </x:c>
      <x:c r="P977" s="35" t="n">
        <x:v>3</x:v>
      </x:c>
      <x:c r="Q977" s="35" t="n">
        <x:v>3</x:v>
      </x:c>
      <x:c r="R977" s="35" t="n">
        <x:v>2</x:v>
      </x:c>
      <x:c r="S977" s="35" t="n">
        <x:v>4</x:v>
      </x:c>
      <x:c r="T977" s="35" t="n">
        <x:v>2</x:v>
      </x:c>
      <x:c r="U977" s="35" t="n">
        <x:v>0</x:v>
      </x:c>
      <x:c r="V977" s="35" t="n">
        <x:v>16</x:v>
      </x:c>
      <x:c r="W977" s="35" t="n">
        <x:v>5</x:v>
      </x:c>
      <x:c r="X977" s="35" t="n">
        <x:v>60</x:v>
      </x:c>
      <x:c r="Y977" s="35" t="n">
        <x:v>5</x:v>
      </x:c>
      <x:c r="Z977" s="35" t="n">
        <x:v>97</x:v>
      </x:c>
      <x:c r="AA977" s="35" t="n">
        <x:v>3</x:v>
      </x:c>
      <x:c r="AB977" s="35" t="n">
        <x:v>3</x:v>
      </x:c>
      <x:c r="AC977" s="35" t="n">
        <x:v>3</x:v>
      </x:c>
      <x:c r="AD977" s="35" t="n">
        <x:v>74</x:v>
      </x:c>
      <x:c r="AE977" s="35" t="n">
        <x:v>82</x:v>
      </x:c>
      <x:c r="AF977" s="35" t="n">
        <x:v>72</x:v>
      </x:c>
      <x:c r="AG977" s="35" t="n">
        <x:v>78</x:v>
      </x:c>
      <x:c r="AH977" s="35" t="n">
        <x:v>11</x:v>
      </x:c>
      <x:c r="AI977" s="37" t="n">
        <x:v>100</x:v>
      </x:c>
      <x:c r="AJ977" s="37" t="n">
        <x:v>100</x:v>
      </x:c>
      <x:c r="AK977" s="35" t="str">
        <x:v>No</x:v>
      </x:c>
      <x:c r="AL977" s="38" t="n">
        <x:f>IF(AA977=0,0,AB977/AA977)</x:f>
        <x:v>1</x:v>
      </x:c>
      <x:c r="AM977" s="38" t="n">
        <x:f>IF(AB977=0,0,AC977/AB977)</x:f>
        <x:v>1</x:v>
      </x:c>
      <x:c r="AN977" s="37" t="n">
        <x:f>ROUND((AD977*0.20+AE977*0.20+AF977*0.25+AG977*0.15+MIN(100,AC977*12)*0.20),1)</x:f>
        <x:v>68.1</x:v>
      </x:c>
      <x:c r="AO977" s="37" t="n">
        <x:f>ROUND(MAX(0,MIN(100,(X977*0.35)+(W977/45*100*0.20)+((5-O977)/4*100*0.15)+((5-P977)/4*100*0.10)+((6-Y977)/5*100*0.10)+((100-Z977)*0.10))),1)</x:f>
        <x:v>41.8</x:v>
      </x:c>
      <x:c r="AP977" s="37" t="str">
        <x:f>IF(AO977&gt;=70,"High",IF(AO977&gt;=40,"Moderate","Low"))</x:f>
        <x:v>Moderate</x:v>
      </x:c>
      <x:c r="AQ977" s="37" t="n">
        <x:f>ROUND(MAX(0,MIN(100,(O977/4*100*0.25)+(P977/4*100*0.20)+(Q977/4*100*0.15)+(Y977/5*100*0.20)+(100-AO977)*0.20)),1)</x:f>
        <x:v>70.4</x:v>
      </x:c>
      <x:c r="AR977" s="37" t="n">
        <x:f>ROUND((AI977*0.20+AJ977*0.15+AN977*0.18+AG977*0.12+Z977*0.15+AQ977*0.20),1)</x:f>
        <x:v>85.2</x:v>
      </x:c>
      <x:c r="AS977" s="39" t="n">
        <x:f>ROUND((AC977*AF977*120)+(AH977*350)+(MAX(0,AI977-75)*220)+(MAX(0,AQ977-60)*100),0)</x:f>
        <x:v>36310</x:v>
      </x:c>
    </x:row>
    <x:row r="978">
      <x:c r="A978" s="35" t="n">
        <x:v>977</x:v>
      </x:c>
      <x:c r="B978" s="35" t="n">
        <x:v>41</x:v>
      </x:c>
      <x:c r="C978" s="35" t="str">
        <x:v>Female</x:v>
      </x:c>
      <x:c r="D978" s="35" t="str">
        <x:v>Research &amp; Development</x:v>
      </x:c>
      <x:c r="E978" s="35" t="str">
        <x:v>Data Scientist</x:v>
      </x:c>
      <x:c r="F978" s="35" t="str">
        <x:v>Business</x:v>
      </x:c>
      <x:c r="G978" s="35" t="str">
        <x:v>Single</x:v>
      </x:c>
      <x:c r="H978" s="35" t="n">
        <x:v>3</x:v>
      </x:c>
      <x:c r="I978" s="36" t="n">
        <x:v>10930</x:v>
      </x:c>
      <x:c r="J978" s="35" t="n">
        <x:v>9</x:v>
      </x:c>
      <x:c r="K978" s="35" t="n">
        <x:v>3</x:v>
      </x:c>
      <x:c r="L978" s="35" t="n">
        <x:v>2</x:v>
      </x:c>
      <x:c r="M978" s="35" t="n">
        <x:v>9</x:v>
      </x:c>
      <x:c r="N978" s="35" t="str">
        <x:v>No</x:v>
      </x:c>
      <x:c r="O978" s="35" t="n">
        <x:v>3</x:v>
      </x:c>
      <x:c r="P978" s="35" t="n">
        <x:v>3</x:v>
      </x:c>
      <x:c r="Q978" s="35" t="n">
        <x:v>3</x:v>
      </x:c>
      <x:c r="R978" s="35" t="n">
        <x:v>3</x:v>
      </x:c>
      <x:c r="S978" s="35" t="n">
        <x:v>3</x:v>
      </x:c>
      <x:c r="T978" s="35" t="n">
        <x:v>3</x:v>
      </x:c>
      <x:c r="U978" s="35" t="n">
        <x:v>0</x:v>
      </x:c>
      <x:c r="V978" s="35" t="n">
        <x:v>10</x:v>
      </x:c>
      <x:c r="W978" s="35" t="n">
        <x:v>11</x:v>
      </x:c>
      <x:c r="X978" s="35" t="n">
        <x:v>68</x:v>
      </x:c>
      <x:c r="Y978" s="35" t="n">
        <x:v>4</x:v>
      </x:c>
      <x:c r="Z978" s="35" t="n">
        <x:v>100</x:v>
      </x:c>
      <x:c r="AA978" s="35" t="n">
        <x:v>11</x:v>
      </x:c>
      <x:c r="AB978" s="35" t="n">
        <x:v>7</x:v>
      </x:c>
      <x:c r="AC978" s="35" t="n">
        <x:v>6</x:v>
      </x:c>
      <x:c r="AD978" s="35" t="n">
        <x:v>91</x:v>
      </x:c>
      <x:c r="AE978" s="35" t="n">
        <x:v>92</x:v>
      </x:c>
      <x:c r="AF978" s="35" t="n">
        <x:v>100</x:v>
      </x:c>
      <x:c r="AG978" s="35" t="n">
        <x:v>84</x:v>
      </x:c>
      <x:c r="AH978" s="35" t="n">
        <x:v>12</x:v>
      </x:c>
      <x:c r="AI978" s="37" t="n">
        <x:v>100</x:v>
      </x:c>
      <x:c r="AJ978" s="37" t="n">
        <x:v>95</x:v>
      </x:c>
      <x:c r="AK978" s="35" t="str">
        <x:v>No</x:v>
      </x:c>
      <x:c r="AL978" s="38" t="n">
        <x:f>IF(AA978=0,0,AB978/AA978)</x:f>
        <x:v>0.6363636363636364</x:v>
      </x:c>
      <x:c r="AM978" s="38" t="n">
        <x:f>IF(AB978=0,0,AC978/AB978)</x:f>
        <x:v>0.8571428571428571</x:v>
      </x:c>
      <x:c r="AN978" s="37" t="n">
        <x:f>ROUND((AD978*0.20+AE978*0.20+AF978*0.25+AG978*0.15+MIN(100,AC978*12)*0.20),1)</x:f>
        <x:v>88.6</x:v>
      </x:c>
      <x:c r="AO978" s="37" t="n">
        <x:f>ROUND(MAX(0,MIN(100,(X978*0.35)+(W978/45*100*0.20)+((5-O978)/4*100*0.15)+((5-P978)/4*100*0.10)+((6-Y978)/5*100*0.10)+((100-Z978)*0.10))),1)</x:f>
        <x:v>45.2</x:v>
      </x:c>
      <x:c r="AP978" s="37" t="str">
        <x:f>IF(AO978&gt;=70,"High",IF(AO978&gt;=40,"Moderate","Low"))</x:f>
        <x:v>Moderate</x:v>
      </x:c>
      <x:c r="AQ978" s="37" t="n">
        <x:f>ROUND(MAX(0,MIN(100,(O978/4*100*0.25)+(P978/4*100*0.20)+(Q978/4*100*0.15)+(Y978/5*100*0.20)+(100-AO978)*0.20)),1)</x:f>
        <x:v>72</x:v>
      </x:c>
      <x:c r="AR978" s="37" t="n">
        <x:f>ROUND((AI978*0.20+AJ978*0.15+AN978*0.18+AG978*0.12+Z978*0.15+AQ978*0.20),1)</x:f>
        <x:v>89.7</x:v>
      </x:c>
      <x:c r="AS978" s="39" t="n">
        <x:f>ROUND((AC978*AF978*120)+(AH978*350)+(MAX(0,AI978-75)*220)+(MAX(0,AQ978-60)*100),0)</x:f>
        <x:v>82900</x:v>
      </x:c>
    </x:row>
    <x:row r="979">
      <x:c r="A979" s="35" t="n">
        <x:v>978</x:v>
      </x:c>
      <x:c r="B979" s="35" t="n">
        <x:v>47</x:v>
      </x:c>
      <x:c r="C979" s="35" t="str">
        <x:v>Female</x:v>
      </x:c>
      <x:c r="D979" s="35" t="str">
        <x:v>Operations</x:v>
      </x:c>
      <x:c r="E979" s="35" t="str">
        <x:v>Operations Specialist</x:v>
      </x:c>
      <x:c r="F979" s="35" t="str">
        <x:v>Technical Degree</x:v>
      </x:c>
      <x:c r="G979" s="35" t="str">
        <x:v>Divorced</x:v>
      </x:c>
      <x:c r="H979" s="35" t="n">
        <x:v>3</x:v>
      </x:c>
      <x:c r="I979" s="36" t="n">
        <x:v>12140</x:v>
      </x:c>
      <x:c r="J979" s="35" t="n">
        <x:v>20</x:v>
      </x:c>
      <x:c r="K979" s="35" t="n">
        <x:v>9</x:v>
      </x:c>
      <x:c r="L979" s="35" t="n">
        <x:v>7</x:v>
      </x:c>
      <x:c r="M979" s="35" t="n">
        <x:v>2</x:v>
      </x:c>
      <x:c r="N979" s="35" t="str">
        <x:v>No</x:v>
      </x:c>
      <x:c r="O979" s="35" t="n">
        <x:v>3</x:v>
      </x:c>
      <x:c r="P979" s="35" t="n">
        <x:v>4</x:v>
      </x:c>
      <x:c r="Q979" s="35" t="n">
        <x:v>3</x:v>
      </x:c>
      <x:c r="R979" s="35" t="n">
        <x:v>4</x:v>
      </x:c>
      <x:c r="S979" s="35" t="n">
        <x:v>3</x:v>
      </x:c>
      <x:c r="T979" s="35" t="n">
        <x:v>3</x:v>
      </x:c>
      <x:c r="U979" s="35" t="n">
        <x:v>2</x:v>
      </x:c>
      <x:c r="V979" s="35" t="n">
        <x:v>2</x:v>
      </x:c>
      <x:c r="W979" s="35" t="n">
        <x:v>13</x:v>
      </x:c>
      <x:c r="X979" s="35" t="n">
        <x:v>59</x:v>
      </x:c>
      <x:c r="Y979" s="35" t="n">
        <x:v>4</x:v>
      </x:c>
      <x:c r="Z979" s="35" t="n">
        <x:v>100</x:v>
      </x:c>
      <x:c r="AA979" s="35" t="n">
        <x:v>11</x:v>
      </x:c>
      <x:c r="AB979" s="35" t="n">
        <x:v>6</x:v>
      </x:c>
      <x:c r="AC979" s="35" t="n">
        <x:v>5</x:v>
      </x:c>
      <x:c r="AD979" s="35" t="n">
        <x:v>98</x:v>
      </x:c>
      <x:c r="AE979" s="35" t="n">
        <x:v>92</x:v>
      </x:c>
      <x:c r="AF979" s="35" t="n">
        <x:v>72</x:v>
      </x:c>
      <x:c r="AG979" s="35" t="n">
        <x:v>95</x:v>
      </x:c>
      <x:c r="AH979" s="35" t="n">
        <x:v>10</x:v>
      </x:c>
      <x:c r="AI979" s="37" t="n">
        <x:v>99.7</x:v>
      </x:c>
      <x:c r="AJ979" s="37" t="n">
        <x:v>96.7</x:v>
      </x:c>
      <x:c r="AK979" s="35" t="str">
        <x:v>No</x:v>
      </x:c>
      <x:c r="AL979" s="38" t="n">
        <x:f>IF(AA979=0,0,AB979/AA979)</x:f>
        <x:v>0.5454545454545454</x:v>
      </x:c>
      <x:c r="AM979" s="38" t="n">
        <x:f>IF(AB979=0,0,AC979/AB979)</x:f>
        <x:v>0.8333333333333334</x:v>
      </x:c>
      <x:c r="AN979" s="37" t="n">
        <x:f>ROUND((AD979*0.20+AE979*0.20+AF979*0.25+AG979*0.15+MIN(100,AC979*12)*0.20),1)</x:f>
        <x:v>82.3</x:v>
      </x:c>
      <x:c r="AO979" s="37" t="n">
        <x:f>ROUND(MAX(0,MIN(100,(X979*0.35)+(W979/45*100*0.20)+((5-O979)/4*100*0.15)+((5-P979)/4*100*0.10)+((6-Y979)/5*100*0.10)+((100-Z979)*0.10))),1)</x:f>
        <x:v>40.4</x:v>
      </x:c>
      <x:c r="AP979" s="37" t="str">
        <x:f>IF(AO979&gt;=70,"High",IF(AO979&gt;=40,"Moderate","Low"))</x:f>
        <x:v>Moderate</x:v>
      </x:c>
      <x:c r="AQ979" s="37" t="n">
        <x:f>ROUND(MAX(0,MIN(100,(O979/4*100*0.25)+(P979/4*100*0.20)+(Q979/4*100*0.15)+(Y979/5*100*0.20)+(100-AO979)*0.20)),1)</x:f>
        <x:v>77.9</x:v>
      </x:c>
      <x:c r="AR979" s="37" t="n">
        <x:f>ROUND((AI979*0.20+AJ979*0.15+AN979*0.18+AG979*0.12+Z979*0.15+AQ979*0.20),1)</x:f>
        <x:v>91.2</x:v>
      </x:c>
      <x:c r="AS979" s="39" t="n">
        <x:f>ROUND((AC979*AF979*120)+(AH979*350)+(MAX(0,AI979-75)*220)+(MAX(0,AQ979-60)*100),0)</x:f>
        <x:v>53924</x:v>
      </x:c>
    </x:row>
    <x:row r="980">
      <x:c r="A980" s="35" t="n">
        <x:v>979</x:v>
      </x:c>
      <x:c r="B980" s="35" t="n">
        <x:v>33</x:v>
      </x:c>
      <x:c r="C980" s="35" t="str">
        <x:v>Male</x:v>
      </x:c>
      <x:c r="D980" s="35" t="str">
        <x:v>Research &amp; Development</x:v>
      </x:c>
      <x:c r="E980" s="35" t="str">
        <x:v>R&amp;D Manager</x:v>
      </x:c>
      <x:c r="F980" s="35" t="str">
        <x:v>Human Resources</x:v>
      </x:c>
      <x:c r="G980" s="35" t="str">
        <x:v>Married</x:v>
      </x:c>
      <x:c r="H980" s="35" t="n">
        <x:v>1</x:v>
      </x:c>
      <x:c r="I980" s="36" t="n">
        <x:v>4690</x:v>
      </x:c>
      <x:c r="J980" s="35" t="n">
        <x:v>9</x:v>
      </x:c>
      <x:c r="K980" s="35" t="n">
        <x:v>6</x:v>
      </x:c>
      <x:c r="L980" s="35" t="n">
        <x:v>2</x:v>
      </x:c>
      <x:c r="M980" s="35" t="n">
        <x:v>8</x:v>
      </x:c>
      <x:c r="N980" s="35" t="str">
        <x:v>No</x:v>
      </x:c>
      <x:c r="O980" s="35" t="n">
        <x:v>3</x:v>
      </x:c>
      <x:c r="P980" s="35" t="n">
        <x:v>4</x:v>
      </x:c>
      <x:c r="Q980" s="35" t="n">
        <x:v>3</x:v>
      </x:c>
      <x:c r="R980" s="35" t="n">
        <x:v>2</x:v>
      </x:c>
      <x:c r="S980" s="35" t="n">
        <x:v>3</x:v>
      </x:c>
      <x:c r="T980" s="35" t="n">
        <x:v>1</x:v>
      </x:c>
      <x:c r="U980" s="35" t="n">
        <x:v>0</x:v>
      </x:c>
      <x:c r="V980" s="35" t="n">
        <x:v>3</x:v>
      </x:c>
      <x:c r="W980" s="35" t="n">
        <x:v>1</x:v>
      </x:c>
      <x:c r="X980" s="35" t="n">
        <x:v>67</x:v>
      </x:c>
      <x:c r="Y980" s="35" t="n">
        <x:v>5</x:v>
      </x:c>
      <x:c r="Z980" s="35" t="n">
        <x:v>92</x:v>
      </x:c>
      <x:c r="AA980" s="35" t="n">
        <x:v>10</x:v>
      </x:c>
      <x:c r="AB980" s="35" t="n">
        <x:v>10</x:v>
      </x:c>
      <x:c r="AC980" s="35" t="n">
        <x:v>8</x:v>
      </x:c>
      <x:c r="AD980" s="35" t="n">
        <x:v>91</x:v>
      </x:c>
      <x:c r="AE980" s="35" t="n">
        <x:v>82</x:v>
      </x:c>
      <x:c r="AF980" s="35" t="n">
        <x:v>89</x:v>
      </x:c>
      <x:c r="AG980" s="35" t="n">
        <x:v>78</x:v>
      </x:c>
      <x:c r="AH980" s="35" t="n">
        <x:v>9</x:v>
      </x:c>
      <x:c r="AI980" s="37" t="n">
        <x:v>97.8</x:v>
      </x:c>
      <x:c r="AJ980" s="37" t="n">
        <x:v>97.8</x:v>
      </x:c>
      <x:c r="AK980" s="35" t="str">
        <x:v>No</x:v>
      </x:c>
      <x:c r="AL980" s="38" t="n">
        <x:f>IF(AA980=0,0,AB980/AA980)</x:f>
        <x:v>1</x:v>
      </x:c>
      <x:c r="AM980" s="38" t="n">
        <x:f>IF(AB980=0,0,AC980/AB980)</x:f>
        <x:v>0.8</x:v>
      </x:c>
      <x:c r="AN980" s="37" t="n">
        <x:f>ROUND((AD980*0.20+AE980*0.20+AF980*0.25+AG980*0.15+MIN(100,AC980*12)*0.20),1)</x:f>
        <x:v>87.8</x:v>
      </x:c>
      <x:c r="AO980" s="37" t="n">
        <x:f>ROUND(MAX(0,MIN(100,(X980*0.35)+(W980/45*100*0.20)+((5-O980)/4*100*0.15)+((5-P980)/4*100*0.10)+((6-Y980)/5*100*0.10)+((100-Z980)*0.10))),1)</x:f>
        <x:v>36.7</x:v>
      </x:c>
      <x:c r="AP980" s="37" t="str">
        <x:f>IF(AO980&gt;=70,"High",IF(AO980&gt;=40,"Moderate","Low"))</x:f>
        <x:v>Low</x:v>
      </x:c>
      <x:c r="AQ980" s="37" t="n">
        <x:f>ROUND(MAX(0,MIN(100,(O980/4*100*0.25)+(P980/4*100*0.20)+(Q980/4*100*0.15)+(Y980/5*100*0.20)+(100-AO980)*0.20)),1)</x:f>
        <x:v>82.7</x:v>
      </x:c>
      <x:c r="AR980" s="37" t="n">
        <x:f>ROUND((AI980*0.20+AJ980*0.15+AN980*0.18+AG980*0.12+Z980*0.15+AQ980*0.20),1)</x:f>
        <x:v>89.7</x:v>
      </x:c>
      <x:c r="AS980" s="39" t="n">
        <x:f>ROUND((AC980*AF980*120)+(AH980*350)+(MAX(0,AI980-75)*220)+(MAX(0,AQ980-60)*100),0)</x:f>
        <x:v>95876</x:v>
      </x:c>
    </x:row>
    <x:row r="981">
      <x:c r="A981" s="35" t="n">
        <x:v>980</x:v>
      </x:c>
      <x:c r="B981" s="35" t="n">
        <x:v>37</x:v>
      </x:c>
      <x:c r="C981" s="35" t="str">
        <x:v>Male</x:v>
      </x:c>
      <x:c r="D981" s="35" t="str">
        <x:v>Operations</x:v>
      </x:c>
      <x:c r="E981" s="35" t="str">
        <x:v>Operations Manager</x:v>
      </x:c>
      <x:c r="F981" s="35" t="str">
        <x:v>Business</x:v>
      </x:c>
      <x:c r="G981" s="35" t="str">
        <x:v>Married</x:v>
      </x:c>
      <x:c r="H981" s="35" t="n">
        <x:v>3</x:v>
      </x:c>
      <x:c r="I981" s="36" t="n">
        <x:v>14170</x:v>
      </x:c>
      <x:c r="J981" s="35" t="n">
        <x:v>12</x:v>
      </x:c>
      <x:c r="K981" s="35" t="n">
        <x:v>7</x:v>
      </x:c>
      <x:c r="L981" s="35" t="n">
        <x:v>3</x:v>
      </x:c>
      <x:c r="M981" s="35" t="n">
        <x:v>9</x:v>
      </x:c>
      <x:c r="N981" s="35" t="str">
        <x:v>No</x:v>
      </x:c>
      <x:c r="O981" s="35" t="n">
        <x:v>2</x:v>
      </x:c>
      <x:c r="P981" s="35" t="n">
        <x:v>2</x:v>
      </x:c>
      <x:c r="Q981" s="35" t="n">
        <x:v>3</x:v>
      </x:c>
      <x:c r="R981" s="35" t="n">
        <x:v>2</x:v>
      </x:c>
      <x:c r="S981" s="35" t="n">
        <x:v>4</x:v>
      </x:c>
      <x:c r="T981" s="35" t="n">
        <x:v>4</x:v>
      </x:c>
      <x:c r="U981" s="35" t="n">
        <x:v>2</x:v>
      </x:c>
      <x:c r="V981" s="35" t="n">
        <x:v>7</x:v>
      </x:c>
      <x:c r="W981" s="35" t="n">
        <x:v>0</x:v>
      </x:c>
      <x:c r="X981" s="35" t="n">
        <x:v>89</x:v>
      </x:c>
      <x:c r="Y981" s="35" t="n">
        <x:v>3</x:v>
      </x:c>
      <x:c r="Z981" s="35" t="n">
        <x:v>76</x:v>
      </x:c>
      <x:c r="AA981" s="35" t="n">
        <x:v>2</x:v>
      </x:c>
      <x:c r="AB981" s="35" t="n">
        <x:v>2</x:v>
      </x:c>
      <x:c r="AC981" s="35" t="n">
        <x:v>2</x:v>
      </x:c>
      <x:c r="AD981" s="35" t="n">
        <x:v>63</x:v>
      </x:c>
      <x:c r="AE981" s="35" t="n">
        <x:v>78</x:v>
      </x:c>
      <x:c r="AF981" s="35" t="n">
        <x:v>91</x:v>
      </x:c>
      <x:c r="AG981" s="35" t="n">
        <x:v>78</x:v>
      </x:c>
      <x:c r="AH981" s="35" t="n">
        <x:v>9</x:v>
      </x:c>
      <x:c r="AI981" s="37" t="n">
        <x:v>97.1</x:v>
      </x:c>
      <x:c r="AJ981" s="37" t="n">
        <x:v>100</x:v>
      </x:c>
      <x:c r="AK981" s="35" t="str">
        <x:v>No</x:v>
      </x:c>
      <x:c r="AL981" s="38" t="n">
        <x:f>IF(AA981=0,0,AB981/AA981)</x:f>
        <x:v>1</x:v>
      </x:c>
      <x:c r="AM981" s="38" t="n">
        <x:f>IF(AB981=0,0,AC981/AB981)</x:f>
        <x:v>1</x:v>
      </x:c>
      <x:c r="AN981" s="37" t="n">
        <x:f>ROUND((AD981*0.20+AE981*0.20+AF981*0.25+AG981*0.15+MIN(100,AC981*12)*0.20),1)</x:f>
        <x:v>67.5</x:v>
      </x:c>
      <x:c r="AO981" s="37" t="n">
        <x:f>ROUND(MAX(0,MIN(100,(X981*0.35)+(W981/45*100*0.20)+((5-O981)/4*100*0.15)+((5-P981)/4*100*0.10)+((6-Y981)/5*100*0.10)+((100-Z981)*0.10))),1)</x:f>
        <x:v>58.3</x:v>
      </x:c>
      <x:c r="AP981" s="37" t="str">
        <x:f>IF(AO981&gt;=70,"High",IF(AO981&gt;=40,"Moderate","Low"))</x:f>
        <x:v>Moderate</x:v>
      </x:c>
      <x:c r="AQ981" s="37" t="n">
        <x:f>ROUND(MAX(0,MIN(100,(O981/4*100*0.25)+(P981/4*100*0.20)+(Q981/4*100*0.15)+(Y981/5*100*0.20)+(100-AO981)*0.20)),1)</x:f>
        <x:v>54.1</x:v>
      </x:c>
      <x:c r="AR981" s="37" t="n">
        <x:f>ROUND((AI981*0.20+AJ981*0.15+AN981*0.18+AG981*0.12+Z981*0.15+AQ981*0.20),1)</x:f>
        <x:v>78.2</x:v>
      </x:c>
      <x:c r="AS981" s="39" t="n">
        <x:f>ROUND((AC981*AF981*120)+(AH981*350)+(MAX(0,AI981-75)*220)+(MAX(0,AQ981-60)*100),0)</x:f>
        <x:v>29852</x:v>
      </x:c>
    </x:row>
    <x:row r="982">
      <x:c r="A982" s="35" t="n">
        <x:v>981</x:v>
      </x:c>
      <x:c r="B982" s="35" t="n">
        <x:v>24</x:v>
      </x:c>
      <x:c r="C982" s="35" t="str">
        <x:v>Female</x:v>
      </x:c>
      <x:c r="D982" s="35" t="str">
        <x:v>Sales</x:v>
      </x:c>
      <x:c r="E982" s="35" t="str">
        <x:v>Account Manager</x:v>
      </x:c>
      <x:c r="F982" s="35" t="str">
        <x:v>Human Resources</x:v>
      </x:c>
      <x:c r="G982" s="35" t="str">
        <x:v>Married</x:v>
      </x:c>
      <x:c r="H982" s="35" t="n">
        <x:v>2</x:v>
      </x:c>
      <x:c r="I982" s="36" t="n">
        <x:v>7330</x:v>
      </x:c>
      <x:c r="J982" s="35" t="n">
        <x:v>2</x:v>
      </x:c>
      <x:c r="K982" s="35" t="n">
        <x:v>1</x:v>
      </x:c>
      <x:c r="L982" s="35" t="n">
        <x:v>0</x:v>
      </x:c>
      <x:c r="M982" s="35" t="n">
        <x:v>7</x:v>
      </x:c>
      <x:c r="N982" s="35" t="str">
        <x:v>Yes</x:v>
      </x:c>
      <x:c r="O982" s="35" t="n">
        <x:v>2</x:v>
      </x:c>
      <x:c r="P982" s="35" t="n">
        <x:v>4</x:v>
      </x:c>
      <x:c r="Q982" s="35" t="n">
        <x:v>3</x:v>
      </x:c>
      <x:c r="R982" s="35" t="n">
        <x:v>2</x:v>
      </x:c>
      <x:c r="S982" s="35" t="n">
        <x:v>3</x:v>
      </x:c>
      <x:c r="T982" s="35" t="n">
        <x:v>3</x:v>
      </x:c>
      <x:c r="U982" s="35" t="n">
        <x:v>0</x:v>
      </x:c>
      <x:c r="V982" s="35" t="n">
        <x:v>7</x:v>
      </x:c>
      <x:c r="W982" s="35" t="n">
        <x:v>18</x:v>
      </x:c>
      <x:c r="X982" s="35" t="n">
        <x:v>72</x:v>
      </x:c>
      <x:c r="Y982" s="35" t="n">
        <x:v>4</x:v>
      </x:c>
      <x:c r="Z982" s="35" t="n">
        <x:v>92</x:v>
      </x:c>
      <x:c r="AA982" s="35" t="n">
        <x:v>9</x:v>
      </x:c>
      <x:c r="AB982" s="35" t="n">
        <x:v>5</x:v>
      </x:c>
      <x:c r="AC982" s="35" t="n">
        <x:v>5</x:v>
      </x:c>
      <x:c r="AD982" s="35" t="n">
        <x:v>85</x:v>
      </x:c>
      <x:c r="AE982" s="35" t="n">
        <x:v>72</x:v>
      </x:c>
      <x:c r="AF982" s="35" t="n">
        <x:v>81</x:v>
      </x:c>
      <x:c r="AG982" s="35" t="n">
        <x:v>79</x:v>
      </x:c>
      <x:c r="AH982" s="35" t="n">
        <x:v>8</x:v>
      </x:c>
      <x:c r="AI982" s="37" t="n">
        <x:v>99.8</x:v>
      </x:c>
      <x:c r="AJ982" s="37" t="n">
        <x:v>97</x:v>
      </x:c>
      <x:c r="AK982" s="35" t="str">
        <x:v>No</x:v>
      </x:c>
      <x:c r="AL982" s="38" t="n">
        <x:f>IF(AA982=0,0,AB982/AA982)</x:f>
        <x:v>0.5555555555555556</x:v>
      </x:c>
      <x:c r="AM982" s="38" t="n">
        <x:f>IF(AB982=0,0,AC982/AB982)</x:f>
        <x:v>1</x:v>
      </x:c>
      <x:c r="AN982" s="37" t="n">
        <x:f>ROUND((AD982*0.20+AE982*0.20+AF982*0.25+AG982*0.15+MIN(100,AC982*12)*0.20),1)</x:f>
        <x:v>75.5</x:v>
      </x:c>
      <x:c r="AO982" s="37" t="n">
        <x:f>ROUND(MAX(0,MIN(100,(X982*0.35)+(W982/45*100*0.20)+((5-O982)/4*100*0.15)+((5-P982)/4*100*0.10)+((6-Y982)/5*100*0.10)+((100-Z982)*0.10))),1)</x:f>
        <x:v>51.8</x:v>
      </x:c>
      <x:c r="AP982" s="37" t="str">
        <x:f>IF(AO982&gt;=70,"High",IF(AO982&gt;=40,"Moderate","Low"))</x:f>
        <x:v>Moderate</x:v>
      </x:c>
      <x:c r="AQ982" s="37" t="n">
        <x:f>ROUND(MAX(0,MIN(100,(O982/4*100*0.25)+(P982/4*100*0.20)+(Q982/4*100*0.15)+(Y982/5*100*0.20)+(100-AO982)*0.20)),1)</x:f>
        <x:v>69.4</x:v>
      </x:c>
      <x:c r="AR982" s="37" t="n">
        <x:f>ROUND((AI982*0.20+AJ982*0.15+AN982*0.18+AG982*0.12+Z982*0.15+AQ982*0.20),1)</x:f>
        <x:v>85.3</x:v>
      </x:c>
      <x:c r="AS982" s="39" t="n">
        <x:f>ROUND((AC982*AF982*120)+(AH982*350)+(MAX(0,AI982-75)*220)+(MAX(0,AQ982-60)*100),0)</x:f>
        <x:v>57796</x:v>
      </x:c>
    </x:row>
    <x:row r="983">
      <x:c r="A983" s="35" t="n">
        <x:v>982</x:v>
      </x:c>
      <x:c r="B983" s="35" t="n">
        <x:v>35</x:v>
      </x:c>
      <x:c r="C983" s="35" t="str">
        <x:v>Female</x:v>
      </x:c>
      <x:c r="D983" s="35" t="str">
        <x:v>Sales</x:v>
      </x:c>
      <x:c r="E983" s="35" t="str">
        <x:v>Sales Representative</x:v>
      </x:c>
      <x:c r="F983" s="35" t="str">
        <x:v>Technical Degree</x:v>
      </x:c>
      <x:c r="G983" s="35" t="str">
        <x:v>Married</x:v>
      </x:c>
      <x:c r="H983" s="35" t="n">
        <x:v>1</x:v>
      </x:c>
      <x:c r="I983" s="36" t="n">
        <x:v>4820</x:v>
      </x:c>
      <x:c r="J983" s="35" t="n">
        <x:v>9</x:v>
      </x:c>
      <x:c r="K983" s="35" t="n">
        <x:v>7</x:v>
      </x:c>
      <x:c r="L983" s="35" t="n">
        <x:v>2</x:v>
      </x:c>
      <x:c r="M983" s="35" t="n">
        <x:v>10</x:v>
      </x:c>
      <x:c r="N983" s="35" t="str">
        <x:v>No</x:v>
      </x:c>
      <x:c r="O983" s="35" t="n">
        <x:v>4</x:v>
      </x:c>
      <x:c r="P983" s="35" t="n">
        <x:v>3</x:v>
      </x:c>
      <x:c r="Q983" s="35" t="n">
        <x:v>3</x:v>
      </x:c>
      <x:c r="R983" s="35" t="n">
        <x:v>3</x:v>
      </x:c>
      <x:c r="S983" s="35" t="n">
        <x:v>3</x:v>
      </x:c>
      <x:c r="T983" s="35" t="n">
        <x:v>4</x:v>
      </x:c>
      <x:c r="U983" s="35" t="n">
        <x:v>0</x:v>
      </x:c>
      <x:c r="V983" s="35" t="n">
        <x:v>2</x:v>
      </x:c>
      <x:c r="W983" s="35" t="n">
        <x:v>0</x:v>
      </x:c>
      <x:c r="X983" s="35" t="n">
        <x:v>79</x:v>
      </x:c>
      <x:c r="Y983" s="35" t="n">
        <x:v>4</x:v>
      </x:c>
      <x:c r="Z983" s="35" t="n">
        <x:v>100</x:v>
      </x:c>
      <x:c r="AA983" s="35" t="n">
        <x:v>5</x:v>
      </x:c>
      <x:c r="AB983" s="35" t="n">
        <x:v>3</x:v>
      </x:c>
      <x:c r="AC983" s="35" t="n">
        <x:v>3</x:v>
      </x:c>
      <x:c r="AD983" s="35" t="n">
        <x:v>76</x:v>
      </x:c>
      <x:c r="AE983" s="35" t="n">
        <x:v>93</x:v>
      </x:c>
      <x:c r="AF983" s="35" t="n">
        <x:v>95</x:v>
      </x:c>
      <x:c r="AG983" s="35" t="n">
        <x:v>93</x:v>
      </x:c>
      <x:c r="AH983" s="35" t="n">
        <x:v>7</x:v>
      </x:c>
      <x:c r="AI983" s="37" t="n">
        <x:v>100</x:v>
      </x:c>
      <x:c r="AJ983" s="37" t="n">
        <x:v>93.1</x:v>
      </x:c>
      <x:c r="AK983" s="35" t="str">
        <x:v>No</x:v>
      </x:c>
      <x:c r="AL983" s="38" t="n">
        <x:f>IF(AA983=0,0,AB983/AA983)</x:f>
        <x:v>0.6</x:v>
      </x:c>
      <x:c r="AM983" s="38" t="n">
        <x:f>IF(AB983=0,0,AC983/AB983)</x:f>
        <x:v>1</x:v>
      </x:c>
      <x:c r="AN983" s="37" t="n">
        <x:f>ROUND((AD983*0.20+AE983*0.20+AF983*0.25+AG983*0.15+MIN(100,AC983*12)*0.20),1)</x:f>
        <x:v>78.7</x:v>
      </x:c>
      <x:c r="AO983" s="37" t="n">
        <x:f>ROUND(MAX(0,MIN(100,(X983*0.35)+(W983/45*100*0.20)+((5-O983)/4*100*0.15)+((5-P983)/4*100*0.10)+((6-Y983)/5*100*0.10)+((100-Z983)*0.10))),1)</x:f>
        <x:v>40.4</x:v>
      </x:c>
      <x:c r="AP983" s="37" t="str">
        <x:f>IF(AO983&gt;=70,"High",IF(AO983&gt;=40,"Moderate","Low"))</x:f>
        <x:v>Moderate</x:v>
      </x:c>
      <x:c r="AQ983" s="37" t="n">
        <x:f>ROUND(MAX(0,MIN(100,(O983/4*100*0.25)+(P983/4*100*0.20)+(Q983/4*100*0.15)+(Y983/5*100*0.20)+(100-AO983)*0.20)),1)</x:f>
        <x:v>79.2</x:v>
      </x:c>
      <x:c r="AR983" s="37" t="n">
        <x:f>ROUND((AI983*0.20+AJ983*0.15+AN983*0.18+AG983*0.12+Z983*0.15+AQ983*0.20),1)</x:f>
        <x:v>90.1</x:v>
      </x:c>
      <x:c r="AS983" s="39" t="n">
        <x:f>ROUND((AC983*AF983*120)+(AH983*350)+(MAX(0,AI983-75)*220)+(MAX(0,AQ983-60)*100),0)</x:f>
        <x:v>44070</x:v>
      </x:c>
    </x:row>
    <x:row r="984">
      <x:c r="A984" s="35" t="n">
        <x:v>983</x:v>
      </x:c>
      <x:c r="B984" s="35" t="n">
        <x:v>25</x:v>
      </x:c>
      <x:c r="C984" s="35" t="str">
        <x:v>Male</x:v>
      </x:c>
      <x:c r="D984" s="35" t="str">
        <x:v>Sales</x:v>
      </x:c>
      <x:c r="E984" s="35" t="str">
        <x:v>Sales Representative</x:v>
      </x:c>
      <x:c r="F984" s="35" t="str">
        <x:v>Medical</x:v>
      </x:c>
      <x:c r="G984" s="35" t="str">
        <x:v>Single</x:v>
      </x:c>
      <x:c r="H984" s="35" t="n">
        <x:v>1</x:v>
      </x:c>
      <x:c r="I984" s="36" t="n">
        <x:v>6170</x:v>
      </x:c>
      <x:c r="J984" s="35" t="n">
        <x:v>2</x:v>
      </x:c>
      <x:c r="K984" s="35" t="n">
        <x:v>1</x:v>
      </x:c>
      <x:c r="L984" s="35" t="n">
        <x:v>0</x:v>
      </x:c>
      <x:c r="M984" s="35" t="n">
        <x:v>6</x:v>
      </x:c>
      <x:c r="N984" s="35" t="str">
        <x:v>No</x:v>
      </x:c>
      <x:c r="O984" s="35" t="n">
        <x:v>3</x:v>
      </x:c>
      <x:c r="P984" s="35" t="n">
        <x:v>3</x:v>
      </x:c>
      <x:c r="Q984" s="35" t="n">
        <x:v>2</x:v>
      </x:c>
      <x:c r="R984" s="35" t="n">
        <x:v>3</x:v>
      </x:c>
      <x:c r="S984" s="35" t="n">
        <x:v>3</x:v>
      </x:c>
      <x:c r="T984" s="35" t="n">
        <x:v>5</x:v>
      </x:c>
      <x:c r="U984" s="35" t="n">
        <x:v>1</x:v>
      </x:c>
      <x:c r="V984" s="35" t="n">
        <x:v>2</x:v>
      </x:c>
      <x:c r="W984" s="35" t="n">
        <x:v>7</x:v>
      </x:c>
      <x:c r="X984" s="35" t="n">
        <x:v>57</x:v>
      </x:c>
      <x:c r="Y984" s="35" t="n">
        <x:v>5</x:v>
      </x:c>
      <x:c r="Z984" s="35" t="n">
        <x:v>100</x:v>
      </x:c>
      <x:c r="AA984" s="35" t="n">
        <x:v>7</x:v>
      </x:c>
      <x:c r="AB984" s="35" t="n">
        <x:v>5</x:v>
      </x:c>
      <x:c r="AC984" s="35" t="n">
        <x:v>4</x:v>
      </x:c>
      <x:c r="AD984" s="35" t="n">
        <x:v>72</x:v>
      </x:c>
      <x:c r="AE984" s="35" t="n">
        <x:v>89</x:v>
      </x:c>
      <x:c r="AF984" s="35" t="n">
        <x:v>77</x:v>
      </x:c>
      <x:c r="AG984" s="35" t="n">
        <x:v>74</x:v>
      </x:c>
      <x:c r="AH984" s="35" t="n">
        <x:v>8</x:v>
      </x:c>
      <x:c r="AI984" s="37" t="n">
        <x:v>88.7</x:v>
      </x:c>
      <x:c r="AJ984" s="37" t="n">
        <x:v>96.1</x:v>
      </x:c>
      <x:c r="AK984" s="35" t="str">
        <x:v>No</x:v>
      </x:c>
      <x:c r="AL984" s="38" t="n">
        <x:f>IF(AA984=0,0,AB984/AA984)</x:f>
        <x:v>0.7142857142857143</x:v>
      </x:c>
      <x:c r="AM984" s="38" t="n">
        <x:f>IF(AB984=0,0,AC984/AB984)</x:f>
        <x:v>0.8</x:v>
      </x:c>
      <x:c r="AN984" s="37" t="n">
        <x:f>ROUND((AD984*0.20+AE984*0.20+AF984*0.25+AG984*0.15+MIN(100,AC984*12)*0.20),1)</x:f>
        <x:v>72.2</x:v>
      </x:c>
      <x:c r="AO984" s="37" t="n">
        <x:f>ROUND(MAX(0,MIN(100,(X984*0.35)+(W984/45*100*0.20)+((5-O984)/4*100*0.15)+((5-P984)/4*100*0.10)+((6-Y984)/5*100*0.10)+((100-Z984)*0.10))),1)</x:f>
        <x:v>37.6</x:v>
      </x:c>
      <x:c r="AP984" s="37" t="str">
        <x:f>IF(AO984&gt;=70,"High",IF(AO984&gt;=40,"Moderate","Low"))</x:f>
        <x:v>Low</x:v>
      </x:c>
      <x:c r="AQ984" s="37" t="n">
        <x:f>ROUND(MAX(0,MIN(100,(O984/4*100*0.25)+(P984/4*100*0.20)+(Q984/4*100*0.15)+(Y984/5*100*0.20)+(100-AO984)*0.20)),1)</x:f>
        <x:v>73.7</x:v>
      </x:c>
      <x:c r="AR984" s="37" t="n">
        <x:f>ROUND((AI984*0.20+AJ984*0.15+AN984*0.18+AG984*0.12+Z984*0.15+AQ984*0.20),1)</x:f>
        <x:v>83.8</x:v>
      </x:c>
      <x:c r="AS984" s="39" t="n">
        <x:f>ROUND((AC984*AF984*120)+(AH984*350)+(MAX(0,AI984-75)*220)+(MAX(0,AQ984-60)*100),0)</x:f>
        <x:v>44144</x:v>
      </x:c>
    </x:row>
    <x:row r="985">
      <x:c r="A985" s="35" t="n">
        <x:v>984</x:v>
      </x:c>
      <x:c r="B985" s="35" t="n">
        <x:v>38</x:v>
      </x:c>
      <x:c r="C985" s="35" t="str">
        <x:v>Female</x:v>
      </x:c>
      <x:c r="D985" s="35" t="str">
        <x:v>Human Resources</x:v>
      </x:c>
      <x:c r="E985" s="35" t="str">
        <x:v>HR Specialist</x:v>
      </x:c>
      <x:c r="F985" s="35" t="str">
        <x:v>Life Sciences</x:v>
      </x:c>
      <x:c r="G985" s="35" t="str">
        <x:v>Married</x:v>
      </x:c>
      <x:c r="H985" s="35" t="n">
        <x:v>1</x:v>
      </x:c>
      <x:c r="I985" s="36" t="n">
        <x:v>5070</x:v>
      </x:c>
      <x:c r="J985" s="35" t="n">
        <x:v>9</x:v>
      </x:c>
      <x:c r="K985" s="35" t="n">
        <x:v>7</x:v>
      </x:c>
      <x:c r="L985" s="35" t="n">
        <x:v>5</x:v>
      </x:c>
      <x:c r="M985" s="35" t="n">
        <x:v>5</x:v>
      </x:c>
      <x:c r="N985" s="35" t="str">
        <x:v>No</x:v>
      </x:c>
      <x:c r="O985" s="35" t="n">
        <x:v>3</x:v>
      </x:c>
      <x:c r="P985" s="35" t="n">
        <x:v>4</x:v>
      </x:c>
      <x:c r="Q985" s="35" t="n">
        <x:v>3</x:v>
      </x:c>
      <x:c r="R985" s="35" t="n">
        <x:v>3</x:v>
      </x:c>
      <x:c r="S985" s="35" t="n">
        <x:v>3</x:v>
      </x:c>
      <x:c r="T985" s="35" t="n">
        <x:v>3</x:v>
      </x:c>
      <x:c r="U985" s="35" t="n">
        <x:v>1</x:v>
      </x:c>
      <x:c r="V985" s="35" t="n">
        <x:v>5</x:v>
      </x:c>
      <x:c r="W985" s="35" t="n">
        <x:v>9</x:v>
      </x:c>
      <x:c r="X985" s="35" t="n">
        <x:v>77</x:v>
      </x:c>
      <x:c r="Y985" s="35" t="n">
        <x:v>5</x:v>
      </x:c>
      <x:c r="Z985" s="35" t="n">
        <x:v>100</x:v>
      </x:c>
      <x:c r="AA985" s="35" t="n">
        <x:v>5</x:v>
      </x:c>
      <x:c r="AB985" s="35" t="n">
        <x:v>5</x:v>
      </x:c>
      <x:c r="AC985" s="35" t="n">
        <x:v>5</x:v>
      </x:c>
      <x:c r="AD985" s="35" t="n">
        <x:v>55</x:v>
      </x:c>
      <x:c r="AE985" s="35" t="n">
        <x:v>99</x:v>
      </x:c>
      <x:c r="AF985" s="35" t="n">
        <x:v>89</x:v>
      </x:c>
      <x:c r="AG985" s="35" t="n">
        <x:v>85</x:v>
      </x:c>
      <x:c r="AH985" s="35" t="n">
        <x:v>7</x:v>
      </x:c>
      <x:c r="AI985" s="37" t="n">
        <x:v>87.3</x:v>
      </x:c>
      <x:c r="AJ985" s="37" t="n">
        <x:v>86.1</x:v>
      </x:c>
      <x:c r="AK985" s="35" t="str">
        <x:v>No</x:v>
      </x:c>
      <x:c r="AL985" s="38" t="n">
        <x:f>IF(AA985=0,0,AB985/AA985)</x:f>
        <x:v>1</x:v>
      </x:c>
      <x:c r="AM985" s="38" t="n">
        <x:f>IF(AB985=0,0,AC985/AB985)</x:f>
        <x:v>1</x:v>
      </x:c>
      <x:c r="AN985" s="37" t="n">
        <x:f>ROUND((AD985*0.20+AE985*0.20+AF985*0.25+AG985*0.15+MIN(100,AC985*12)*0.20),1)</x:f>
        <x:v>77.8</x:v>
      </x:c>
      <x:c r="AO985" s="37" t="n">
        <x:f>ROUND(MAX(0,MIN(100,(X985*0.35)+(W985/45*100*0.20)+((5-O985)/4*100*0.15)+((5-P985)/4*100*0.10)+((6-Y985)/5*100*0.10)+((100-Z985)*0.10))),1)</x:f>
        <x:v>43</x:v>
      </x:c>
      <x:c r="AP985" s="37" t="str">
        <x:f>IF(AO985&gt;=70,"High",IF(AO985&gt;=40,"Moderate","Low"))</x:f>
        <x:v>Moderate</x:v>
      </x:c>
      <x:c r="AQ985" s="37" t="n">
        <x:f>ROUND(MAX(0,MIN(100,(O985/4*100*0.25)+(P985/4*100*0.20)+(Q985/4*100*0.15)+(Y985/5*100*0.20)+(100-AO985)*0.20)),1)</x:f>
        <x:v>81.4</x:v>
      </x:c>
      <x:c r="AR985" s="37" t="n">
        <x:f>ROUND((AI985*0.20+AJ985*0.15+AN985*0.18+AG985*0.12+Z985*0.15+AQ985*0.20),1)</x:f>
        <x:v>85.9</x:v>
      </x:c>
      <x:c r="AS985" s="39" t="n">
        <x:f>ROUND((AC985*AF985*120)+(AH985*350)+(MAX(0,AI985-75)*220)+(MAX(0,AQ985-60)*100),0)</x:f>
        <x:v>60696</x:v>
      </x:c>
    </x:row>
    <x:row r="986">
      <x:c r="A986" s="35" t="n">
        <x:v>985</x:v>
      </x:c>
      <x:c r="B986" s="35" t="n">
        <x:v>38</x:v>
      </x:c>
      <x:c r="C986" s="35" t="str">
        <x:v>Male</x:v>
      </x:c>
      <x:c r="D986" s="35" t="str">
        <x:v>Marketing</x:v>
      </x:c>
      <x:c r="E986" s="35" t="str">
        <x:v>Marketing Manager</x:v>
      </x:c>
      <x:c r="F986" s="35" t="str">
        <x:v>Computer Science</x:v>
      </x:c>
      <x:c r="G986" s="35" t="str">
        <x:v>Married</x:v>
      </x:c>
      <x:c r="H986" s="35" t="n">
        <x:v>2</x:v>
      </x:c>
      <x:c r="I986" s="36" t="n">
        <x:v>6650</x:v>
      </x:c>
      <x:c r="J986" s="35" t="n">
        <x:v>14</x:v>
      </x:c>
      <x:c r="K986" s="35" t="n">
        <x:v>8</x:v>
      </x:c>
      <x:c r="L986" s="35" t="n">
        <x:v>4</x:v>
      </x:c>
      <x:c r="M986" s="35" t="n">
        <x:v>12</x:v>
      </x:c>
      <x:c r="N986" s="35" t="str">
        <x:v>No</x:v>
      </x:c>
      <x:c r="O986" s="35" t="n">
        <x:v>3</x:v>
      </x:c>
      <x:c r="P986" s="35" t="n">
        <x:v>3</x:v>
      </x:c>
      <x:c r="Q986" s="35" t="n">
        <x:v>4</x:v>
      </x:c>
      <x:c r="R986" s="35" t="n">
        <x:v>4</x:v>
      </x:c>
      <x:c r="S986" s="35" t="n">
        <x:v>3</x:v>
      </x:c>
      <x:c r="T986" s="35" t="n">
        <x:v>5</x:v>
      </x:c>
      <x:c r="U986" s="35" t="n">
        <x:v>0</x:v>
      </x:c>
      <x:c r="V986" s="35" t="n">
        <x:v>7</x:v>
      </x:c>
      <x:c r="W986" s="35" t="n">
        <x:v>6</x:v>
      </x:c>
      <x:c r="X986" s="35" t="n">
        <x:v>66</x:v>
      </x:c>
      <x:c r="Y986" s="35" t="n">
        <x:v>5</x:v>
      </x:c>
      <x:c r="Z986" s="35" t="n">
        <x:v>100</x:v>
      </x:c>
      <x:c r="AA986" s="35" t="n">
        <x:v>7</x:v>
      </x:c>
      <x:c r="AB986" s="35" t="n">
        <x:v>5</x:v>
      </x:c>
      <x:c r="AC986" s="35" t="n">
        <x:v>5</x:v>
      </x:c>
      <x:c r="AD986" s="35" t="n">
        <x:v>82</x:v>
      </x:c>
      <x:c r="AE986" s="35" t="n">
        <x:v>78</x:v>
      </x:c>
      <x:c r="AF986" s="35" t="n">
        <x:v>89</x:v>
      </x:c>
      <x:c r="AG986" s="35" t="n">
        <x:v>100</x:v>
      </x:c>
      <x:c r="AH986" s="35" t="n">
        <x:v>7</x:v>
      </x:c>
      <x:c r="AI986" s="37" t="n">
        <x:v>94.2</x:v>
      </x:c>
      <x:c r="AJ986" s="37" t="n">
        <x:v>99</x:v>
      </x:c>
      <x:c r="AK986" s="35" t="str">
        <x:v>No</x:v>
      </x:c>
      <x:c r="AL986" s="38" t="n">
        <x:f>IF(AA986=0,0,AB986/AA986)</x:f>
        <x:v>0.7142857142857143</x:v>
      </x:c>
      <x:c r="AM986" s="38" t="n">
        <x:f>IF(AB986=0,0,AC986/AB986)</x:f>
        <x:v>1</x:v>
      </x:c>
      <x:c r="AN986" s="37" t="n">
        <x:f>ROUND((AD986*0.20+AE986*0.20+AF986*0.25+AG986*0.15+MIN(100,AC986*12)*0.20),1)</x:f>
        <x:v>81.3</x:v>
      </x:c>
      <x:c r="AO986" s="37" t="n">
        <x:f>ROUND(MAX(0,MIN(100,(X986*0.35)+(W986/45*100*0.20)+((5-O986)/4*100*0.15)+((5-P986)/4*100*0.10)+((6-Y986)/5*100*0.10)+((100-Z986)*0.10))),1)</x:f>
        <x:v>40.3</x:v>
      </x:c>
      <x:c r="AP986" s="37" t="str">
        <x:f>IF(AO986&gt;=70,"High",IF(AO986&gt;=40,"Moderate","Low"))</x:f>
        <x:v>Moderate</x:v>
      </x:c>
      <x:c r="AQ986" s="37" t="n">
        <x:f>ROUND(MAX(0,MIN(100,(O986/4*100*0.25)+(P986/4*100*0.20)+(Q986/4*100*0.15)+(Y986/5*100*0.20)+(100-AO986)*0.20)),1)</x:f>
        <x:v>80.7</x:v>
      </x:c>
      <x:c r="AR986" s="37" t="n">
        <x:f>ROUND((AI986*0.20+AJ986*0.15+AN986*0.18+AG986*0.12+Z986*0.15+AQ986*0.20),1)</x:f>
        <x:v>91.5</x:v>
      </x:c>
      <x:c r="AS986" s="39" t="n">
        <x:f>ROUND((AC986*AF986*120)+(AH986*350)+(MAX(0,AI986-75)*220)+(MAX(0,AQ986-60)*100),0)</x:f>
        <x:v>62144</x:v>
      </x:c>
    </x:row>
    <x:row r="987">
      <x:c r="A987" s="35" t="n">
        <x:v>986</x:v>
      </x:c>
      <x:c r="B987" s="35" t="n">
        <x:v>21</x:v>
      </x:c>
      <x:c r="C987" s="35" t="str">
        <x:v>Male</x:v>
      </x:c>
      <x:c r="D987" s="35" t="str">
        <x:v>Research &amp; Development</x:v>
      </x:c>
      <x:c r="E987" s="35" t="str">
        <x:v>Laboratory Technician</x:v>
      </x:c>
      <x:c r="F987" s="35" t="str">
        <x:v>Computer Science</x:v>
      </x:c>
      <x:c r="G987" s="35" t="str">
        <x:v>Married</x:v>
      </x:c>
      <x:c r="H987" s="35" t="n">
        <x:v>1</x:v>
      </x:c>
      <x:c r="I987" s="36" t="n">
        <x:v>4000</x:v>
      </x:c>
      <x:c r="J987" s="35" t="n">
        <x:v>0</x:v>
      </x:c>
      <x:c r="K987" s="35" t="n">
        <x:v>0</x:v>
      </x:c>
      <x:c r="L987" s="35" t="n">
        <x:v>0</x:v>
      </x:c>
      <x:c r="M987" s="35" t="n">
        <x:v>9</x:v>
      </x:c>
      <x:c r="N987" s="35" t="str">
        <x:v>No</x:v>
      </x:c>
      <x:c r="O987" s="35" t="n">
        <x:v>2</x:v>
      </x:c>
      <x:c r="P987" s="35" t="n">
        <x:v>3</x:v>
      </x:c>
      <x:c r="Q987" s="35" t="n">
        <x:v>3</x:v>
      </x:c>
      <x:c r="R987" s="35" t="n">
        <x:v>4</x:v>
      </x:c>
      <x:c r="S987" s="35" t="n">
        <x:v>3</x:v>
      </x:c>
      <x:c r="T987" s="35" t="n">
        <x:v>3</x:v>
      </x:c>
      <x:c r="U987" s="35" t="n">
        <x:v>0</x:v>
      </x:c>
      <x:c r="V987" s="35" t="n">
        <x:v>0</x:v>
      </x:c>
      <x:c r="W987" s="35" t="n">
        <x:v>0</x:v>
      </x:c>
      <x:c r="X987" s="35" t="n">
        <x:v>45</x:v>
      </x:c>
      <x:c r="Y987" s="35" t="n">
        <x:v>5</x:v>
      </x:c>
      <x:c r="Z987" s="35" t="n">
        <x:v>100</x:v>
      </x:c>
      <x:c r="AA987" s="35" t="n">
        <x:v>6</x:v>
      </x:c>
      <x:c r="AB987" s="35" t="n">
        <x:v>3</x:v>
      </x:c>
      <x:c r="AC987" s="35" t="n">
        <x:v>1</x:v>
      </x:c>
      <x:c r="AD987" s="35" t="n">
        <x:v>77</x:v>
      </x:c>
      <x:c r="AE987" s="35" t="n">
        <x:v>77</x:v>
      </x:c>
      <x:c r="AF987" s="35" t="n">
        <x:v>75</x:v>
      </x:c>
      <x:c r="AG987" s="35" t="n">
        <x:v>90</x:v>
      </x:c>
      <x:c r="AH987" s="35" t="n">
        <x:v>4</x:v>
      </x:c>
      <x:c r="AI987" s="37" t="n">
        <x:v>100</x:v>
      </x:c>
      <x:c r="AJ987" s="37" t="n">
        <x:v>96.6</x:v>
      </x:c>
      <x:c r="AK987" s="35" t="str">
        <x:v>No</x:v>
      </x:c>
      <x:c r="AL987" s="38" t="n">
        <x:f>IF(AA987=0,0,AB987/AA987)</x:f>
        <x:v>0.5</x:v>
      </x:c>
      <x:c r="AM987" s="38" t="n">
        <x:f>IF(AB987=0,0,AC987/AB987)</x:f>
        <x:v>0.3333333333333333</x:v>
      </x:c>
      <x:c r="AN987" s="37" t="n">
        <x:f>ROUND((AD987*0.20+AE987*0.20+AF987*0.25+AG987*0.15+MIN(100,AC987*12)*0.20),1)</x:f>
        <x:v>65.5</x:v>
      </x:c>
      <x:c r="AO987" s="37" t="n">
        <x:f>ROUND(MAX(0,MIN(100,(X987*0.35)+(W987/45*100*0.20)+((5-O987)/4*100*0.15)+((5-P987)/4*100*0.10)+((6-Y987)/5*100*0.10)+((100-Z987)*0.10))),1)</x:f>
        <x:v>34</x:v>
      </x:c>
      <x:c r="AP987" s="37" t="str">
        <x:f>IF(AO987&gt;=70,"High",IF(AO987&gt;=40,"Moderate","Low"))</x:f>
        <x:v>Low</x:v>
      </x:c>
      <x:c r="AQ987" s="37" t="n">
        <x:f>ROUND(MAX(0,MIN(100,(O987/4*100*0.25)+(P987/4*100*0.20)+(Q987/4*100*0.15)+(Y987/5*100*0.20)+(100-AO987)*0.20)),1)</x:f>
        <x:v>72</x:v>
      </x:c>
      <x:c r="AR987" s="37" t="n">
        <x:f>ROUND((AI987*0.20+AJ987*0.15+AN987*0.18+AG987*0.12+Z987*0.15+AQ987*0.20),1)</x:f>
        <x:v>86.5</x:v>
      </x:c>
      <x:c r="AS987" s="39" t="n">
        <x:f>ROUND((AC987*AF987*120)+(AH987*350)+(MAX(0,AI987-75)*220)+(MAX(0,AQ987-60)*100),0)</x:f>
        <x:v>17100</x:v>
      </x:c>
    </x:row>
    <x:row r="988">
      <x:c r="A988" s="35" t="n">
        <x:v>987</x:v>
      </x:c>
      <x:c r="B988" s="35" t="n">
        <x:v>36</x:v>
      </x:c>
      <x:c r="C988" s="35" t="str">
        <x:v>Male</x:v>
      </x:c>
      <x:c r="D988" s="35" t="str">
        <x:v>Sales</x:v>
      </x:c>
      <x:c r="E988" s="35" t="str">
        <x:v>Sales Representative</x:v>
      </x:c>
      <x:c r="F988" s="35" t="str">
        <x:v>Life Sciences</x:v>
      </x:c>
      <x:c r="G988" s="35" t="str">
        <x:v>Single</x:v>
      </x:c>
      <x:c r="H988" s="35" t="n">
        <x:v>2</x:v>
      </x:c>
      <x:c r="I988" s="36" t="n">
        <x:v>8430</x:v>
      </x:c>
      <x:c r="J988" s="35" t="n">
        <x:v>9</x:v>
      </x:c>
      <x:c r="K988" s="35" t="n">
        <x:v>3</x:v>
      </x:c>
      <x:c r="L988" s="35" t="n">
        <x:v>2</x:v>
      </x:c>
      <x:c r="M988" s="35" t="n">
        <x:v>21</x:v>
      </x:c>
      <x:c r="N988" s="35" t="str">
        <x:v>Yes</x:v>
      </x:c>
      <x:c r="O988" s="35" t="n">
        <x:v>3</x:v>
      </x:c>
      <x:c r="P988" s="35" t="n">
        <x:v>4</x:v>
      </x:c>
      <x:c r="Q988" s="35" t="n">
        <x:v>3</x:v>
      </x:c>
      <x:c r="R988" s="35" t="n">
        <x:v>3</x:v>
      </x:c>
      <x:c r="S988" s="35" t="n">
        <x:v>4</x:v>
      </x:c>
      <x:c r="T988" s="35" t="n">
        <x:v>3</x:v>
      </x:c>
      <x:c r="U988" s="35" t="n">
        <x:v>0</x:v>
      </x:c>
      <x:c r="V988" s="35" t="n">
        <x:v>4</x:v>
      </x:c>
      <x:c r="W988" s="35" t="n">
        <x:v>19</x:v>
      </x:c>
      <x:c r="X988" s="35" t="n">
        <x:v>72</x:v>
      </x:c>
      <x:c r="Y988" s="35" t="n">
        <x:v>5</x:v>
      </x:c>
      <x:c r="Z988" s="35" t="n">
        <x:v>100</x:v>
      </x:c>
      <x:c r="AA988" s="35" t="n">
        <x:v>8</x:v>
      </x:c>
      <x:c r="AB988" s="35" t="n">
        <x:v>8</x:v>
      </x:c>
      <x:c r="AC988" s="35" t="n">
        <x:v>7</x:v>
      </x:c>
      <x:c r="AD988" s="35" t="n">
        <x:v>88</x:v>
      </x:c>
      <x:c r="AE988" s="35" t="n">
        <x:v>80</x:v>
      </x:c>
      <x:c r="AF988" s="35" t="n">
        <x:v>77</x:v>
      </x:c>
      <x:c r="AG988" s="35" t="n">
        <x:v>100</x:v>
      </x:c>
      <x:c r="AH988" s="35" t="n">
        <x:v>12</x:v>
      </x:c>
      <x:c r="AI988" s="37" t="n">
        <x:v>91.9</x:v>
      </x:c>
      <x:c r="AJ988" s="37" t="n">
        <x:v>100</x:v>
      </x:c>
      <x:c r="AK988" s="35" t="str">
        <x:v>No</x:v>
      </x:c>
      <x:c r="AL988" s="38" t="n">
        <x:f>IF(AA988=0,0,AB988/AA988)</x:f>
        <x:v>1</x:v>
      </x:c>
      <x:c r="AM988" s="38" t="n">
        <x:f>IF(AB988=0,0,AC988/AB988)</x:f>
        <x:v>0.875</x:v>
      </x:c>
      <x:c r="AN988" s="37" t="n">
        <x:f>ROUND((AD988*0.20+AE988*0.20+AF988*0.25+AG988*0.15+MIN(100,AC988*12)*0.20),1)</x:f>
        <x:v>84.6</x:v>
      </x:c>
      <x:c r="AO988" s="37" t="n">
        <x:f>ROUND(MAX(0,MIN(100,(X988*0.35)+(W988/45*100*0.20)+((5-O988)/4*100*0.15)+((5-P988)/4*100*0.10)+((6-Y988)/5*100*0.10)+((100-Z988)*0.10))),1)</x:f>
        <x:v>45.6</x:v>
      </x:c>
      <x:c r="AP988" s="37" t="str">
        <x:f>IF(AO988&gt;=70,"High",IF(AO988&gt;=40,"Moderate","Low"))</x:f>
        <x:v>Moderate</x:v>
      </x:c>
      <x:c r="AQ988" s="37" t="n">
        <x:f>ROUND(MAX(0,MIN(100,(O988/4*100*0.25)+(P988/4*100*0.20)+(Q988/4*100*0.15)+(Y988/5*100*0.20)+(100-AO988)*0.20)),1)</x:f>
        <x:v>80.9</x:v>
      </x:c>
      <x:c r="AR988" s="37" t="n">
        <x:f>ROUND((AI988*0.20+AJ988*0.15+AN988*0.18+AG988*0.12+Z988*0.15+AQ988*0.20),1)</x:f>
        <x:v>91.8</x:v>
      </x:c>
      <x:c r="AS988" s="39" t="n">
        <x:f>ROUND((AC988*AF988*120)+(AH988*350)+(MAX(0,AI988-75)*220)+(MAX(0,AQ988-60)*100),0)</x:f>
        <x:v>74688</x:v>
      </x:c>
    </x:row>
    <x:row r="989">
      <x:c r="A989" s="35" t="n">
        <x:v>988</x:v>
      </x:c>
      <x:c r="B989" s="35" t="n">
        <x:v>39</x:v>
      </x:c>
      <x:c r="C989" s="35" t="str">
        <x:v>Female</x:v>
      </x:c>
      <x:c r="D989" s="35" t="str">
        <x:v>Research &amp; Development</x:v>
      </x:c>
      <x:c r="E989" s="35" t="str">
        <x:v>Data Scientist</x:v>
      </x:c>
      <x:c r="F989" s="35" t="str">
        <x:v>Technical Degree</x:v>
      </x:c>
      <x:c r="G989" s="35" t="str">
        <x:v>Married</x:v>
      </x:c>
      <x:c r="H989" s="35" t="n">
        <x:v>1</x:v>
      </x:c>
      <x:c r="I989" s="36" t="n">
        <x:v>5100</x:v>
      </x:c>
      <x:c r="J989" s="35" t="n">
        <x:v>14</x:v>
      </x:c>
      <x:c r="K989" s="35" t="n">
        <x:v>12</x:v>
      </x:c>
      <x:c r="L989" s="35" t="n">
        <x:v>4</x:v>
      </x:c>
      <x:c r="M989" s="35" t="n">
        <x:v>12</x:v>
      </x:c>
      <x:c r="N989" s="35" t="str">
        <x:v>No</x:v>
      </x:c>
      <x:c r="O989" s="35" t="n">
        <x:v>2</x:v>
      </x:c>
      <x:c r="P989" s="35" t="n">
        <x:v>2</x:v>
      </x:c>
      <x:c r="Q989" s="35" t="n">
        <x:v>3</x:v>
      </x:c>
      <x:c r="R989" s="35" t="n">
        <x:v>4</x:v>
      </x:c>
      <x:c r="S989" s="35" t="n">
        <x:v>3</x:v>
      </x:c>
      <x:c r="T989" s="35" t="n">
        <x:v>4</x:v>
      </x:c>
      <x:c r="U989" s="35" t="n">
        <x:v>0</x:v>
      </x:c>
      <x:c r="V989" s="35" t="n">
        <x:v>9</x:v>
      </x:c>
      <x:c r="W989" s="35" t="n">
        <x:v>7</x:v>
      </x:c>
      <x:c r="X989" s="35" t="n">
        <x:v>53</x:v>
      </x:c>
      <x:c r="Y989" s="35" t="n">
        <x:v>4</x:v>
      </x:c>
      <x:c r="Z989" s="35" t="n">
        <x:v>98</x:v>
      </x:c>
      <x:c r="AA989" s="35" t="n">
        <x:v>2</x:v>
      </x:c>
      <x:c r="AB989" s="35" t="n">
        <x:v>2</x:v>
      </x:c>
      <x:c r="AC989" s="35" t="n">
        <x:v>1</x:v>
      </x:c>
      <x:c r="AD989" s="35" t="n">
        <x:v>89</x:v>
      </x:c>
      <x:c r="AE989" s="35" t="n">
        <x:v>84</x:v>
      </x:c>
      <x:c r="AF989" s="35" t="n">
        <x:v>58</x:v>
      </x:c>
      <x:c r="AG989" s="35" t="n">
        <x:v>100</x:v>
      </x:c>
      <x:c r="AH989" s="35" t="n">
        <x:v>4</x:v>
      </x:c>
      <x:c r="AI989" s="37" t="n">
        <x:v>98.1</x:v>
      </x:c>
      <x:c r="AJ989" s="37" t="n">
        <x:v>90.2</x:v>
      </x:c>
      <x:c r="AK989" s="35" t="str">
        <x:v>No</x:v>
      </x:c>
      <x:c r="AL989" s="38" t="n">
        <x:f>IF(AA989=0,0,AB989/AA989)</x:f>
        <x:v>1</x:v>
      </x:c>
      <x:c r="AM989" s="38" t="n">
        <x:f>IF(AB989=0,0,AC989/AB989)</x:f>
        <x:v>0.5</x:v>
      </x:c>
      <x:c r="AN989" s="37" t="n">
        <x:f>ROUND((AD989*0.20+AE989*0.20+AF989*0.25+AG989*0.15+MIN(100,AC989*12)*0.20),1)</x:f>
        <x:v>66.5</x:v>
      </x:c>
      <x:c r="AO989" s="37" t="n">
        <x:f>ROUND(MAX(0,MIN(100,(X989*0.35)+(W989/45*100*0.20)+((5-O989)/4*100*0.15)+((5-P989)/4*100*0.10)+((6-Y989)/5*100*0.10)+((100-Z989)*0.10))),1)</x:f>
        <x:v>44.6</x:v>
      </x:c>
      <x:c r="AP989" s="37" t="str">
        <x:f>IF(AO989&gt;=70,"High",IF(AO989&gt;=40,"Moderate","Low"))</x:f>
        <x:v>Moderate</x:v>
      </x:c>
      <x:c r="AQ989" s="37" t="n">
        <x:f>ROUND(MAX(0,MIN(100,(O989/4*100*0.25)+(P989/4*100*0.20)+(Q989/4*100*0.15)+(Y989/5*100*0.20)+(100-AO989)*0.20)),1)</x:f>
        <x:v>60.8</x:v>
      </x:c>
      <x:c r="AR989" s="37" t="n">
        <x:f>ROUND((AI989*0.20+AJ989*0.15+AN989*0.18+AG989*0.12+Z989*0.15+AQ989*0.20),1)</x:f>
        <x:v>84</x:v>
      </x:c>
      <x:c r="AS989" s="39" t="n">
        <x:f>ROUND((AC989*AF989*120)+(AH989*350)+(MAX(0,AI989-75)*220)+(MAX(0,AQ989-60)*100),0)</x:f>
        <x:v>13522</x:v>
      </x:c>
    </x:row>
    <x:row r="990">
      <x:c r="A990" s="35" t="n">
        <x:v>989</x:v>
      </x:c>
      <x:c r="B990" s="35" t="n">
        <x:v>39</x:v>
      </x:c>
      <x:c r="C990" s="35" t="str">
        <x:v>Male</x:v>
      </x:c>
      <x:c r="D990" s="35" t="str">
        <x:v>Information Technology</x:v>
      </x:c>
      <x:c r="E990" s="35" t="str">
        <x:v>Software Engineer</x:v>
      </x:c>
      <x:c r="F990" s="35" t="str">
        <x:v>Computer Science</x:v>
      </x:c>
      <x:c r="G990" s="35" t="str">
        <x:v>Married</x:v>
      </x:c>
      <x:c r="H990" s="35" t="n">
        <x:v>2</x:v>
      </x:c>
      <x:c r="I990" s="36" t="n">
        <x:v>10070</x:v>
      </x:c>
      <x:c r="J990" s="35" t="n">
        <x:v>16</x:v>
      </x:c>
      <x:c r="K990" s="35" t="n">
        <x:v>9</x:v>
      </x:c>
      <x:c r="L990" s="35" t="n">
        <x:v>5</x:v>
      </x:c>
      <x:c r="M990" s="35" t="n">
        <x:v>9</x:v>
      </x:c>
      <x:c r="N990" s="35" t="str">
        <x:v>Yes</x:v>
      </x:c>
      <x:c r="O990" s="35" t="n">
        <x:v>3</x:v>
      </x:c>
      <x:c r="P990" s="35" t="n">
        <x:v>3</x:v>
      </x:c>
      <x:c r="Q990" s="35" t="n">
        <x:v>3</x:v>
      </x:c>
      <x:c r="R990" s="35" t="n">
        <x:v>3</x:v>
      </x:c>
      <x:c r="S990" s="35" t="n">
        <x:v>3</x:v>
      </x:c>
      <x:c r="T990" s="35" t="n">
        <x:v>2</x:v>
      </x:c>
      <x:c r="U990" s="35" t="n">
        <x:v>2</x:v>
      </x:c>
      <x:c r="V990" s="35" t="n">
        <x:v>7</x:v>
      </x:c>
      <x:c r="W990" s="35" t="n">
        <x:v>26</x:v>
      </x:c>
      <x:c r="X990" s="35" t="n">
        <x:v>79</x:v>
      </x:c>
      <x:c r="Y990" s="35" t="n">
        <x:v>4</x:v>
      </x:c>
      <x:c r="Z990" s="35" t="n">
        <x:v>93</x:v>
      </x:c>
      <x:c r="AA990" s="35" t="n">
        <x:v>1</x:v>
      </x:c>
      <x:c r="AB990" s="35" t="n">
        <x:v>1</x:v>
      </x:c>
      <x:c r="AC990" s="35" t="n">
        <x:v>1</x:v>
      </x:c>
      <x:c r="AD990" s="35" t="n">
        <x:v>70</x:v>
      </x:c>
      <x:c r="AE990" s="35" t="n">
        <x:v>82</x:v>
      </x:c>
      <x:c r="AF990" s="35" t="n">
        <x:v>70</x:v>
      </x:c>
      <x:c r="AG990" s="35" t="n">
        <x:v>77</x:v>
      </x:c>
      <x:c r="AH990" s="35" t="n">
        <x:v>4</x:v>
      </x:c>
      <x:c r="AI990" s="37" t="n">
        <x:v>96.2</x:v>
      </x:c>
      <x:c r="AJ990" s="37" t="n">
        <x:v>97.2</x:v>
      </x:c>
      <x:c r="AK990" s="35" t="str">
        <x:v>No</x:v>
      </x:c>
      <x:c r="AL990" s="38" t="n">
        <x:f>IF(AA990=0,0,AB990/AA990)</x:f>
        <x:v>1</x:v>
      </x:c>
      <x:c r="AM990" s="38" t="n">
        <x:f>IF(AB990=0,0,AC990/AB990)</x:f>
        <x:v>1</x:v>
      </x:c>
      <x:c r="AN990" s="37" t="n">
        <x:f>ROUND((AD990*0.20+AE990*0.20+AF990*0.25+AG990*0.15+MIN(100,AC990*12)*0.20),1)</x:f>
        <x:v>61.9</x:v>
      </x:c>
      <x:c r="AO990" s="37" t="n">
        <x:f>ROUND(MAX(0,MIN(100,(X990*0.35)+(W990/45*100*0.20)+((5-O990)/4*100*0.15)+((5-P990)/4*100*0.10)+((6-Y990)/5*100*0.10)+((100-Z990)*0.10))),1)</x:f>
        <x:v>56.4</x:v>
      </x:c>
      <x:c r="AP990" s="37" t="str">
        <x:f>IF(AO990&gt;=70,"High",IF(AO990&gt;=40,"Moderate","Low"))</x:f>
        <x:v>Moderate</x:v>
      </x:c>
      <x:c r="AQ990" s="37" t="n">
        <x:f>ROUND(MAX(0,MIN(100,(O990/4*100*0.25)+(P990/4*100*0.20)+(Q990/4*100*0.15)+(Y990/5*100*0.20)+(100-AO990)*0.20)),1)</x:f>
        <x:v>69.7</x:v>
      </x:c>
      <x:c r="AR990" s="37" t="n">
        <x:f>ROUND((AI990*0.20+AJ990*0.15+AN990*0.18+AG990*0.12+Z990*0.15+AQ990*0.20),1)</x:f>
        <x:v>82.1</x:v>
      </x:c>
      <x:c r="AS990" s="39" t="n">
        <x:f>ROUND((AC990*AF990*120)+(AH990*350)+(MAX(0,AI990-75)*220)+(MAX(0,AQ990-60)*100),0)</x:f>
        <x:v>15434</x:v>
      </x:c>
    </x:row>
    <x:row r="991">
      <x:c r="A991" s="35" t="n">
        <x:v>990</x:v>
      </x:c>
      <x:c r="B991" s="35" t="n">
        <x:v>55</x:v>
      </x:c>
      <x:c r="C991" s="35" t="str">
        <x:v>Male</x:v>
      </x:c>
      <x:c r="D991" s="35" t="str">
        <x:v>Sales</x:v>
      </x:c>
      <x:c r="E991" s="35" t="str">
        <x:v>Sales Executive</x:v>
      </x:c>
      <x:c r="F991" s="35" t="str">
        <x:v>Computer Science</x:v>
      </x:c>
      <x:c r="G991" s="35" t="str">
        <x:v>Single</x:v>
      </x:c>
      <x:c r="H991" s="35" t="n">
        <x:v>4</x:v>
      </x:c>
      <x:c r="I991" s="36" t="n">
        <x:v>17670</x:v>
      </x:c>
      <x:c r="J991" s="35" t="n">
        <x:v>15</x:v>
      </x:c>
      <x:c r="K991" s="35" t="n">
        <x:v>10</x:v>
      </x:c>
      <x:c r="L991" s="35" t="n">
        <x:v>8</x:v>
      </x:c>
      <x:c r="M991" s="35" t="n">
        <x:v>32</x:v>
      </x:c>
      <x:c r="N991" s="35" t="str">
        <x:v>Yes</x:v>
      </x:c>
      <x:c r="O991" s="35" t="n">
        <x:v>2</x:v>
      </x:c>
      <x:c r="P991" s="35" t="n">
        <x:v>3</x:v>
      </x:c>
      <x:c r="Q991" s="35" t="n">
        <x:v>4</x:v>
      </x:c>
      <x:c r="R991" s="35" t="n">
        <x:v>3</x:v>
      </x:c>
      <x:c r="S991" s="35" t="n">
        <x:v>3</x:v>
      </x:c>
      <x:c r="T991" s="35" t="n">
        <x:v>4</x:v>
      </x:c>
      <x:c r="U991" s="35" t="n">
        <x:v>1</x:v>
      </x:c>
      <x:c r="V991" s="35" t="n">
        <x:v>4</x:v>
      </x:c>
      <x:c r="W991" s="35" t="n">
        <x:v>22</x:v>
      </x:c>
      <x:c r="X991" s="35" t="n">
        <x:v>94</x:v>
      </x:c>
      <x:c r="Y991" s="35" t="n">
        <x:v>3</x:v>
      </x:c>
      <x:c r="Z991" s="35" t="n">
        <x:v>99</x:v>
      </x:c>
      <x:c r="AA991" s="35" t="n">
        <x:v>8</x:v>
      </x:c>
      <x:c r="AB991" s="35" t="n">
        <x:v>8</x:v>
      </x:c>
      <x:c r="AC991" s="35" t="n">
        <x:v>6</x:v>
      </x:c>
      <x:c r="AD991" s="35" t="n">
        <x:v>87</x:v>
      </x:c>
      <x:c r="AE991" s="35" t="n">
        <x:v>88</x:v>
      </x:c>
      <x:c r="AF991" s="35" t="n">
        <x:v>84</x:v>
      </x:c>
      <x:c r="AG991" s="35" t="n">
        <x:v>99</x:v>
      </x:c>
      <x:c r="AH991" s="35" t="n">
        <x:v>8</x:v>
      </x:c>
      <x:c r="AI991" s="37" t="n">
        <x:v>97.3</x:v>
      </x:c>
      <x:c r="AJ991" s="37" t="n">
        <x:v>100</x:v>
      </x:c>
      <x:c r="AK991" s="35" t="str">
        <x:v>No</x:v>
      </x:c>
      <x:c r="AL991" s="38" t="n">
        <x:f>IF(AA991=0,0,AB991/AA991)</x:f>
        <x:v>1</x:v>
      </x:c>
      <x:c r="AM991" s="38" t="n">
        <x:f>IF(AB991=0,0,AC991/AB991)</x:f>
        <x:v>0.75</x:v>
      </x:c>
      <x:c r="AN991" s="37" t="n">
        <x:f>ROUND((AD991*0.20+AE991*0.20+AF991*0.25+AG991*0.15+MIN(100,AC991*12)*0.20),1)</x:f>
        <x:v>85.3</x:v>
      </x:c>
      <x:c r="AO991" s="37" t="n">
        <x:f>ROUND(MAX(0,MIN(100,(X991*0.35)+(W991/45*100*0.20)+((5-O991)/4*100*0.15)+((5-P991)/4*100*0.10)+((6-Y991)/5*100*0.10)+((100-Z991)*0.10))),1)</x:f>
        <x:v>65</x:v>
      </x:c>
      <x:c r="AP991" s="37" t="str">
        <x:f>IF(AO991&gt;=70,"High",IF(AO991&gt;=40,"Moderate","Low"))</x:f>
        <x:v>Moderate</x:v>
      </x:c>
      <x:c r="AQ991" s="37" t="n">
        <x:f>ROUND(MAX(0,MIN(100,(O991/4*100*0.25)+(P991/4*100*0.20)+(Q991/4*100*0.15)+(Y991/5*100*0.20)+(100-AO991)*0.20)),1)</x:f>
        <x:v>61.5</x:v>
      </x:c>
      <x:c r="AR991" s="37" t="n">
        <x:f>ROUND((AI991*0.20+AJ991*0.15+AN991*0.18+AG991*0.12+Z991*0.15+AQ991*0.20),1)</x:f>
        <x:v>88.8</x:v>
      </x:c>
      <x:c r="AS991" s="39" t="n">
        <x:f>ROUND((AC991*AF991*120)+(AH991*350)+(MAX(0,AI991-75)*220)+(MAX(0,AQ991-60)*100),0)</x:f>
        <x:v>68336</x:v>
      </x:c>
    </x:row>
    <x:row r="992">
      <x:c r="A992" s="35" t="n">
        <x:v>991</x:v>
      </x:c>
      <x:c r="B992" s="35" t="n">
        <x:v>32</x:v>
      </x:c>
      <x:c r="C992" s="35" t="str">
        <x:v>Female</x:v>
      </x:c>
      <x:c r="D992" s="35" t="str">
        <x:v>Information Technology</x:v>
      </x:c>
      <x:c r="E992" s="35" t="str">
        <x:v>IT Support</x:v>
      </x:c>
      <x:c r="F992" s="35" t="str">
        <x:v>Medical</x:v>
      </x:c>
      <x:c r="G992" s="35" t="str">
        <x:v>Single</x:v>
      </x:c>
      <x:c r="H992" s="35" t="n">
        <x:v>1</x:v>
      </x:c>
      <x:c r="I992" s="36" t="n">
        <x:v>5080</x:v>
      </x:c>
      <x:c r="J992" s="35" t="n">
        <x:v>9</x:v>
      </x:c>
      <x:c r="K992" s="35" t="n">
        <x:v>5</x:v>
      </x:c>
      <x:c r="L992" s="35" t="n">
        <x:v>2</x:v>
      </x:c>
      <x:c r="M992" s="35" t="n">
        <x:v>7</x:v>
      </x:c>
      <x:c r="N992" s="35" t="str">
        <x:v>No</x:v>
      </x:c>
      <x:c r="O992" s="35" t="n">
        <x:v>4</x:v>
      </x:c>
      <x:c r="P992" s="35" t="n">
        <x:v>3</x:v>
      </x:c>
      <x:c r="Q992" s="35" t="n">
        <x:v>4</x:v>
      </x:c>
      <x:c r="R992" s="35" t="n">
        <x:v>2</x:v>
      </x:c>
      <x:c r="S992" s="35" t="n">
        <x:v>3</x:v>
      </x:c>
      <x:c r="T992" s="35" t="n">
        <x:v>1</x:v>
      </x:c>
      <x:c r="U992" s="35" t="n">
        <x:v>0</x:v>
      </x:c>
      <x:c r="V992" s="35" t="n">
        <x:v>6</x:v>
      </x:c>
      <x:c r="W992" s="35" t="n">
        <x:v>6</x:v>
      </x:c>
      <x:c r="X992" s="35" t="n">
        <x:v>73</x:v>
      </x:c>
      <x:c r="Y992" s="35" t="n">
        <x:v>5</x:v>
      </x:c>
      <x:c r="Z992" s="35" t="n">
        <x:v>91</x:v>
      </x:c>
      <x:c r="AA992" s="35" t="n">
        <x:v>9</x:v>
      </x:c>
      <x:c r="AB992" s="35" t="n">
        <x:v>7</x:v>
      </x:c>
      <x:c r="AC992" s="35" t="n">
        <x:v>4</x:v>
      </x:c>
      <x:c r="AD992" s="35" t="n">
        <x:v>81</x:v>
      </x:c>
      <x:c r="AE992" s="35" t="n">
        <x:v>100</x:v>
      </x:c>
      <x:c r="AF992" s="35" t="n">
        <x:v>74</x:v>
      </x:c>
      <x:c r="AG992" s="35" t="n">
        <x:v>73</x:v>
      </x:c>
      <x:c r="AH992" s="35" t="n">
        <x:v>10</x:v>
      </x:c>
      <x:c r="AI992" s="37" t="n">
        <x:v>93.9</x:v>
      </x:c>
      <x:c r="AJ992" s="37" t="n">
        <x:v>83.7</x:v>
      </x:c>
      <x:c r="AK992" s="35" t="str">
        <x:v>No</x:v>
      </x:c>
      <x:c r="AL992" s="38" t="n">
        <x:f>IF(AA992=0,0,AB992/AA992)</x:f>
        <x:v>0.7777777777777778</x:v>
      </x:c>
      <x:c r="AM992" s="38" t="n">
        <x:f>IF(AB992=0,0,AC992/AB992)</x:f>
        <x:v>0.5714285714285714</x:v>
      </x:c>
      <x:c r="AN992" s="37" t="n">
        <x:f>ROUND((AD992*0.20+AE992*0.20+AF992*0.25+AG992*0.15+MIN(100,AC992*12)*0.20),1)</x:f>
        <x:v>75.3</x:v>
      </x:c>
      <x:c r="AO992" s="37" t="n">
        <x:f>ROUND(MAX(0,MIN(100,(X992*0.35)+(W992/45*100*0.20)+((5-O992)/4*100*0.15)+((5-P992)/4*100*0.10)+((6-Y992)/5*100*0.10)+((100-Z992)*0.10))),1)</x:f>
        <x:v>39.9</x:v>
      </x:c>
      <x:c r="AP992" s="37" t="str">
        <x:f>IF(AO992&gt;=70,"High",IF(AO992&gt;=40,"Moderate","Low"))</x:f>
        <x:v>Low</x:v>
      </x:c>
      <x:c r="AQ992" s="37" t="n">
        <x:f>ROUND(MAX(0,MIN(100,(O992/4*100*0.25)+(P992/4*100*0.20)+(Q992/4*100*0.15)+(Y992/5*100*0.20)+(100-AO992)*0.20)),1)</x:f>
        <x:v>87</x:v>
      </x:c>
      <x:c r="AR992" s="37" t="n">
        <x:f>ROUND((AI992*0.20+AJ992*0.15+AN992*0.18+AG992*0.12+Z992*0.15+AQ992*0.20),1)</x:f>
        <x:v>84.7</x:v>
      </x:c>
      <x:c r="AS992" s="39" t="n">
        <x:f>ROUND((AC992*AF992*120)+(AH992*350)+(MAX(0,AI992-75)*220)+(MAX(0,AQ992-60)*100),0)</x:f>
        <x:v>45878</x:v>
      </x:c>
    </x:row>
    <x:row r="993">
      <x:c r="A993" s="35" t="n">
        <x:v>992</x:v>
      </x:c>
      <x:c r="B993" s="35" t="n">
        <x:v>39</x:v>
      </x:c>
      <x:c r="C993" s="35" t="str">
        <x:v>Male</x:v>
      </x:c>
      <x:c r="D993" s="35" t="str">
        <x:v>Human Resources</x:v>
      </x:c>
      <x:c r="E993" s="35" t="str">
        <x:v>HR Manager</x:v>
      </x:c>
      <x:c r="F993" s="35" t="str">
        <x:v>Marketing</x:v>
      </x:c>
      <x:c r="G993" s="35" t="str">
        <x:v>Single</x:v>
      </x:c>
      <x:c r="H993" s="35" t="n">
        <x:v>1</x:v>
      </x:c>
      <x:c r="I993" s="36" t="n">
        <x:v>6030</x:v>
      </x:c>
      <x:c r="J993" s="35" t="n">
        <x:v>11</x:v>
      </x:c>
      <x:c r="K993" s="35" t="n">
        <x:v>6</x:v>
      </x:c>
      <x:c r="L993" s="35" t="n">
        <x:v>4</x:v>
      </x:c>
      <x:c r="M993" s="35" t="n">
        <x:v>4</x:v>
      </x:c>
      <x:c r="N993" s="35" t="str">
        <x:v>No</x:v>
      </x:c>
      <x:c r="O993" s="35" t="n">
        <x:v>3</x:v>
      </x:c>
      <x:c r="P993" s="35" t="n">
        <x:v>3</x:v>
      </x:c>
      <x:c r="Q993" s="35" t="n">
        <x:v>3</x:v>
      </x:c>
      <x:c r="R993" s="35" t="n">
        <x:v>3</x:v>
      </x:c>
      <x:c r="S993" s="35" t="n">
        <x:v>4</x:v>
      </x:c>
      <x:c r="T993" s="35" t="n">
        <x:v>1</x:v>
      </x:c>
      <x:c r="U993" s="35" t="n">
        <x:v>0</x:v>
      </x:c>
      <x:c r="V993" s="35" t="n">
        <x:v>6</x:v>
      </x:c>
      <x:c r="W993" s="35" t="n">
        <x:v>23</x:v>
      </x:c>
      <x:c r="X993" s="35" t="n">
        <x:v>58</x:v>
      </x:c>
      <x:c r="Y993" s="35" t="n">
        <x:v>4</x:v>
      </x:c>
      <x:c r="Z993" s="35" t="n">
        <x:v>97</x:v>
      </x:c>
      <x:c r="AA993" s="35" t="n">
        <x:v>13</x:v>
      </x:c>
      <x:c r="AB993" s="35" t="n">
        <x:v>9</x:v>
      </x:c>
      <x:c r="AC993" s="35" t="n">
        <x:v>7</x:v>
      </x:c>
      <x:c r="AD993" s="35" t="n">
        <x:v>78</x:v>
      </x:c>
      <x:c r="AE993" s="35" t="n">
        <x:v>80</x:v>
      </x:c>
      <x:c r="AF993" s="35" t="n">
        <x:v>97</x:v>
      </x:c>
      <x:c r="AG993" s="35" t="n">
        <x:v>72</x:v>
      </x:c>
      <x:c r="AH993" s="35" t="n">
        <x:v>12</x:v>
      </x:c>
      <x:c r="AI993" s="37" t="n">
        <x:v>98.8</x:v>
      </x:c>
      <x:c r="AJ993" s="37" t="n">
        <x:v>100</x:v>
      </x:c>
      <x:c r="AK993" s="35" t="str">
        <x:v>Yes</x:v>
      </x:c>
      <x:c r="AL993" s="38" t="n">
        <x:f>IF(AA993=0,0,AB993/AA993)</x:f>
        <x:v>0.6923076923076923</x:v>
      </x:c>
      <x:c r="AM993" s="38" t="n">
        <x:f>IF(AB993=0,0,AC993/AB993)</x:f>
        <x:v>0.7777777777777778</x:v>
      </x:c>
      <x:c r="AN993" s="37" t="n">
        <x:f>ROUND((AD993*0.20+AE993*0.20+AF993*0.25+AG993*0.15+MIN(100,AC993*12)*0.20),1)</x:f>
        <x:v>83.5</x:v>
      </x:c>
      <x:c r="AO993" s="37" t="n">
        <x:f>ROUND(MAX(0,MIN(100,(X993*0.35)+(W993/45*100*0.20)+((5-O993)/4*100*0.15)+((5-P993)/4*100*0.10)+((6-Y993)/5*100*0.10)+((100-Z993)*0.10))),1)</x:f>
        <x:v>47.3</x:v>
      </x:c>
      <x:c r="AP993" s="37" t="str">
        <x:f>IF(AO993&gt;=70,"High",IF(AO993&gt;=40,"Moderate","Low"))</x:f>
        <x:v>Moderate</x:v>
      </x:c>
      <x:c r="AQ993" s="37" t="n">
        <x:f>ROUND(MAX(0,MIN(100,(O993/4*100*0.25)+(P993/4*100*0.20)+(Q993/4*100*0.15)+(Y993/5*100*0.20)+(100-AO993)*0.20)),1)</x:f>
        <x:v>71.5</x:v>
      </x:c>
      <x:c r="AR993" s="37" t="n">
        <x:f>ROUND((AI993*0.20+AJ993*0.15+AN993*0.18+AG993*0.12+Z993*0.15+AQ993*0.20),1)</x:f>
        <x:v>87.3</x:v>
      </x:c>
      <x:c r="AS993" s="39" t="n">
        <x:f>ROUND((AC993*AF993*120)+(AH993*350)+(MAX(0,AI993-75)*220)+(MAX(0,AQ993-60)*100),0)</x:f>
        <x:v>92066</x:v>
      </x:c>
    </x:row>
    <x:row r="994">
      <x:c r="A994" s="35" t="n">
        <x:v>993</x:v>
      </x:c>
      <x:c r="B994" s="35" t="n">
        <x:v>40</x:v>
      </x:c>
      <x:c r="C994" s="35" t="str">
        <x:v>Female</x:v>
      </x:c>
      <x:c r="D994" s="35" t="str">
        <x:v>Finance</x:v>
      </x:c>
      <x:c r="E994" s="35" t="str">
        <x:v>Financial Analyst</x:v>
      </x:c>
      <x:c r="F994" s="35" t="str">
        <x:v>Computer Science</x:v>
      </x:c>
      <x:c r="G994" s="35" t="str">
        <x:v>Married</x:v>
      </x:c>
      <x:c r="H994" s="35" t="n">
        <x:v>3</x:v>
      </x:c>
      <x:c r="I994" s="36" t="n">
        <x:v>14360</x:v>
      </x:c>
      <x:c r="J994" s="35" t="n">
        <x:v>13</x:v>
      </x:c>
      <x:c r="K994" s="35" t="n">
        <x:v>9</x:v>
      </x:c>
      <x:c r="L994" s="35" t="n">
        <x:v>4</x:v>
      </x:c>
      <x:c r="M994" s="35" t="n">
        <x:v>10</x:v>
      </x:c>
      <x:c r="N994" s="35" t="str">
        <x:v>No</x:v>
      </x:c>
      <x:c r="O994" s="35" t="n">
        <x:v>1</x:v>
      </x:c>
      <x:c r="P994" s="35" t="n">
        <x:v>2</x:v>
      </x:c>
      <x:c r="Q994" s="35" t="n">
        <x:v>3</x:v>
      </x:c>
      <x:c r="R994" s="35" t="n">
        <x:v>2</x:v>
      </x:c>
      <x:c r="S994" s="35" t="n">
        <x:v>3</x:v>
      </x:c>
      <x:c r="T994" s="35" t="n">
        <x:v>4</x:v>
      </x:c>
      <x:c r="U994" s="35" t="n">
        <x:v>2</x:v>
      </x:c>
      <x:c r="V994" s="35" t="n">
        <x:v>14</x:v>
      </x:c>
      <x:c r="W994" s="35" t="n">
        <x:v>9</x:v>
      </x:c>
      <x:c r="X994" s="35" t="n">
        <x:v>58</x:v>
      </x:c>
      <x:c r="Y994" s="35" t="n">
        <x:v>4</x:v>
      </x:c>
      <x:c r="Z994" s="35" t="n">
        <x:v>93</x:v>
      </x:c>
      <x:c r="AA994" s="35" t="n">
        <x:v>5</x:v>
      </x:c>
      <x:c r="AB994" s="35" t="n">
        <x:v>3</x:v>
      </x:c>
      <x:c r="AC994" s="35" t="n">
        <x:v>2</x:v>
      </x:c>
      <x:c r="AD994" s="35" t="n">
        <x:v>60</x:v>
      </x:c>
      <x:c r="AE994" s="35" t="n">
        <x:v>90</x:v>
      </x:c>
      <x:c r="AF994" s="35" t="n">
        <x:v>67</x:v>
      </x:c>
      <x:c r="AG994" s="35" t="n">
        <x:v>94</x:v>
      </x:c>
      <x:c r="AH994" s="35" t="n">
        <x:v>5</x:v>
      </x:c>
      <x:c r="AI994" s="37" t="n">
        <x:v>100</x:v>
      </x:c>
      <x:c r="AJ994" s="37" t="n">
        <x:v>82.5</x:v>
      </x:c>
      <x:c r="AK994" s="35" t="str">
        <x:v>No</x:v>
      </x:c>
      <x:c r="AL994" s="38" t="n">
        <x:f>IF(AA994=0,0,AB994/AA994)</x:f>
        <x:v>0.6</x:v>
      </x:c>
      <x:c r="AM994" s="38" t="n">
        <x:f>IF(AB994=0,0,AC994/AB994)</x:f>
        <x:v>0.6666666666666666</x:v>
      </x:c>
      <x:c r="AN994" s="37" t="n">
        <x:f>ROUND((AD994*0.20+AE994*0.20+AF994*0.25+AG994*0.15+MIN(100,AC994*12)*0.20),1)</x:f>
        <x:v>65.7</x:v>
      </x:c>
      <x:c r="AO994" s="37" t="n">
        <x:f>ROUND(MAX(0,MIN(100,(X994*0.35)+(W994/45*100*0.20)+((5-O994)/4*100*0.15)+((5-P994)/4*100*0.10)+((6-Y994)/5*100*0.10)+((100-Z994)*0.10))),1)</x:f>
        <x:v>51.5</x:v>
      </x:c>
      <x:c r="AP994" s="37" t="str">
        <x:f>IF(AO994&gt;=70,"High",IF(AO994&gt;=40,"Moderate","Low"))</x:f>
        <x:v>Moderate</x:v>
      </x:c>
      <x:c r="AQ994" s="37" t="n">
        <x:f>ROUND(MAX(0,MIN(100,(O994/4*100*0.25)+(P994/4*100*0.20)+(Q994/4*100*0.15)+(Y994/5*100*0.20)+(100-AO994)*0.20)),1)</x:f>
        <x:v>53.2</x:v>
      </x:c>
      <x:c r="AR994" s="37" t="n">
        <x:f>ROUND((AI994*0.20+AJ994*0.15+AN994*0.18+AG994*0.12+Z994*0.15+AQ994*0.20),1)</x:f>
        <x:v>80.1</x:v>
      </x:c>
      <x:c r="AS994" s="39" t="n">
        <x:f>ROUND((AC994*AF994*120)+(AH994*350)+(MAX(0,AI994-75)*220)+(MAX(0,AQ994-60)*100),0)</x:f>
        <x:v>23330</x:v>
      </x:c>
    </x:row>
    <x:row r="995">
      <x:c r="A995" s="35" t="n">
        <x:v>994</x:v>
      </x:c>
      <x:c r="B995" s="35" t="n">
        <x:v>24</x:v>
      </x:c>
      <x:c r="C995" s="35" t="str">
        <x:v>Male</x:v>
      </x:c>
      <x:c r="D995" s="35" t="str">
        <x:v>Sales</x:v>
      </x:c>
      <x:c r="E995" s="35" t="str">
        <x:v>Account Manager</x:v>
      </x:c>
      <x:c r="F995" s="35" t="str">
        <x:v>Marketing</x:v>
      </x:c>
      <x:c r="G995" s="35" t="str">
        <x:v>Single</x:v>
      </x:c>
      <x:c r="H995" s="35" t="n">
        <x:v>1</x:v>
      </x:c>
      <x:c r="I995" s="36" t="n">
        <x:v>5830</x:v>
      </x:c>
      <x:c r="J995" s="35" t="n">
        <x:v>2</x:v>
      </x:c>
      <x:c r="K995" s="35" t="n">
        <x:v>1</x:v>
      </x:c>
      <x:c r="L995" s="35" t="n">
        <x:v>0</x:v>
      </x:c>
      <x:c r="M995" s="35" t="n">
        <x:v>12</x:v>
      </x:c>
      <x:c r="N995" s="35" t="str">
        <x:v>Yes</x:v>
      </x:c>
      <x:c r="O995" s="35" t="n">
        <x:v>2</x:v>
      </x:c>
      <x:c r="P995" s="35" t="n">
        <x:v>3</x:v>
      </x:c>
      <x:c r="Q995" s="35" t="n">
        <x:v>3</x:v>
      </x:c>
      <x:c r="R995" s="35" t="n">
        <x:v>3</x:v>
      </x:c>
      <x:c r="S995" s="35" t="n">
        <x:v>3</x:v>
      </x:c>
      <x:c r="T995" s="35" t="n">
        <x:v>2</x:v>
      </x:c>
      <x:c r="U995" s="35" t="n">
        <x:v>1</x:v>
      </x:c>
      <x:c r="V995" s="35" t="n">
        <x:v>0</x:v>
      </x:c>
      <x:c r="W995" s="35" t="n">
        <x:v>23</x:v>
      </x:c>
      <x:c r="X995" s="35" t="n">
        <x:v>63</x:v>
      </x:c>
      <x:c r="Y995" s="35" t="n">
        <x:v>5</x:v>
      </x:c>
      <x:c r="Z995" s="35" t="n">
        <x:v>100</x:v>
      </x:c>
      <x:c r="AA995" s="35" t="n">
        <x:v>2</x:v>
      </x:c>
      <x:c r="AB995" s="35" t="n">
        <x:v>1</x:v>
      </x:c>
      <x:c r="AC995" s="35" t="n">
        <x:v>1</x:v>
      </x:c>
      <x:c r="AD995" s="35" t="n">
        <x:v>69</x:v>
      </x:c>
      <x:c r="AE995" s="35" t="n">
        <x:v>85</x:v>
      </x:c>
      <x:c r="AF995" s="35" t="n">
        <x:v>62</x:v>
      </x:c>
      <x:c r="AG995" s="35" t="n">
        <x:v>100</x:v>
      </x:c>
      <x:c r="AH995" s="35" t="n">
        <x:v>3</x:v>
      </x:c>
      <x:c r="AI995" s="37" t="n">
        <x:v>89</x:v>
      </x:c>
      <x:c r="AJ995" s="37" t="n">
        <x:v>90.4</x:v>
      </x:c>
      <x:c r="AK995" s="35" t="str">
        <x:v>No</x:v>
      </x:c>
      <x:c r="AL995" s="38" t="n">
        <x:f>IF(AA995=0,0,AB995/AA995)</x:f>
        <x:v>0.5</x:v>
      </x:c>
      <x:c r="AM995" s="38" t="n">
        <x:f>IF(AB995=0,0,AC995/AB995)</x:f>
        <x:v>1</x:v>
      </x:c>
      <x:c r="AN995" s="37" t="n">
        <x:f>ROUND((AD995*0.20+AE995*0.20+AF995*0.25+AG995*0.15+MIN(100,AC995*12)*0.20),1)</x:f>
        <x:v>63.7</x:v>
      </x:c>
      <x:c r="AO995" s="37" t="n">
        <x:f>ROUND(MAX(0,MIN(100,(X995*0.35)+(W995/45*100*0.20)+((5-O995)/4*100*0.15)+((5-P995)/4*100*0.10)+((6-Y995)/5*100*0.10)+((100-Z995)*0.10))),1)</x:f>
        <x:v>50.5</x:v>
      </x:c>
      <x:c r="AP995" s="37" t="str">
        <x:f>IF(AO995&gt;=70,"High",IF(AO995&gt;=40,"Moderate","Low"))</x:f>
        <x:v>Moderate</x:v>
      </x:c>
      <x:c r="AQ995" s="37" t="n">
        <x:f>ROUND(MAX(0,MIN(100,(O995/4*100*0.25)+(P995/4*100*0.20)+(Q995/4*100*0.15)+(Y995/5*100*0.20)+(100-AO995)*0.20)),1)</x:f>
        <x:v>68.7</x:v>
      </x:c>
      <x:c r="AR995" s="37" t="n">
        <x:f>ROUND((AI995*0.20+AJ995*0.15+AN995*0.18+AG995*0.12+Z995*0.15+AQ995*0.20),1)</x:f>
        <x:v>83.6</x:v>
      </x:c>
      <x:c r="AS995" s="39" t="n">
        <x:f>ROUND((AC995*AF995*120)+(AH995*350)+(MAX(0,AI995-75)*220)+(MAX(0,AQ995-60)*100),0)</x:f>
        <x:v>12440</x:v>
      </x:c>
    </x:row>
    <x:row r="996">
      <x:c r="A996" s="35" t="n">
        <x:v>995</x:v>
      </x:c>
      <x:c r="B996" s="35" t="n">
        <x:v>41</x:v>
      </x:c>
      <x:c r="C996" s="35" t="str">
        <x:v>Male</x:v>
      </x:c>
      <x:c r="D996" s="35" t="str">
        <x:v>Information Technology</x:v>
      </x:c>
      <x:c r="E996" s="35" t="str">
        <x:v>Systems Analyst</x:v>
      </x:c>
      <x:c r="F996" s="35" t="str">
        <x:v>Human Resources</x:v>
      </x:c>
      <x:c r="G996" s="35" t="str">
        <x:v>Married</x:v>
      </x:c>
      <x:c r="H996" s="35" t="n">
        <x:v>4</x:v>
      </x:c>
      <x:c r="I996" s="36" t="n">
        <x:v>18410</x:v>
      </x:c>
      <x:c r="J996" s="35" t="n">
        <x:v>11</x:v>
      </x:c>
      <x:c r="K996" s="35" t="n">
        <x:v>6</x:v>
      </x:c>
      <x:c r="L996" s="35" t="n">
        <x:v>2</x:v>
      </x:c>
      <x:c r="M996" s="35" t="n">
        <x:v>14</x:v>
      </x:c>
      <x:c r="N996" s="35" t="str">
        <x:v>No</x:v>
      </x:c>
      <x:c r="O996" s="35" t="n">
        <x:v>3</x:v>
      </x:c>
      <x:c r="P996" s="35" t="n">
        <x:v>2</x:v>
      </x:c>
      <x:c r="Q996" s="35" t="n">
        <x:v>3</x:v>
      </x:c>
      <x:c r="R996" s="35" t="n">
        <x:v>2</x:v>
      </x:c>
      <x:c r="S996" s="35" t="n">
        <x:v>3</x:v>
      </x:c>
      <x:c r="T996" s="35" t="n">
        <x:v>3</x:v>
      </x:c>
      <x:c r="U996" s="35" t="n">
        <x:v>0</x:v>
      </x:c>
      <x:c r="V996" s="35" t="n">
        <x:v>3</x:v>
      </x:c>
      <x:c r="W996" s="35" t="n">
        <x:v>2</x:v>
      </x:c>
      <x:c r="X996" s="35" t="n">
        <x:v>69</x:v>
      </x:c>
      <x:c r="Y996" s="35" t="n">
        <x:v>4</x:v>
      </x:c>
      <x:c r="Z996" s="35" t="n">
        <x:v>79</x:v>
      </x:c>
      <x:c r="AA996" s="35" t="n">
        <x:v>7</x:v>
      </x:c>
      <x:c r="AB996" s="35" t="n">
        <x:v>5</x:v>
      </x:c>
      <x:c r="AC996" s="35" t="n">
        <x:v>4</x:v>
      </x:c>
      <x:c r="AD996" s="35" t="n">
        <x:v>83</x:v>
      </x:c>
      <x:c r="AE996" s="35" t="n">
        <x:v>87</x:v>
      </x:c>
      <x:c r="AF996" s="35" t="n">
        <x:v>97</x:v>
      </x:c>
      <x:c r="AG996" s="35" t="n">
        <x:v>81</x:v>
      </x:c>
      <x:c r="AH996" s="35" t="n">
        <x:v>6</x:v>
      </x:c>
      <x:c r="AI996" s="37" t="n">
        <x:v>100</x:v>
      </x:c>
      <x:c r="AJ996" s="37" t="n">
        <x:v>100</x:v>
      </x:c>
      <x:c r="AK996" s="35" t="str">
        <x:v>No</x:v>
      </x:c>
      <x:c r="AL996" s="38" t="n">
        <x:f>IF(AA996=0,0,AB996/AA996)</x:f>
        <x:v>0.7142857142857143</x:v>
      </x:c>
      <x:c r="AM996" s="38" t="n">
        <x:f>IF(AB996=0,0,AC996/AB996)</x:f>
        <x:v>0.8</x:v>
      </x:c>
      <x:c r="AN996" s="37" t="n">
        <x:f>ROUND((AD996*0.20+AE996*0.20+AF996*0.25+AG996*0.15+MIN(100,AC996*12)*0.20),1)</x:f>
        <x:v>80</x:v>
      </x:c>
      <x:c r="AO996" s="37" t="n">
        <x:f>ROUND(MAX(0,MIN(100,(X996*0.35)+(W996/45*100*0.20)+((5-O996)/4*100*0.15)+((5-P996)/4*100*0.10)+((6-Y996)/5*100*0.10)+((100-Z996)*0.10))),1)</x:f>
        <x:v>46.1</x:v>
      </x:c>
      <x:c r="AP996" s="37" t="str">
        <x:f>IF(AO996&gt;=70,"High",IF(AO996&gt;=40,"Moderate","Low"))</x:f>
        <x:v>Moderate</x:v>
      </x:c>
      <x:c r="AQ996" s="37" t="n">
        <x:f>ROUND(MAX(0,MIN(100,(O996/4*100*0.25)+(P996/4*100*0.20)+(Q996/4*100*0.15)+(Y996/5*100*0.20)+(100-AO996)*0.20)),1)</x:f>
        <x:v>66.8</x:v>
      </x:c>
      <x:c r="AR996" s="37" t="n">
        <x:f>ROUND((AI996*0.20+AJ996*0.15+AN996*0.18+AG996*0.12+Z996*0.15+AQ996*0.20),1)</x:f>
        <x:v>84.3</x:v>
      </x:c>
      <x:c r="AS996" s="39" t="n">
        <x:f>ROUND((AC996*AF996*120)+(AH996*350)+(MAX(0,AI996-75)*220)+(MAX(0,AQ996-60)*100),0)</x:f>
        <x:v>54840</x:v>
      </x:c>
    </x:row>
    <x:row r="997">
      <x:c r="A997" s="35" t="n">
        <x:v>996</x:v>
      </x:c>
      <x:c r="B997" s="35" t="n">
        <x:v>38</x:v>
      </x:c>
      <x:c r="C997" s="35" t="str">
        <x:v>Female</x:v>
      </x:c>
      <x:c r="D997" s="35" t="str">
        <x:v>Sales</x:v>
      </x:c>
      <x:c r="E997" s="35" t="str">
        <x:v>Sales Executive</x:v>
      </x:c>
      <x:c r="F997" s="35" t="str">
        <x:v>Medical</x:v>
      </x:c>
      <x:c r="G997" s="35" t="str">
        <x:v>Married</x:v>
      </x:c>
      <x:c r="H997" s="35" t="n">
        <x:v>3</x:v>
      </x:c>
      <x:c r="I997" s="36" t="n">
        <x:v>16210</x:v>
      </x:c>
      <x:c r="J997" s="35" t="n">
        <x:v>11</x:v>
      </x:c>
      <x:c r="K997" s="35" t="n">
        <x:v>9</x:v>
      </x:c>
      <x:c r="L997" s="35" t="n">
        <x:v>2</x:v>
      </x:c>
      <x:c r="M997" s="35" t="n">
        <x:v>8</x:v>
      </x:c>
      <x:c r="N997" s="35" t="str">
        <x:v>Yes</x:v>
      </x:c>
      <x:c r="O997" s="35" t="n">
        <x:v>2</x:v>
      </x:c>
      <x:c r="P997" s="35" t="n">
        <x:v>1</x:v>
      </x:c>
      <x:c r="Q997" s="35" t="n">
        <x:v>2</x:v>
      </x:c>
      <x:c r="R997" s="35" t="n">
        <x:v>3</x:v>
      </x:c>
      <x:c r="S997" s="35" t="n">
        <x:v>3</x:v>
      </x:c>
      <x:c r="T997" s="35" t="n">
        <x:v>3</x:v>
      </x:c>
      <x:c r="U997" s="35" t="n">
        <x:v>0</x:v>
      </x:c>
      <x:c r="V997" s="35" t="n">
        <x:v>2</x:v>
      </x:c>
      <x:c r="W997" s="35" t="n">
        <x:v>29</x:v>
      </x:c>
      <x:c r="X997" s="35" t="n">
        <x:v>79</x:v>
      </x:c>
      <x:c r="Y997" s="35" t="n">
        <x:v>4</x:v>
      </x:c>
      <x:c r="Z997" s="35" t="n">
        <x:v>94</x:v>
      </x:c>
      <x:c r="AA997" s="35" t="n">
        <x:v>4</x:v>
      </x:c>
      <x:c r="AB997" s="35" t="n">
        <x:v>3</x:v>
      </x:c>
      <x:c r="AC997" s="35" t="n">
        <x:v>2</x:v>
      </x:c>
      <x:c r="AD997" s="35" t="n">
        <x:v>61</x:v>
      </x:c>
      <x:c r="AE997" s="35" t="n">
        <x:v>77</x:v>
      </x:c>
      <x:c r="AF997" s="35" t="n">
        <x:v>72</x:v>
      </x:c>
      <x:c r="AG997" s="35" t="n">
        <x:v>85</x:v>
      </x:c>
      <x:c r="AH997" s="35" t="n">
        <x:v>3</x:v>
      </x:c>
      <x:c r="AI997" s="37" t="n">
        <x:v>99.4</x:v>
      </x:c>
      <x:c r="AJ997" s="37" t="n">
        <x:v>80.2</x:v>
      </x:c>
      <x:c r="AK997" s="35" t="str">
        <x:v>No</x:v>
      </x:c>
      <x:c r="AL997" s="38" t="n">
        <x:f>IF(AA997=0,0,AB997/AA997)</x:f>
        <x:v>0.75</x:v>
      </x:c>
      <x:c r="AM997" s="38" t="n">
        <x:f>IF(AB997=0,0,AC997/AB997)</x:f>
        <x:v>0.6666666666666666</x:v>
      </x:c>
      <x:c r="AN997" s="37" t="n">
        <x:f>ROUND((AD997*0.20+AE997*0.20+AF997*0.25+AG997*0.15+MIN(100,AC997*12)*0.20),1)</x:f>
        <x:v>63.2</x:v>
      </x:c>
      <x:c r="AO997" s="37" t="n">
        <x:f>ROUND(MAX(0,MIN(100,(X997*0.35)+(W997/45*100*0.20)+((5-O997)/4*100*0.15)+((5-P997)/4*100*0.10)+((6-Y997)/5*100*0.10)+((100-Z997)*0.10))),1)</x:f>
        <x:v>66.4</x:v>
      </x:c>
      <x:c r="AP997" s="37" t="str">
        <x:f>IF(AO997&gt;=70,"High",IF(AO997&gt;=40,"Moderate","Low"))</x:f>
        <x:v>Moderate</x:v>
      </x:c>
      <x:c r="AQ997" s="37" t="n">
        <x:f>ROUND(MAX(0,MIN(100,(O997/4*100*0.25)+(P997/4*100*0.20)+(Q997/4*100*0.15)+(Y997/5*100*0.20)+(100-AO997)*0.20)),1)</x:f>
        <x:v>47.7</x:v>
      </x:c>
      <x:c r="AR997" s="37" t="n">
        <x:f>ROUND((AI997*0.20+AJ997*0.15+AN997*0.18+AG997*0.12+Z997*0.15+AQ997*0.20),1)</x:f>
        <x:v>77.1</x:v>
      </x:c>
      <x:c r="AS997" s="39" t="n">
        <x:f>ROUND((AC997*AF997*120)+(AH997*350)+(MAX(0,AI997-75)*220)+(MAX(0,AQ997-60)*100),0)</x:f>
        <x:v>23698</x:v>
      </x:c>
    </x:row>
    <x:row r="998">
      <x:c r="A998" s="35" t="n">
        <x:v>997</x:v>
      </x:c>
      <x:c r="B998" s="35" t="n">
        <x:v>29</x:v>
      </x:c>
      <x:c r="C998" s="35" t="str">
        <x:v>Male</x:v>
      </x:c>
      <x:c r="D998" s="35" t="str">
        <x:v>Research &amp; Development</x:v>
      </x:c>
      <x:c r="E998" s="35" t="str">
        <x:v>Research Scientist</x:v>
      </x:c>
      <x:c r="F998" s="35" t="str">
        <x:v>Medical</x:v>
      </x:c>
      <x:c r="G998" s="35" t="str">
        <x:v>Divorced</x:v>
      </x:c>
      <x:c r="H998" s="35" t="n">
        <x:v>1</x:v>
      </x:c>
      <x:c r="I998" s="36" t="n">
        <x:v>6020</x:v>
      </x:c>
      <x:c r="J998" s="35" t="n">
        <x:v>7</x:v>
      </x:c>
      <x:c r="K998" s="35" t="n">
        <x:v>3</x:v>
      </x:c>
      <x:c r="L998" s="35" t="n">
        <x:v>1</x:v>
      </x:c>
      <x:c r="M998" s="35" t="n">
        <x:v>7</x:v>
      </x:c>
      <x:c r="N998" s="35" t="str">
        <x:v>No</x:v>
      </x:c>
      <x:c r="O998" s="35" t="n">
        <x:v>3</x:v>
      </x:c>
      <x:c r="P998" s="35" t="n">
        <x:v>4</x:v>
      </x:c>
      <x:c r="Q998" s="35" t="n">
        <x:v>2</x:v>
      </x:c>
      <x:c r="R998" s="35" t="n">
        <x:v>3</x:v>
      </x:c>
      <x:c r="S998" s="35" t="n">
        <x:v>3</x:v>
      </x:c>
      <x:c r="T998" s="35" t="n">
        <x:v>4</x:v>
      </x:c>
      <x:c r="U998" s="35" t="n">
        <x:v>2</x:v>
      </x:c>
      <x:c r="V998" s="35" t="n">
        <x:v>9</x:v>
      </x:c>
      <x:c r="W998" s="35" t="n">
        <x:v>10</x:v>
      </x:c>
      <x:c r="X998" s="35" t="n">
        <x:v>50</x:v>
      </x:c>
      <x:c r="Y998" s="35" t="n">
        <x:v>5</x:v>
      </x:c>
      <x:c r="Z998" s="35" t="n">
        <x:v>100</x:v>
      </x:c>
      <x:c r="AA998" s="35" t="n">
        <x:v>7</x:v>
      </x:c>
      <x:c r="AB998" s="35" t="n">
        <x:v>7</x:v>
      </x:c>
      <x:c r="AC998" s="35" t="n">
        <x:v>4</x:v>
      </x:c>
      <x:c r="AD998" s="35" t="n">
        <x:v>100</x:v>
      </x:c>
      <x:c r="AE998" s="35" t="n">
        <x:v>81</x:v>
      </x:c>
      <x:c r="AF998" s="35" t="n">
        <x:v>86</x:v>
      </x:c>
      <x:c r="AG998" s="35" t="n">
        <x:v>86</x:v>
      </x:c>
      <x:c r="AH998" s="35" t="n">
        <x:v>7</x:v>
      </x:c>
      <x:c r="AI998" s="37" t="n">
        <x:v>97.2</x:v>
      </x:c>
      <x:c r="AJ998" s="37" t="n">
        <x:v>97.5</x:v>
      </x:c>
      <x:c r="AK998" s="35" t="str">
        <x:v>No</x:v>
      </x:c>
      <x:c r="AL998" s="38" t="n">
        <x:f>IF(AA998=0,0,AB998/AA998)</x:f>
        <x:v>1</x:v>
      </x:c>
      <x:c r="AM998" s="38" t="n">
        <x:f>IF(AB998=0,0,AC998/AB998)</x:f>
        <x:v>0.5714285714285714</x:v>
      </x:c>
      <x:c r="AN998" s="37" t="n">
        <x:f>ROUND((AD998*0.20+AE998*0.20+AF998*0.25+AG998*0.15+MIN(100,AC998*12)*0.20),1)</x:f>
        <x:v>80.2</x:v>
      </x:c>
      <x:c r="AO998" s="37" t="n">
        <x:f>ROUND(MAX(0,MIN(100,(X998*0.35)+(W998/45*100*0.20)+((5-O998)/4*100*0.15)+((5-P998)/4*100*0.10)+((6-Y998)/5*100*0.10)+((100-Z998)*0.10))),1)</x:f>
        <x:v>33.9</x:v>
      </x:c>
      <x:c r="AP998" s="37" t="str">
        <x:f>IF(AO998&gt;=70,"High",IF(AO998&gt;=40,"Moderate","Low"))</x:f>
        <x:v>Low</x:v>
      </x:c>
      <x:c r="AQ998" s="37" t="n">
        <x:f>ROUND(MAX(0,MIN(100,(O998/4*100*0.25)+(P998/4*100*0.20)+(Q998/4*100*0.15)+(Y998/5*100*0.20)+(100-AO998)*0.20)),1)</x:f>
        <x:v>79.5</x:v>
      </x:c>
      <x:c r="AR998" s="37" t="n">
        <x:f>ROUND((AI998*0.20+AJ998*0.15+AN998*0.18+AG998*0.12+Z998*0.15+AQ998*0.20),1)</x:f>
        <x:v>89.7</x:v>
      </x:c>
      <x:c r="AS998" s="39" t="n">
        <x:f>ROUND((AC998*AF998*120)+(AH998*350)+(MAX(0,AI998-75)*220)+(MAX(0,AQ998-60)*100),0)</x:f>
        <x:v>50564</x:v>
      </x:c>
    </x:row>
    <x:row r="999">
      <x:c r="A999" s="35" t="n">
        <x:v>998</x:v>
      </x:c>
      <x:c r="B999" s="35" t="n">
        <x:v>41</x:v>
      </x:c>
      <x:c r="C999" s="35" t="str">
        <x:v>Male</x:v>
      </x:c>
      <x:c r="D999" s="35" t="str">
        <x:v>Marketing</x:v>
      </x:c>
      <x:c r="E999" s="35" t="str">
        <x:v>Marketing Specialist</x:v>
      </x:c>
      <x:c r="F999" s="35" t="str">
        <x:v>Business</x:v>
      </x:c>
      <x:c r="G999" s="35" t="str">
        <x:v>Married</x:v>
      </x:c>
      <x:c r="H999" s="35" t="n">
        <x:v>3</x:v>
      </x:c>
      <x:c r="I999" s="36" t="n">
        <x:v>11690</x:v>
      </x:c>
      <x:c r="J999" s="35" t="n">
        <x:v>12</x:v>
      </x:c>
      <x:c r="K999" s="35" t="n">
        <x:v>10</x:v>
      </x:c>
      <x:c r="L999" s="35" t="n">
        <x:v>6</x:v>
      </x:c>
      <x:c r="M999" s="35" t="n">
        <x:v>4</x:v>
      </x:c>
      <x:c r="N999" s="35" t="str">
        <x:v>No</x:v>
      </x:c>
      <x:c r="O999" s="35" t="n">
        <x:v>2</x:v>
      </x:c>
      <x:c r="P999" s="35" t="n">
        <x:v>3</x:v>
      </x:c>
      <x:c r="Q999" s="35" t="n">
        <x:v>3</x:v>
      </x:c>
      <x:c r="R999" s="35" t="n">
        <x:v>3</x:v>
      </x:c>
      <x:c r="S999" s="35" t="n">
        <x:v>3</x:v>
      </x:c>
      <x:c r="T999" s="35" t="n">
        <x:v>3</x:v>
      </x:c>
      <x:c r="U999" s="35" t="n">
        <x:v>0</x:v>
      </x:c>
      <x:c r="V999" s="35" t="n">
        <x:v>6</x:v>
      </x:c>
      <x:c r="W999" s="35" t="n">
        <x:v>10</x:v>
      </x:c>
      <x:c r="X999" s="35" t="n">
        <x:v>28</x:v>
      </x:c>
      <x:c r="Y999" s="35" t="n">
        <x:v>5</x:v>
      </x:c>
      <x:c r="Z999" s="35" t="n">
        <x:v>100</x:v>
      </x:c>
      <x:c r="AA999" s="35" t="n">
        <x:v>9</x:v>
      </x:c>
      <x:c r="AB999" s="35" t="n">
        <x:v>7</x:v>
      </x:c>
      <x:c r="AC999" s="35" t="n">
        <x:v>5</x:v>
      </x:c>
      <x:c r="AD999" s="35" t="n">
        <x:v>71</x:v>
      </x:c>
      <x:c r="AE999" s="35" t="n">
        <x:v>99</x:v>
      </x:c>
      <x:c r="AF999" s="35" t="n">
        <x:v>75</x:v>
      </x:c>
      <x:c r="AG999" s="35" t="n">
        <x:v>88</x:v>
      </x:c>
      <x:c r="AH999" s="35" t="n">
        <x:v>7</x:v>
      </x:c>
      <x:c r="AI999" s="37" t="n">
        <x:v>87.5</x:v>
      </x:c>
      <x:c r="AJ999" s="37" t="n">
        <x:v>98.5</x:v>
      </x:c>
      <x:c r="AK999" s="35" t="str">
        <x:v>No</x:v>
      </x:c>
      <x:c r="AL999" s="38" t="n">
        <x:f>IF(AA999=0,0,AB999/AA999)</x:f>
        <x:v>0.7777777777777778</x:v>
      </x:c>
      <x:c r="AM999" s="38" t="n">
        <x:f>IF(AB999=0,0,AC999/AB999)</x:f>
        <x:v>0.7142857142857143</x:v>
      </x:c>
      <x:c r="AN999" s="37" t="n">
        <x:f>ROUND((AD999*0.20+AE999*0.20+AF999*0.25+AG999*0.15+MIN(100,AC999*12)*0.20),1)</x:f>
        <x:v>78</x:v>
      </x:c>
      <x:c r="AO999" s="37" t="n">
        <x:f>ROUND(MAX(0,MIN(100,(X999*0.35)+(W999/45*100*0.20)+((5-O999)/4*100*0.15)+((5-P999)/4*100*0.10)+((6-Y999)/5*100*0.10)+((100-Z999)*0.10))),1)</x:f>
        <x:v>32.5</x:v>
      </x:c>
      <x:c r="AP999" s="37" t="str">
        <x:f>IF(AO999&gt;=70,"High",IF(AO999&gt;=40,"Moderate","Low"))</x:f>
        <x:v>Low</x:v>
      </x:c>
      <x:c r="AQ999" s="37" t="n">
        <x:f>ROUND(MAX(0,MIN(100,(O999/4*100*0.25)+(P999/4*100*0.20)+(Q999/4*100*0.15)+(Y999/5*100*0.20)+(100-AO999)*0.20)),1)</x:f>
        <x:v>72.3</x:v>
      </x:c>
      <x:c r="AR999" s="37" t="n">
        <x:f>ROUND((AI999*0.20+AJ999*0.15+AN999*0.18+AG999*0.12+Z999*0.15+AQ999*0.20),1)</x:f>
        <x:v>86.3</x:v>
      </x:c>
      <x:c r="AS999" s="39" t="n">
        <x:f>ROUND((AC999*AF999*120)+(AH999*350)+(MAX(0,AI999-75)*220)+(MAX(0,AQ999-60)*100),0)</x:f>
        <x:v>51430</x:v>
      </x:c>
    </x:row>
    <x:row r="1000">
      <x:c r="A1000" s="35" t="n">
        <x:v>999</x:v>
      </x:c>
      <x:c r="B1000" s="35" t="n">
        <x:v>41</x:v>
      </x:c>
      <x:c r="C1000" s="35" t="str">
        <x:v>Female</x:v>
      </x:c>
      <x:c r="D1000" s="35" t="str">
        <x:v>Operations</x:v>
      </x:c>
      <x:c r="E1000" s="35" t="str">
        <x:v>Quality Specialist</x:v>
      </x:c>
      <x:c r="F1000" s="35" t="str">
        <x:v>Business</x:v>
      </x:c>
      <x:c r="G1000" s="35" t="str">
        <x:v>Divorced</x:v>
      </x:c>
      <x:c r="H1000" s="35" t="n">
        <x:v>4</x:v>
      </x:c>
      <x:c r="I1000" s="36" t="n">
        <x:v>15350</x:v>
      </x:c>
      <x:c r="J1000" s="35" t="n">
        <x:v>10</x:v>
      </x:c>
      <x:c r="K1000" s="35" t="n">
        <x:v>8</x:v>
      </x:c>
      <x:c r="L1000" s="35" t="n">
        <x:v>3</x:v>
      </x:c>
      <x:c r="M1000" s="35" t="n">
        <x:v>5</x:v>
      </x:c>
      <x:c r="N1000" s="35" t="str">
        <x:v>No</x:v>
      </x:c>
      <x:c r="O1000" s="35" t="n">
        <x:v>3</x:v>
      </x:c>
      <x:c r="P1000" s="35" t="n">
        <x:v>2</x:v>
      </x:c>
      <x:c r="Q1000" s="35" t="n">
        <x:v>4</x:v>
      </x:c>
      <x:c r="R1000" s="35" t="n">
        <x:v>3</x:v>
      </x:c>
      <x:c r="S1000" s="35" t="n">
        <x:v>3</x:v>
      </x:c>
      <x:c r="T1000" s="35" t="n">
        <x:v>2</x:v>
      </x:c>
      <x:c r="U1000" s="35" t="n">
        <x:v>0</x:v>
      </x:c>
      <x:c r="V1000" s="35" t="n">
        <x:v>4</x:v>
      </x:c>
      <x:c r="W1000" s="35" t="n">
        <x:v>12</x:v>
      </x:c>
      <x:c r="X1000" s="35" t="n">
        <x:v>49</x:v>
      </x:c>
      <x:c r="Y1000" s="35" t="n">
        <x:v>4</x:v>
      </x:c>
      <x:c r="Z1000" s="35" t="n">
        <x:v>100</x:v>
      </x:c>
      <x:c r="AA1000" s="35" t="n">
        <x:v>7</x:v>
      </x:c>
      <x:c r="AB1000" s="35" t="n">
        <x:v>7</x:v>
      </x:c>
      <x:c r="AC1000" s="35" t="n">
        <x:v>5</x:v>
      </x:c>
      <x:c r="AD1000" s="35" t="n">
        <x:v>67</x:v>
      </x:c>
      <x:c r="AE1000" s="35" t="n">
        <x:v>80</x:v>
      </x:c>
      <x:c r="AF1000" s="35" t="n">
        <x:v>99</x:v>
      </x:c>
      <x:c r="AG1000" s="35" t="n">
        <x:v>87</x:v>
      </x:c>
      <x:c r="AH1000" s="35" t="n">
        <x:v>7</x:v>
      </x:c>
      <x:c r="AI1000" s="37" t="n">
        <x:v>100</x:v>
      </x:c>
      <x:c r="AJ1000" s="37" t="n">
        <x:v>91.8</x:v>
      </x:c>
      <x:c r="AK1000" s="35" t="str">
        <x:v>No</x:v>
      </x:c>
      <x:c r="AL1000" s="38" t="n">
        <x:f>IF(AA1000=0,0,AB1000/AA1000)</x:f>
        <x:v>1</x:v>
      </x:c>
      <x:c r="AM1000" s="38" t="n">
        <x:f>IF(AB1000=0,0,AC1000/AB1000)</x:f>
        <x:v>0.7142857142857143</x:v>
      </x:c>
      <x:c r="AN1000" s="37" t="n">
        <x:f>ROUND((AD1000*0.20+AE1000*0.20+AF1000*0.25+AG1000*0.15+MIN(100,AC1000*12)*0.20),1)</x:f>
        <x:v>79.2</x:v>
      </x:c>
      <x:c r="AO1000" s="37" t="n">
        <x:f>ROUND(MAX(0,MIN(100,(X1000*0.35)+(W1000/45*100*0.20)+((5-O1000)/4*100*0.15)+((5-P1000)/4*100*0.10)+((6-Y1000)/5*100*0.10)+((100-Z1000)*0.10))),1)</x:f>
        <x:v>41.5</x:v>
      </x:c>
      <x:c r="AP1000" s="37" t="str">
        <x:f>IF(AO1000&gt;=70,"High",IF(AO1000&gt;=40,"Moderate","Low"))</x:f>
        <x:v>Moderate</x:v>
      </x:c>
      <x:c r="AQ1000" s="37" t="n">
        <x:f>ROUND(MAX(0,MIN(100,(O1000/4*100*0.25)+(P1000/4*100*0.20)+(Q1000/4*100*0.15)+(Y1000/5*100*0.20)+(100-AO1000)*0.20)),1)</x:f>
        <x:v>71.5</x:v>
      </x:c>
      <x:c r="AR1000" s="37" t="n">
        <x:f>ROUND((AI1000*0.20+AJ1000*0.15+AN1000*0.18+AG1000*0.12+Z1000*0.15+AQ1000*0.20),1)</x:f>
        <x:v>87.8</x:v>
      </x:c>
      <x:c r="AS1000" s="39" t="n">
        <x:f>ROUND((AC1000*AF1000*120)+(AH1000*350)+(MAX(0,AI1000-75)*220)+(MAX(0,AQ1000-60)*100),0)</x:f>
        <x:v>68500</x:v>
      </x:c>
    </x:row>
    <x:row r="1001">
      <x:c r="A1001" s="35" t="n">
        <x:v>1000</x:v>
      </x:c>
      <x:c r="B1001" s="35" t="n">
        <x:v>27</x:v>
      </x:c>
      <x:c r="C1001" s="35" t="str">
        <x:v>Female</x:v>
      </x:c>
      <x:c r="D1001" s="35" t="str">
        <x:v>Research &amp; Development</x:v>
      </x:c>
      <x:c r="E1001" s="35" t="str">
        <x:v>Research Scientist</x:v>
      </x:c>
      <x:c r="F1001" s="35" t="str">
        <x:v>Business</x:v>
      </x:c>
      <x:c r="G1001" s="35" t="str">
        <x:v>Divorced</x:v>
      </x:c>
      <x:c r="H1001" s="35" t="n">
        <x:v>1</x:v>
      </x:c>
      <x:c r="I1001" s="36" t="n">
        <x:v>6280</x:v>
      </x:c>
      <x:c r="J1001" s="35" t="n">
        <x:v>3</x:v>
      </x:c>
      <x:c r="K1001" s="35" t="n">
        <x:v>2</x:v>
      </x:c>
      <x:c r="L1001" s="35" t="n">
        <x:v>2</x:v>
      </x:c>
      <x:c r="M1001" s="35" t="n">
        <x:v>1</x:v>
      </x:c>
      <x:c r="N1001" s="35" t="str">
        <x:v>No</x:v>
      </x:c>
      <x:c r="O1001" s="35" t="n">
        <x:v>4</x:v>
      </x:c>
      <x:c r="P1001" s="35" t="n">
        <x:v>3</x:v>
      </x:c>
      <x:c r="Q1001" s="35" t="n">
        <x:v>3</x:v>
      </x:c>
      <x:c r="R1001" s="35" t="n">
        <x:v>3</x:v>
      </x:c>
      <x:c r="S1001" s="35" t="n">
        <x:v>3</x:v>
      </x:c>
      <x:c r="T1001" s="35" t="n">
        <x:v>4</x:v>
      </x:c>
      <x:c r="U1001" s="35" t="n">
        <x:v>2</x:v>
      </x:c>
      <x:c r="V1001" s="35" t="n">
        <x:v>4</x:v>
      </x:c>
      <x:c r="W1001" s="35" t="n">
        <x:v>22</x:v>
      </x:c>
      <x:c r="X1001" s="35" t="n">
        <x:v>66</x:v>
      </x:c>
      <x:c r="Y1001" s="35" t="n">
        <x:v>5</x:v>
      </x:c>
      <x:c r="Z1001" s="35" t="n">
        <x:v>99</x:v>
      </x:c>
      <x:c r="AA1001" s="35" t="n">
        <x:v>7</x:v>
      </x:c>
      <x:c r="AB1001" s="35" t="n">
        <x:v>6</x:v>
      </x:c>
      <x:c r="AC1001" s="35" t="n">
        <x:v>6</x:v>
      </x:c>
      <x:c r="AD1001" s="35" t="n">
        <x:v>75</x:v>
      </x:c>
      <x:c r="AE1001" s="35" t="n">
        <x:v>100</x:v>
      </x:c>
      <x:c r="AF1001" s="35" t="n">
        <x:v>86</x:v>
      </x:c>
      <x:c r="AG1001" s="35" t="n">
        <x:v>61</x:v>
      </x:c>
      <x:c r="AH1001" s="35" t="n">
        <x:v>6</x:v>
      </x:c>
      <x:c r="AI1001" s="37" t="n">
        <x:v>97.9</x:v>
      </x:c>
      <x:c r="AJ1001" s="37" t="n">
        <x:v>93.2</x:v>
      </x:c>
      <x:c r="AK1001" s="35" t="str">
        <x:v>No</x:v>
      </x:c>
      <x:c r="AL1001" s="38" t="n">
        <x:f>IF(AA1001=0,0,AB1001/AA1001)</x:f>
        <x:v>0.8571428571428571</x:v>
      </x:c>
      <x:c r="AM1001" s="38" t="n">
        <x:f>IF(AB1001=0,0,AC1001/AB1001)</x:f>
        <x:v>1</x:v>
      </x:c>
      <x:c r="AN1001" s="37" t="n">
        <x:f>ROUND((AD1001*0.20+AE1001*0.20+AF1001*0.25+AG1001*0.15+MIN(100,AC1001*12)*0.20),1)</x:f>
        <x:v>80.1</x:v>
      </x:c>
      <x:c r="AO1001" s="37" t="n">
        <x:f>ROUND(MAX(0,MIN(100,(X1001*0.35)+(W1001/45*100*0.20)+((5-O1001)/4*100*0.15)+((5-P1001)/4*100*0.10)+((6-Y1001)/5*100*0.10)+((100-Z1001)*0.10))),1)</x:f>
        <x:v>43.7</x:v>
      </x:c>
      <x:c r="AP1001" s="37" t="str">
        <x:f>IF(AO1001&gt;=70,"High",IF(AO1001&gt;=40,"Moderate","Low"))</x:f>
        <x:v>Moderate</x:v>
      </x:c>
      <x:c r="AQ1001" s="37" t="n">
        <x:f>ROUND(MAX(0,MIN(100,(O1001/4*100*0.25)+(P1001/4*100*0.20)+(Q1001/4*100*0.15)+(Y1001/5*100*0.20)+(100-AO1001)*0.20)),1)</x:f>
        <x:v>82.5</x:v>
      </x:c>
      <x:c r="AR1001" s="37" t="n">
        <x:f>ROUND((AI1001*0.20+AJ1001*0.15+AN1001*0.18+AG1001*0.12+Z1001*0.15+AQ1001*0.20),1)</x:f>
        <x:v>86.6</x:v>
      </x:c>
      <x:c r="AS1001" s="39" t="n">
        <x:f>ROUND((AC1001*AF1001*120)+(AH1001*350)+(MAX(0,AI1001-75)*220)+(MAX(0,AQ1001-60)*100),0)</x:f>
        <x:v>71308</x:v>
      </x:c>
    </x:row>
  </x:sheetData>
  <x:conditionalFormatting sqref="AO2:AO10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R2:AR1001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{529FC0B1-FFC1-167B-3A4D-69245C606291}</x14:id>
        </x:ext>
      </x:extLst>
    </x:cfRule>
  </x:conditionalFormatting>
  <x:conditionalFormatting sqref="AN2:AN1001">
    <x:cfRule type="dataBar" priority="3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{F03175BE-9D54-EDF0-3373-1F2B9DE6E22D}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bf5f11eb07542e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29FC0B1-FFC1-167B-3A4D-69245C606291}">
            <x14:dataBar gradient="1">
              <x14:cfvo type="min"/>
              <x14:cfvo type="max"/>
              <x14:fillColor rgb="FF0F766E"/>
            </x14:dataBar>
          </x14:cfRule>
          <xm:sqref>AR2:AR1001</xm:sqref>
        </x14:conditionalFormatting>
        <x14:conditionalFormatting>
          <x14:cfRule type="dataBar" priority="3" id="{F03175BE-9D54-EDF0-3373-1F2B9DE6E22D}">
            <x14:dataBar gradient="1">
              <x14:cfvo type="min"/>
              <x14:cfvo type="max"/>
              <x14:fillColor rgb="FF2563EB"/>
            </x14:dataBar>
          </x14:cfRule>
          <xm:sqref>AN2:AN1001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70" hidden="0" customWidth="1"/>
    <x:col min="4" max="4" width="20" hidden="0" customWidth="1"/>
  </x:cols>
  <x:sheetData>
    <x:row r="1">
      <x:c r="A1" s="50" t="str">
        <x:v>Field</x:v>
      </x:c>
      <x:c r="B1" s="50" t="str">
        <x:v>Category</x:v>
      </x:c>
      <x:c r="C1" s="50" t="str">
        <x:v>Description</x:v>
      </x:c>
      <x:c r="D1" s="50" t="str">
        <x:v>Type / Range</x:v>
      </x:c>
    </x:row>
    <x:row r="2">
      <x:c r="A2" s="15" t="str">
        <x:v>EmployeeNumber</x:v>
      </x:c>
      <x:c r="B2" s="15" t="str">
        <x:v>Identifier</x:v>
      </x:c>
      <x:c r="C2" s="15" t="str">
        <x:v>Unique employee key used to join EMPULSE modules.</x:v>
      </x:c>
      <x:c r="D2" s="15" t="str">
        <x:v>Integer 1–1000</x:v>
      </x:c>
    </x:row>
    <x:row r="3">
      <x:c r="A3" s="15" t="str">
        <x:v>Age</x:v>
      </x:c>
      <x:c r="B3" s="15" t="str">
        <x:v>IBM-inspired</x:v>
      </x:c>
      <x:c r="C3" s="15" t="str">
        <x:v>Employee age.</x:v>
      </x:c>
      <x:c r="D3" s="15" t="str">
        <x:v>21–60</x:v>
      </x:c>
    </x:row>
    <x:row r="4">
      <x:c r="A4" s="15" t="str">
        <x:v>Department</x:v>
      </x:c>
      <x:c r="B4" s="15" t="str">
        <x:v>IBM-inspired</x:v>
      </x:c>
      <x:c r="C4" s="15" t="str">
        <x:v>Organizational department.</x:v>
      </x:c>
      <x:c r="D4" s="15" t="str">
        <x:v>Category</x:v>
      </x:c>
    </x:row>
    <x:row r="5">
      <x:c r="A5" s="15" t="str">
        <x:v>JobRole</x:v>
      </x:c>
      <x:c r="B5" s="15" t="str">
        <x:v>IBM-inspired</x:v>
      </x:c>
      <x:c r="C5" s="15" t="str">
        <x:v>Employee job role.</x:v>
      </x:c>
      <x:c r="D5" s="15" t="str">
        <x:v>Category</x:v>
      </x:c>
    </x:row>
    <x:row r="6">
      <x:c r="A6" s="15" t="str">
        <x:v>JobLevel</x:v>
      </x:c>
      <x:c r="B6" s="15" t="str">
        <x:v>IBM-inspired</x:v>
      </x:c>
      <x:c r="C6" s="15" t="str">
        <x:v>Seniority level.</x:v>
      </x:c>
      <x:c r="D6" s="15" t="str">
        <x:v>1–5</x:v>
      </x:c>
    </x:row>
    <x:row r="7">
      <x:c r="A7" s="15" t="str">
        <x:v>MonthlyIncomeSAR</x:v>
      </x:c>
      <x:c r="B7" s="15" t="str">
        <x:v>IBM-inspired adapted</x:v>
      </x:c>
      <x:c r="C7" s="15" t="str">
        <x:v>Synthetic monthly salary in Saudi Riyals.</x:v>
      </x:c>
      <x:c r="D7" s="15" t="str">
        <x:v>SAR</x:v>
      </x:c>
    </x:row>
    <x:row r="8">
      <x:c r="A8" s="15" t="str">
        <x:v>TotalWorkingYears</x:v>
      </x:c>
      <x:c r="B8" s="15" t="str">
        <x:v>IBM-inspired</x:v>
      </x:c>
      <x:c r="C8" s="15" t="str">
        <x:v>Total career experience.</x:v>
      </x:c>
      <x:c r="D8" s="15" t="str">
        <x:v>Years</x:v>
      </x:c>
    </x:row>
    <x:row r="9">
      <x:c r="A9" s="15" t="str">
        <x:v>YearsAtCompany</x:v>
      </x:c>
      <x:c r="B9" s="15" t="str">
        <x:v>IBM-inspired</x:v>
      </x:c>
      <x:c r="C9" s="15" t="str">
        <x:v>Tenure at current organization.</x:v>
      </x:c>
      <x:c r="D9" s="15" t="str">
        <x:v>Years</x:v>
      </x:c>
    </x:row>
    <x:row r="10">
      <x:c r="A10" s="15" t="str">
        <x:v>OverTime</x:v>
      </x:c>
      <x:c r="B10" s="15" t="str">
        <x:v>IBM-inspired</x:v>
      </x:c>
      <x:c r="C10" s="15" t="str">
        <x:v>Whether employee commonly works overtime.</x:v>
      </x:c>
      <x:c r="D10" s="15" t="str">
        <x:v>Yes/No</x:v>
      </x:c>
    </x:row>
    <x:row r="11">
      <x:c r="A11" s="15" t="str">
        <x:v>WorkLifeBalance</x:v>
      </x:c>
      <x:c r="B11" s="15" t="str">
        <x:v>IBM-inspired</x:v>
      </x:c>
      <x:c r="C11" s="15" t="str">
        <x:v>Work-life balance rating.</x:v>
      </x:c>
      <x:c r="D11" s="15" t="str">
        <x:v>1–4</x:v>
      </x:c>
    </x:row>
    <x:row r="12">
      <x:c r="A12" s="15" t="str">
        <x:v>JobSatisfaction</x:v>
      </x:c>
      <x:c r="B12" s="15" t="str">
        <x:v>IBM-inspired</x:v>
      </x:c>
      <x:c r="C12" s="15" t="str">
        <x:v>Job satisfaction rating.</x:v>
      </x:c>
      <x:c r="D12" s="15" t="str">
        <x:v>1–4</x:v>
      </x:c>
    </x:row>
    <x:row r="13">
      <x:c r="A13" s="15" t="str">
        <x:v>EnvironmentSatisfaction</x:v>
      </x:c>
      <x:c r="B13" s="15" t="str">
        <x:v>IBM-inspired</x:v>
      </x:c>
      <x:c r="C13" s="15" t="str">
        <x:v>Work environment satisfaction.</x:v>
      </x:c>
      <x:c r="D13" s="15" t="str">
        <x:v>1–4</x:v>
      </x:c>
    </x:row>
    <x:row r="14">
      <x:c r="A14" s="15" t="str">
        <x:v>JobInvolvement</x:v>
      </x:c>
      <x:c r="B14" s="15" t="str">
        <x:v>IBM-inspired</x:v>
      </x:c>
      <x:c r="C14" s="15" t="str">
        <x:v>Job involvement rating.</x:v>
      </x:c>
      <x:c r="D14" s="15" t="str">
        <x:v>1–4</x:v>
      </x:c>
    </x:row>
    <x:row r="15">
      <x:c r="A15" s="15" t="str">
        <x:v>PerformanceRating</x:v>
      </x:c>
      <x:c r="B15" s="15" t="str">
        <x:v>IBM-inspired</x:v>
      </x:c>
      <x:c r="C15" s="15" t="str">
        <x:v>Performance rating.</x:v>
      </x:c>
      <x:c r="D15" s="15" t="str">
        <x:v>3–4</x:v>
      </x:c>
    </x:row>
    <x:row r="16">
      <x:c r="A16" s="15" t="str">
        <x:v>TrainingTimesLastYear</x:v>
      </x:c>
      <x:c r="B16" s="15" t="str">
        <x:v>IBM-inspired</x:v>
      </x:c>
      <x:c r="C16" s="15" t="str">
        <x:v>Number of training events.</x:v>
      </x:c>
      <x:c r="D16" s="15" t="str">
        <x:v>0–6</x:v>
      </x:c>
    </x:row>
    <x:row r="17">
      <x:c r="A17" s="15" t="str">
        <x:v>Attrition</x:v>
      </x:c>
      <x:c r="B17" s="15" t="str">
        <x:v>IBM-inspired concept</x:v>
      </x:c>
      <x:c r="C17" s="15" t="str">
        <x:v>Synthetic retention outcome generated probabilistically.</x:v>
      </x:c>
      <x:c r="D17" s="15" t="str">
        <x:v>Yes/No</x:v>
      </x:c>
    </x:row>
    <x:row r="18">
      <x:c r="A18" s="15" t="str">
        <x:v>AbsenceDaysAnnual</x:v>
      </x:c>
      <x:c r="B18" s="15" t="str">
        <x:v>EMPULSE</x:v>
      </x:c>
      <x:c r="C18" s="15" t="str">
        <x:v>Annual absence days.</x:v>
      </x:c>
      <x:c r="D18" s="15" t="str">
        <x:v>0–25</x:v>
      </x:c>
    </x:row>
    <x:row r="19">
      <x:c r="A19" s="15" t="str">
        <x:v>OvertimeHoursMonthly</x:v>
      </x:c>
      <x:c r="B19" s="15" t="str">
        <x:v>EMPULSE</x:v>
      </x:c>
      <x:c r="C19" s="15" t="str">
        <x:v>Monthly overtime burden.</x:v>
      </x:c>
      <x:c r="D19" s="15" t="str">
        <x:v>0–45 hours</x:v>
      </x:c>
    </x:row>
    <x:row r="20">
      <x:c r="A20" s="15" t="str">
        <x:v>WorkloadIndex</x:v>
      </x:c>
      <x:c r="B20" s="15" t="str">
        <x:v>EMPULSE</x:v>
      </x:c>
      <x:c r="C20" s="15" t="str">
        <x:v>Synthetic workload pressure indicator.</x:v>
      </x:c>
      <x:c r="D20" s="15" t="str">
        <x:v>0–100</x:v>
      </x:c>
    </x:row>
    <x:row r="21">
      <x:c r="A21" s="15" t="str">
        <x:v>MoodScore</x:v>
      </x:c>
      <x:c r="B21" s="15" t="str">
        <x:v>EMPULSE</x:v>
      </x:c>
      <x:c r="C21" s="15" t="str">
        <x:v>Simple wellbeing pulse; not a clinical measure.</x:v>
      </x:c>
      <x:c r="D21" s="15" t="str">
        <x:v>1–5</x:v>
      </x:c>
    </x:row>
    <x:row r="22">
      <x:c r="A22" s="15" t="str">
        <x:v>EngagementScore</x:v>
      </x:c>
      <x:c r="B22" s="15" t="str">
        <x:v>EMPULSE</x:v>
      </x:c>
      <x:c r="C22" s="15" t="str">
        <x:v>Synthetic employee engagement score.</x:v>
      </x:c>
      <x:c r="D22" s="15" t="str">
        <x:v>0–100</x:v>
      </x:c>
    </x:row>
    <x:row r="23">
      <x:c r="A23" s="15" t="str">
        <x:v>IdeasSubmitted</x:v>
      </x:c>
      <x:c r="B23" s="15" t="str">
        <x:v>EMPULSE Innovation</x:v>
      </x:c>
      <x:c r="C23" s="15" t="str">
        <x:v>Number of ideas submitted.</x:v>
      </x:c>
      <x:c r="D23" s="15" t="str">
        <x:v>Count</x:v>
      </x:c>
    </x:row>
    <x:row r="24">
      <x:c r="A24" s="15" t="str">
        <x:v>IdeasApproved</x:v>
      </x:c>
      <x:c r="B24" s="15" t="str">
        <x:v>EMPULSE Innovation</x:v>
      </x:c>
      <x:c r="C24" s="15" t="str">
        <x:v>Ideas approved for further development.</x:v>
      </x:c>
      <x:c r="D24" s="15" t="str">
        <x:v>Count</x:v>
      </x:c>
    </x:row>
    <x:row r="25">
      <x:c r="A25" s="15" t="str">
        <x:v>IdeasImplemented</x:v>
      </x:c>
      <x:c r="B25" s="15" t="str">
        <x:v>EMPULSE Innovation</x:v>
      </x:c>
      <x:c r="C25" s="15" t="str">
        <x:v>Ideas implemented.</x:v>
      </x:c>
      <x:c r="D25" s="15" t="str">
        <x:v>Count</x:v>
      </x:c>
    </x:row>
    <x:row r="26">
      <x:c r="A26" s="15" t="str">
        <x:v>InnovationNoveltyScore</x:v>
      </x:c>
      <x:c r="B26" s="15" t="str">
        <x:v>Innovation DNA</x:v>
      </x:c>
      <x:c r="C26" s="15" t="str">
        <x:v>Novelty of ideas.</x:v>
      </x:c>
      <x:c r="D26" s="15" t="str">
        <x:v>0–100</x:v>
      </x:c>
    </x:row>
    <x:row r="27">
      <x:c r="A27" s="15" t="str">
        <x:v>InnovationFeasibilityScore</x:v>
      </x:c>
      <x:c r="B27" s="15" t="str">
        <x:v>Innovation DNA</x:v>
      </x:c>
      <x:c r="C27" s="15" t="str">
        <x:v>Feasibility of ideas.</x:v>
      </x:c>
      <x:c r="D27" s="15" t="str">
        <x:v>0–100</x:v>
      </x:c>
    </x:row>
    <x:row r="28">
      <x:c r="A28" s="15" t="str">
        <x:v>InnovationBusinessValueScore</x:v>
      </x:c>
      <x:c r="B28" s="15" t="str">
        <x:v>Innovation DNA</x:v>
      </x:c>
      <x:c r="C28" s="15" t="str">
        <x:v>Expected business value.</x:v>
      </x:c>
      <x:c r="D28" s="15" t="str">
        <x:v>0–100</x:v>
      </x:c>
    </x:row>
    <x:row r="29">
      <x:c r="A29" s="15" t="str">
        <x:v>CollaborationScore</x:v>
      </x:c>
      <x:c r="B29" s="15" t="str">
        <x:v>Innovation DNA</x:v>
      </x:c>
      <x:c r="C29" s="15" t="str">
        <x:v>Collaboration and cross-team contribution.</x:v>
      </x:c>
      <x:c r="D29" s="15" t="str">
        <x:v>0–100</x:v>
      </x:c>
    </x:row>
    <x:row r="30">
      <x:c r="A30" s="15" t="str">
        <x:v>RecognitionCount</x:v>
      </x:c>
      <x:c r="B30" s="15" t="str">
        <x:v>EMPULSE Recognition</x:v>
      </x:c>
      <x:c r="C30" s="15" t="str">
        <x:v>Recognition events or badges.</x:v>
      </x:c>
      <x:c r="D30" s="15" t="str">
        <x:v>Count</x:v>
      </x:c>
    </x:row>
    <x:row r="31">
      <x:c r="A31" s="15" t="str">
        <x:v>TaskCompletionRate</x:v>
      </x:c>
      <x:c r="B31" s="15" t="str">
        <x:v>Performance</x:v>
      </x:c>
      <x:c r="C31" s="15" t="str">
        <x:v>Completed assigned work on time.</x:v>
      </x:c>
      <x:c r="D31" s="15" t="str">
        <x:v>0–100%</x:v>
      </x:c>
    </x:row>
    <x:row r="32">
      <x:c r="A32" s="15" t="str">
        <x:v>TaskQualityScore</x:v>
      </x:c>
      <x:c r="B32" s="15" t="str">
        <x:v>Performance</x:v>
      </x:c>
      <x:c r="C32" s="15" t="str">
        <x:v>Quality of completed work.</x:v>
      </x:c>
      <x:c r="D32" s="15" t="str">
        <x:v>0–100</x:v>
      </x:c>
    </x:row>
    <x:row r="33">
      <x:c r="A33" s="15" t="str">
        <x:v>IdeaApprovalRate</x:v>
      </x:c>
      <x:c r="B33" s="15" t="str">
        <x:v>Derived</x:v>
      </x:c>
      <x:c r="C33" s="15" t="str">
        <x:v>IdeasApproved / IdeasSubmitted.</x:v>
      </x:c>
      <x:c r="D33" s="15" t="str">
        <x:v>Formula</x:v>
      </x:c>
    </x:row>
    <x:row r="34">
      <x:c r="A34" s="15" t="str">
        <x:v>IdeaImplementationRate</x:v>
      </x:c>
      <x:c r="B34" s="15" t="str">
        <x:v>Derived</x:v>
      </x:c>
      <x:c r="C34" s="15" t="str">
        <x:v>IdeasImplemented / IdeasApproved.</x:v>
      </x:c>
      <x:c r="D34" s="15" t="str">
        <x:v>Formula</x:v>
      </x:c>
    </x:row>
    <x:row r="35">
      <x:c r="A35" s="15" t="str">
        <x:v>InnovationScore</x:v>
      </x:c>
      <x:c r="B35" s="15" t="str">
        <x:v>Derived</x:v>
      </x:c>
      <x:c r="C35" s="15" t="str">
        <x:v>Weighted innovation DNA score.</x:v>
      </x:c>
      <x:c r="D35" s="15" t="str">
        <x:v>Formula 0–100</x:v>
      </x:c>
    </x:row>
    <x:row r="36">
      <x:c r="A36" s="15" t="str">
        <x:v>BurnoutRisk</x:v>
      </x:c>
      <x:c r="B36" s="15" t="str">
        <x:v>Derived</x:v>
      </x:c>
      <x:c r="C36" s="15" t="str">
        <x:v>Synthetic risk indicator using workload, overtime, work-life balance, satisfaction, mood, and engagement.</x:v>
      </x:c>
      <x:c r="D36" s="15" t="str">
        <x:v>Formula 0–100</x:v>
      </x:c>
    </x:row>
    <x:row r="37">
      <x:c r="A37" s="15" t="str">
        <x:v>BurnoutLevel</x:v>
      </x:c>
      <x:c r="B37" s="15" t="str">
        <x:v>Derived</x:v>
      </x:c>
      <x:c r="C37" s="15" t="str">
        <x:v>Low &lt;40, Moderate 40–69.9, High ≥70.</x:v>
      </x:c>
      <x:c r="D37" s="15" t="str">
        <x:v>Formula</x:v>
      </x:c>
    </x:row>
    <x:row r="38">
      <x:c r="A38" s="15" t="str">
        <x:v>WellbeingScore</x:v>
      </x:c>
      <x:c r="B38" s="15" t="str">
        <x:v>Derived</x:v>
      </x:c>
      <x:c r="C38" s="15" t="str">
        <x:v>Composite wellbeing indicator.</x:v>
      </x:c>
      <x:c r="D38" s="15" t="str">
        <x:v>Formula 0–100</x:v>
      </x:c>
    </x:row>
    <x:row r="39">
      <x:c r="A39" s="15" t="str">
        <x:v>EmployeePulseIndex</x:v>
      </x:c>
      <x:c r="B39" s="15" t="str">
        <x:v>Derived</x:v>
      </x:c>
      <x:c r="C39" s="15" t="str">
        <x:v>Integrated performance + innovation + collaboration + engagement + wellbeing score.</x:v>
      </x:c>
      <x:c r="D39" s="15" t="str">
        <x:v>Formula 0–100</x:v>
      </x:c>
    </x:row>
    <x:row r="40">
      <x:c r="A40" s="15" t="str">
        <x:v>EstimatedEconomicImpactSAR</x:v>
      </x:c>
      <x:c r="B40" s="15" t="str">
        <x:v>Derived</x:v>
      </x:c>
      <x:c r="C40" s="15" t="str">
        <x:v>Educational estimate based on innovation, recognition, task performance and wellbeing.</x:v>
      </x:c>
      <x:c r="D40" s="15" t="str">
        <x:v>Formula SAR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18" hidden="0" customWidth="1"/>
    <x:col min="5" max="5" width="14" hidden="0" customWidth="1"/>
  </x:cols>
  <x:sheetData>
    <x:row r="1">
      <x:c r="A1" s="4" t="str">
        <x:v>EMPULSE Dataset Dashboard</x:v>
      </x:c>
    </x:row>
    <x:row r="3">
      <x:c r="A3" s="53" t="str">
        <x:v>KPI</x:v>
      </x:c>
      <x:c r="B3" s="53" t="str">
        <x:v>Value</x:v>
      </x:c>
      <x:c r="D3" s="53" t="str">
        <x:v>Burnout Level</x:v>
      </x:c>
      <x:c r="E3" s="53" t="str">
        <x:v>Employees</x:v>
      </x:c>
    </x:row>
    <x:row r="4">
      <x:c r="A4" s="56" t="str">
        <x:v>Employees</x:v>
      </x:c>
      <x:c r="B4" s="56" t="n">
        <x:f>COUNTA(EMPULSE_Data!A2:A1001)</x:f>
        <x:v>1000</x:v>
      </x:c>
      <x:c r="D4" s="56" t="str">
        <x:v>Low</x:v>
      </x:c>
      <x:c r="E4" s="56" t="n">
        <x:f>COUNTIF(EMPULSE_Data!AP2:AP1001,"Low")</x:f>
        <x:v>276</x:v>
      </x:c>
    </x:row>
    <x:row r="5">
      <x:c r="A5" s="56" t="str">
        <x:v>Average Employee Pulse</x:v>
      </x:c>
      <x:c r="B5" s="26" t="n">
        <x:f>AVERAGE(EMPULSE_Data!AR2:AR1001)</x:f>
        <x:v>85.52569999999994</x:v>
      </x:c>
      <x:c r="D5" s="56" t="str">
        <x:v>Moderate</x:v>
      </x:c>
      <x:c r="E5" s="56" t="n">
        <x:f>COUNTIF(EMPULSE_Data!AP2:AP1001,"Moderate")</x:f>
        <x:v>711</x:v>
      </x:c>
    </x:row>
    <x:row r="6">
      <x:c r="A6" s="56" t="str">
        <x:v>Average Burnout Risk</x:v>
      </x:c>
      <x:c r="B6" s="26" t="n">
        <x:f>AVERAGE(EMPULSE_Data!AO2:AO1001)</x:f>
        <x:v>45.87640000000001</x:v>
      </x:c>
      <x:c r="D6" s="56" t="str">
        <x:v>High</x:v>
      </x:c>
      <x:c r="E6" s="56" t="n">
        <x:f>COUNTIF(EMPULSE_Data!AP2:AP1001,"High")</x:f>
        <x:v>13</x:v>
      </x:c>
    </x:row>
    <x:row r="7">
      <x:c r="A7" s="56" t="str">
        <x:v>High Burnout Employees</x:v>
      </x:c>
      <x:c r="B7" s="26" t="n">
        <x:f>COUNTIF(EMPULSE_Data!AP2:AP1001,"High")</x:f>
        <x:v>13</x:v>
      </x:c>
    </x:row>
    <x:row r="8">
      <x:c r="A8" s="56" t="str">
        <x:v>Average Innovation Score</x:v>
      </x:c>
      <x:c r="B8" s="26" t="n">
        <x:f>AVERAGE(EMPULSE_Data!AN2:AN1001)</x:f>
        <x:v>71.72260000000001</x:v>
      </x:c>
    </x:row>
    <x:row r="9">
      <x:c r="A9" s="56" t="str">
        <x:v>Total Estimated Economic Impact</x:v>
      </x:c>
      <x:c r="B9" s="32" t="n">
        <x:f>SUM(EMPULSE_Data!AS2:AS1001)</x:f>
        <x:v>41176278</x:v>
      </x:c>
    </x:row>
    <x:row r="10">
      <x:c r="A10" s="56" t="str">
        <x:v>Average Task Completion</x:v>
      </x:c>
      <x:c r="B10" s="26" t="n">
        <x:f>AVERAGE(EMPULSE_Data!AI2:AI1001)</x:f>
        <x:v>96.52239999999996</x:v>
      </x:c>
    </x:row>
    <x:row r="26">
      <x:c r="D26" s="53" t="str">
        <x:v>Innovation KPI</x:v>
      </x:c>
      <x:c r="E26" s="53" t="str">
        <x:v>Value</x:v>
      </x:c>
    </x:row>
    <x:row r="27">
      <x:c r="D27" s="56" t="str">
        <x:v>Ideas Submitted</x:v>
      </x:c>
      <x:c r="E27" s="56" t="n">
        <x:f>SUM(EMPULSE_Data!AA2:AA1001)</x:f>
        <x:v>5604</x:v>
      </x:c>
    </x:row>
    <x:row r="28">
      <x:c r="D28" s="56" t="str">
        <x:v>Ideas Approved</x:v>
      </x:c>
      <x:c r="E28" s="56" t="n">
        <x:f>SUM(EMPULSE_Data!AB2:AB1001)</x:f>
        <x:v>4277</x:v>
      </x:c>
    </x:row>
    <x:row r="29">
      <x:c r="D29" s="56" t="str">
        <x:v>Ideas Implemented</x:v>
      </x:c>
      <x:c r="E29" s="56" t="n">
        <x:f>SUM(EMPULSE_Data!AC2:AC1001)</x:f>
        <x:v>3343</x:v>
      </x:c>
    </x:row>
    <x:row r="30">
      <x:c r="D30" s="56" t="str">
        <x:v>Avg Innovation Score</x:v>
      </x:c>
      <x:c r="E30" s="56" t="n">
        <x:f>AVERAGE(EMPULSE_Data!AN2:AN1001)</x:f>
        <x:v>71.72260000000001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570a6d40f434776"/>
</x:worksheet>
</file>